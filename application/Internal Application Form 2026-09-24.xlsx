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queryTables/queryTable4.xml" ContentType="application/vnd.openxmlformats-officedocument.spreadsheetml.queryTable+xml"/>
  <Override PartName="/xl/tables/table8.xml" ContentType="application/vnd.openxmlformats-officedocument.spreadsheetml.table+xml"/>
  <Override PartName="/xl/queryTables/queryTable5.xml" ContentType="application/vnd.openxmlformats-officedocument.spreadsheetml.query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ables/table19.xml" ContentType="application/vnd.openxmlformats-officedocument.spreadsheetml.table+xml"/>
  <Override PartName="/xl/queryTables/queryTable6.xml" ContentType="application/vnd.openxmlformats-officedocument.spreadsheetml.queryTable+xml"/>
  <Override PartName="/xl/tables/table20.xml" ContentType="application/vnd.openxmlformats-officedocument.spreadsheetml.table+xml"/>
  <Override PartName="/xl/queryTables/queryTable7.xml" ContentType="application/vnd.openxmlformats-officedocument.spreadsheetml.queryTable+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tables/table21.xml" ContentType="application/vnd.openxmlformats-officedocument.spreadsheetml.table+xml"/>
  <Override PartName="/xl/tables/table2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codeName="Denne_projektmappe" defaultThemeVersion="124226"/>
  <mc:AlternateContent xmlns:mc="http://schemas.openxmlformats.org/markup-compatibility/2006">
    <mc:Choice Requires="x15">
      <x15ac:absPath xmlns:x15ac="http://schemas.microsoft.com/office/spreadsheetml/2010/11/ac" url="https://aarhusuniversitet.sharepoint.com/sites/Nat-TechkonomiApplication/Shared Documents/"/>
    </mc:Choice>
  </mc:AlternateContent>
  <xr:revisionPtr revIDLastSave="0" documentId="8_{EB62653A-16A5-4748-9437-DD78023CACF1}" xr6:coauthVersionLast="47" xr6:coauthVersionMax="47" xr10:uidLastSave="{00000000-0000-0000-0000-000000000000}"/>
  <workbookProtection workbookAlgorithmName="SHA-512" workbookHashValue="5ZUgV6OmXdd+Z0rkdqrSkx9g4H7UGupgeO/YyjMNGLyhQcF9MyZFfiCffqDIviTfhdQAhtvACE9dzfPywA9J2Q==" workbookSaltValue="4fghlWKgj8ZakU9zgSF0TQ==" workbookSpinCount="100000" lockStructure="1"/>
  <bookViews>
    <workbookView xWindow="1520" yWindow="1520" windowWidth="14400" windowHeight="7350" tabRatio="913" firstSheet="7" activeTab="7" xr2:uid="{00000000-000D-0000-FFFF-FFFF00000000}"/>
  </bookViews>
  <sheets>
    <sheet name="Takstblad" sheetId="46" state="hidden" r:id="rId1"/>
    <sheet name="GrantSource" sheetId="113" state="hidden" r:id="rId2"/>
    <sheet name="Instrument" sheetId="114" state="hidden" r:id="rId3"/>
    <sheet name="Section Cover letter ING" sheetId="119" state="hidden" r:id="rId4"/>
    <sheet name="Section Cover letter" sheetId="115" state="hidden" r:id="rId5"/>
    <sheet name="Economists" sheetId="116" state="hidden" r:id="rId6"/>
    <sheet name="Lister" sheetId="48" state="hidden" r:id="rId7"/>
    <sheet name="Guide" sheetId="111" r:id="rId8"/>
    <sheet name="Cover letter ECE_MPE" sheetId="104" r:id="rId9"/>
    <sheet name="Cover letter" sheetId="102" r:id="rId10"/>
    <sheet name="Currency" sheetId="108" state="hidden" r:id="rId11"/>
    <sheet name="GrantSourceCategory" sheetId="121" state="hidden" r:id="rId12"/>
    <sheet name="My Notes" sheetId="120" r:id="rId13"/>
    <sheet name="B1" sheetId="28" r:id="rId14"/>
    <sheet name="B2" sheetId="87" r:id="rId15"/>
    <sheet name="B3" sheetId="89" r:id="rId16"/>
    <sheet name="B4" sheetId="91" r:id="rId17"/>
    <sheet name="B5" sheetId="93" r:id="rId18"/>
    <sheet name="Total" sheetId="106" r:id="rId19"/>
    <sheet name="Total Other Currency" sheetId="110" r:id="rId20"/>
    <sheet name="ReAp" sheetId="107" r:id="rId21"/>
    <sheet name="PE" sheetId="112" r:id="rId22"/>
    <sheet name="Add new grant source" sheetId="117" r:id="rId23"/>
    <sheet name="Version control" sheetId="118" r:id="rId24"/>
  </sheets>
  <externalReferences>
    <externalReference r:id="rId25"/>
  </externalReferences>
  <definedNames>
    <definedName name="EksterneData_1" localSheetId="10" hidden="1">Currency!$A$1:$D$31</definedName>
    <definedName name="EksterneData_1" localSheetId="1" hidden="1">GrantSource!$A$1:$C$442</definedName>
    <definedName name="EksterneData_1" localSheetId="11" hidden="1">GrantSourceCategory!$A$1:$D$442</definedName>
    <definedName name="EksterneData_2" localSheetId="2" hidden="1">Instrument!$A$1:$D$625</definedName>
    <definedName name="EksterneData_2" localSheetId="4" hidden="1">'Section Cover letter'!$A$1:$B$85</definedName>
    <definedName name="EksterneData_2" localSheetId="3" hidden="1">'Section Cover letter ING'!$A$1:$B$85</definedName>
    <definedName name="EksterneData_3" localSheetId="5" hidden="1">Economists!$A$1:$B$83</definedName>
    <definedName name="Instrument" localSheetId="19">INDEX(#REF!,#REF!):INDEX(#REF!,#REF!)</definedName>
    <definedName name="Instrument">INDEX(#REF!,#REF!):INDEX(#REF!,#REF!)</definedName>
    <definedName name="Instrument2" localSheetId="19">INDEX(#REF!,#REF!):INDEX(#REF!,#REF!)</definedName>
    <definedName name="Instrument2">INDEX(#REF!,#REF!):INDEX(#REF!,#REF!)</definedName>
    <definedName name="_xlnm.Print_Area" localSheetId="13">'B1'!$A$1:$AX$131</definedName>
    <definedName name="_xlnm.Print_Area" localSheetId="14">'B2'!$A$1:$AX$131</definedName>
    <definedName name="_xlnm.Print_Area" localSheetId="15">'B3'!$A$1:$AX$77</definedName>
    <definedName name="_xlnm.Print_Area" localSheetId="16">'B4'!$A$1:$AX$77</definedName>
    <definedName name="_xlnm.Print_Area" localSheetId="17">'B5'!$A$1:$AX$77</definedName>
    <definedName name="Sektioner" localSheetId="19">INDEX(#REF!,#REF!):INDEX(#REF!,#REF!)</definedName>
    <definedName name="Sektioner">INDEX(#REF!,#REF!):INDEX(#REF!,#REF!)</definedName>
    <definedName name="takstblad" localSheetId="9">[1]Takstblad!$A$2:$R$249</definedName>
    <definedName name="takstblad" localSheetId="8">[1]Takstblad!$A$2:$R$249</definedName>
    <definedName name="takstblad">Takstblad!$A$2:$T$276</definedName>
    <definedName name="TAP">Takstblad!$A$34:$A$54</definedName>
    <definedName name="Text2" localSheetId="9">'Cover letter'!#REF!</definedName>
    <definedName name="Text2" localSheetId="8">'Cover letter ECE_MPE'!#REF!</definedName>
    <definedName name="Text3" localSheetId="9">'Cover letter'!$A$14</definedName>
    <definedName name="Text3" localSheetId="8">'Cover letter ECE_MPE'!$A$14</definedName>
    <definedName name="VIP">Takstblad!$A$5:$A$30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F2" i="107" l="1"/>
  <c r="K5" i="102" l="1"/>
  <c r="K5" i="104"/>
  <c r="E5" i="102" l="1"/>
  <c r="E5" i="104"/>
  <c r="A2" i="107" s="1"/>
  <c r="G7" i="110"/>
  <c r="I7" i="110"/>
  <c r="G7" i="28"/>
  <c r="N46" i="46"/>
  <c r="D46" i="46"/>
  <c r="O46" i="46" s="1"/>
  <c r="B46" i="46"/>
  <c r="C10" i="28"/>
  <c r="C8" i="28"/>
  <c r="C7" i="28"/>
  <c r="D40" i="46"/>
  <c r="D37" i="46"/>
  <c r="E37" i="46" s="1"/>
  <c r="F37" i="46" s="1"/>
  <c r="G37" i="46" s="1"/>
  <c r="H37" i="46" s="1"/>
  <c r="I37" i="46" s="1"/>
  <c r="J37" i="46" s="1"/>
  <c r="K37" i="46" s="1"/>
  <c r="L37" i="46" s="1"/>
  <c r="X87" i="28" l="1"/>
  <c r="V115" i="28"/>
  <c r="Z87" i="28"/>
  <c r="X115" i="28"/>
  <c r="S87" i="28"/>
  <c r="AA87" i="28"/>
  <c r="Y115" i="28"/>
  <c r="T87" i="28"/>
  <c r="AB87" i="28"/>
  <c r="Z115" i="28"/>
  <c r="W87" i="28"/>
  <c r="U115" i="28"/>
  <c r="Y87" i="28"/>
  <c r="W115" i="28"/>
  <c r="U87" i="28"/>
  <c r="S115" i="28"/>
  <c r="AA115" i="28"/>
  <c r="V87" i="28"/>
  <c r="T115" i="28"/>
  <c r="AB115" i="28"/>
  <c r="G6" i="28"/>
  <c r="E46" i="46"/>
  <c r="E40" i="46"/>
  <c r="F46" i="46" l="1"/>
  <c r="P46" i="46"/>
  <c r="F40" i="46"/>
  <c r="Q46" i="46" l="1"/>
  <c r="G46" i="46"/>
  <c r="G40" i="46"/>
  <c r="H46" i="46" l="1"/>
  <c r="R46" i="46"/>
  <c r="H40" i="46"/>
  <c r="S46" i="46" l="1"/>
  <c r="I46" i="46"/>
  <c r="I40" i="46"/>
  <c r="T46" i="46" l="1"/>
  <c r="J46" i="46"/>
  <c r="J40" i="46"/>
  <c r="K46" i="46" l="1"/>
  <c r="U46" i="46"/>
  <c r="K40" i="46"/>
  <c r="V46" i="46" l="1"/>
  <c r="L46" i="46"/>
  <c r="W46" i="46" s="1"/>
  <c r="L40" i="46"/>
  <c r="B34" i="46" l="1"/>
  <c r="B35" i="46"/>
  <c r="B36" i="46"/>
  <c r="B37" i="46"/>
  <c r="B38" i="46"/>
  <c r="B39" i="46"/>
  <c r="B40" i="46"/>
  <c r="B41" i="46"/>
  <c r="B42" i="46"/>
  <c r="B43" i="46"/>
  <c r="B44" i="46"/>
  <c r="B45" i="46"/>
  <c r="B47" i="46"/>
  <c r="B48" i="46"/>
  <c r="B49" i="46"/>
  <c r="B50" i="46"/>
  <c r="B51" i="46"/>
  <c r="B52" i="46"/>
  <c r="B53" i="46"/>
  <c r="B54" i="46"/>
  <c r="B33" i="46"/>
  <c r="B5" i="46"/>
  <c r="B6" i="46"/>
  <c r="B7" i="46"/>
  <c r="B8" i="46"/>
  <c r="B9" i="46"/>
  <c r="B10" i="46"/>
  <c r="B11" i="46"/>
  <c r="B12" i="46"/>
  <c r="B13" i="46"/>
  <c r="B14" i="46"/>
  <c r="B15" i="46"/>
  <c r="B16" i="46"/>
  <c r="B17" i="46"/>
  <c r="B18" i="46"/>
  <c r="B19" i="46"/>
  <c r="B20" i="46"/>
  <c r="B21" i="46"/>
  <c r="B22" i="46"/>
  <c r="B23" i="46"/>
  <c r="B24" i="46"/>
  <c r="B25" i="46"/>
  <c r="B26" i="46"/>
  <c r="B27" i="46"/>
  <c r="B28" i="46"/>
  <c r="B29" i="46"/>
  <c r="B30" i="46"/>
  <c r="C57" i="46"/>
  <c r="D7" i="46" l="1"/>
  <c r="E7" i="46" s="1"/>
  <c r="F7" i="46" s="1"/>
  <c r="G7" i="46" s="1"/>
  <c r="H7" i="46" s="1"/>
  <c r="I7" i="46" s="1"/>
  <c r="J7" i="46" s="1"/>
  <c r="K7" i="46" s="1"/>
  <c r="L7" i="46" s="1"/>
  <c r="D8" i="46"/>
  <c r="E8" i="46" s="1"/>
  <c r="F8" i="46" s="1"/>
  <c r="G8" i="46" s="1"/>
  <c r="H8" i="46" s="1"/>
  <c r="I8" i="46" s="1"/>
  <c r="J8" i="46" s="1"/>
  <c r="K8" i="46" s="1"/>
  <c r="L8" i="46" s="1"/>
  <c r="D9" i="46"/>
  <c r="E9" i="46" s="1"/>
  <c r="F9" i="46" s="1"/>
  <c r="G9" i="46" s="1"/>
  <c r="H9" i="46" s="1"/>
  <c r="I9" i="46" s="1"/>
  <c r="J9" i="46" s="1"/>
  <c r="K9" i="46" s="1"/>
  <c r="L9" i="46" s="1"/>
  <c r="D10" i="46"/>
  <c r="E10" i="46" s="1"/>
  <c r="F10" i="46" s="1"/>
  <c r="G10" i="46" s="1"/>
  <c r="H10" i="46" s="1"/>
  <c r="I10" i="46" s="1"/>
  <c r="J10" i="46" s="1"/>
  <c r="K10" i="46" s="1"/>
  <c r="L10" i="46" s="1"/>
  <c r="D11" i="46"/>
  <c r="E11" i="46" s="1"/>
  <c r="F11" i="46" s="1"/>
  <c r="G11" i="46" s="1"/>
  <c r="H11" i="46" s="1"/>
  <c r="I11" i="46" s="1"/>
  <c r="J11" i="46" s="1"/>
  <c r="K11" i="46" s="1"/>
  <c r="L11" i="46" s="1"/>
  <c r="D12" i="46"/>
  <c r="E12" i="46" s="1"/>
  <c r="F12" i="46" s="1"/>
  <c r="G12" i="46" s="1"/>
  <c r="H12" i="46" s="1"/>
  <c r="I12" i="46" s="1"/>
  <c r="J12" i="46" s="1"/>
  <c r="K12" i="46" s="1"/>
  <c r="L12" i="46" s="1"/>
  <c r="D13" i="46"/>
  <c r="E13" i="46" s="1"/>
  <c r="F13" i="46" s="1"/>
  <c r="G13" i="46" s="1"/>
  <c r="H13" i="46" s="1"/>
  <c r="I13" i="46" s="1"/>
  <c r="J13" i="46" s="1"/>
  <c r="K13" i="46" s="1"/>
  <c r="L13" i="46" s="1"/>
  <c r="D14" i="46"/>
  <c r="E14" i="46" s="1"/>
  <c r="F14" i="46" s="1"/>
  <c r="G14" i="46" s="1"/>
  <c r="H14" i="46" s="1"/>
  <c r="I14" i="46" s="1"/>
  <c r="J14" i="46" s="1"/>
  <c r="K14" i="46" s="1"/>
  <c r="L14" i="46" s="1"/>
  <c r="D15" i="46"/>
  <c r="E15" i="46" s="1"/>
  <c r="F15" i="46" s="1"/>
  <c r="G15" i="46" s="1"/>
  <c r="H15" i="46" s="1"/>
  <c r="I15" i="46" s="1"/>
  <c r="J15" i="46" s="1"/>
  <c r="K15" i="46" s="1"/>
  <c r="L15" i="46" s="1"/>
  <c r="D16" i="46"/>
  <c r="E16" i="46" s="1"/>
  <c r="F16" i="46" s="1"/>
  <c r="G16" i="46" s="1"/>
  <c r="H16" i="46" s="1"/>
  <c r="I16" i="46" s="1"/>
  <c r="J16" i="46" s="1"/>
  <c r="K16" i="46" s="1"/>
  <c r="L16" i="46" s="1"/>
  <c r="D17" i="46"/>
  <c r="E17" i="46" s="1"/>
  <c r="F17" i="46" s="1"/>
  <c r="G17" i="46" s="1"/>
  <c r="H17" i="46" s="1"/>
  <c r="I17" i="46" s="1"/>
  <c r="J17" i="46" s="1"/>
  <c r="K17" i="46" s="1"/>
  <c r="L17" i="46" s="1"/>
  <c r="D18" i="46"/>
  <c r="E18" i="46" s="1"/>
  <c r="F18" i="46" s="1"/>
  <c r="G18" i="46" s="1"/>
  <c r="H18" i="46" s="1"/>
  <c r="I18" i="46" s="1"/>
  <c r="J18" i="46" s="1"/>
  <c r="K18" i="46" s="1"/>
  <c r="L18" i="46" s="1"/>
  <c r="D19" i="46"/>
  <c r="E19" i="46" s="1"/>
  <c r="F19" i="46" s="1"/>
  <c r="G19" i="46" s="1"/>
  <c r="H19" i="46" s="1"/>
  <c r="I19" i="46" s="1"/>
  <c r="J19" i="46" s="1"/>
  <c r="K19" i="46" s="1"/>
  <c r="L19" i="46" s="1"/>
  <c r="D20" i="46"/>
  <c r="E20" i="46" s="1"/>
  <c r="F20" i="46" s="1"/>
  <c r="G20" i="46" s="1"/>
  <c r="H20" i="46" s="1"/>
  <c r="I20" i="46" s="1"/>
  <c r="J20" i="46" s="1"/>
  <c r="K20" i="46" s="1"/>
  <c r="L20" i="46" s="1"/>
  <c r="D21" i="46"/>
  <c r="E21" i="46" s="1"/>
  <c r="F21" i="46" s="1"/>
  <c r="G21" i="46" s="1"/>
  <c r="H21" i="46" s="1"/>
  <c r="I21" i="46" s="1"/>
  <c r="J21" i="46" s="1"/>
  <c r="K21" i="46" s="1"/>
  <c r="L21" i="46" s="1"/>
  <c r="D22" i="46"/>
  <c r="E22" i="46" s="1"/>
  <c r="F22" i="46" s="1"/>
  <c r="G22" i="46" s="1"/>
  <c r="H22" i="46" s="1"/>
  <c r="I22" i="46" s="1"/>
  <c r="J22" i="46" s="1"/>
  <c r="K22" i="46" s="1"/>
  <c r="L22" i="46" s="1"/>
  <c r="D23" i="46"/>
  <c r="E23" i="46" s="1"/>
  <c r="F23" i="46" s="1"/>
  <c r="G23" i="46" s="1"/>
  <c r="H23" i="46" s="1"/>
  <c r="I23" i="46" s="1"/>
  <c r="J23" i="46" s="1"/>
  <c r="K23" i="46" s="1"/>
  <c r="L23" i="46" s="1"/>
  <c r="D24" i="46"/>
  <c r="E24" i="46" s="1"/>
  <c r="F24" i="46" s="1"/>
  <c r="G24" i="46" s="1"/>
  <c r="H24" i="46" s="1"/>
  <c r="I24" i="46" s="1"/>
  <c r="J24" i="46" s="1"/>
  <c r="K24" i="46" s="1"/>
  <c r="L24" i="46" s="1"/>
  <c r="D25" i="46"/>
  <c r="E25" i="46" s="1"/>
  <c r="F25" i="46" s="1"/>
  <c r="G25" i="46" s="1"/>
  <c r="H25" i="46" s="1"/>
  <c r="I25" i="46" s="1"/>
  <c r="J25" i="46" s="1"/>
  <c r="K25" i="46" s="1"/>
  <c r="L25" i="46" s="1"/>
  <c r="D26" i="46"/>
  <c r="E26" i="46" s="1"/>
  <c r="F26" i="46" s="1"/>
  <c r="G26" i="46" s="1"/>
  <c r="H26" i="46" s="1"/>
  <c r="I26" i="46" s="1"/>
  <c r="J26" i="46" s="1"/>
  <c r="K26" i="46" s="1"/>
  <c r="L26" i="46" s="1"/>
  <c r="D27" i="46"/>
  <c r="E27" i="46" s="1"/>
  <c r="F27" i="46" s="1"/>
  <c r="G27" i="46" s="1"/>
  <c r="H27" i="46" s="1"/>
  <c r="I27" i="46" s="1"/>
  <c r="J27" i="46" s="1"/>
  <c r="K27" i="46" s="1"/>
  <c r="L27" i="46" s="1"/>
  <c r="D28" i="46"/>
  <c r="E28" i="46" s="1"/>
  <c r="F28" i="46" s="1"/>
  <c r="G28" i="46" s="1"/>
  <c r="H28" i="46" s="1"/>
  <c r="I28" i="46" s="1"/>
  <c r="J28" i="46" s="1"/>
  <c r="K28" i="46" s="1"/>
  <c r="L28" i="46" s="1"/>
  <c r="D29" i="46"/>
  <c r="E29" i="46" s="1"/>
  <c r="F29" i="46" s="1"/>
  <c r="G29" i="46" s="1"/>
  <c r="H29" i="46" s="1"/>
  <c r="I29" i="46" s="1"/>
  <c r="J29" i="46" s="1"/>
  <c r="K29" i="46" s="1"/>
  <c r="L29" i="46" s="1"/>
  <c r="D30" i="46"/>
  <c r="E30" i="46" s="1"/>
  <c r="F30" i="46" s="1"/>
  <c r="G30" i="46" s="1"/>
  <c r="H30" i="46" s="1"/>
  <c r="I30" i="46" s="1"/>
  <c r="J30" i="46" s="1"/>
  <c r="K30" i="46" s="1"/>
  <c r="L30" i="46" s="1"/>
  <c r="D6" i="46"/>
  <c r="E6" i="46" s="1"/>
  <c r="F6" i="46" s="1"/>
  <c r="G6" i="46" s="1"/>
  <c r="H6" i="46" s="1"/>
  <c r="I6" i="46" s="1"/>
  <c r="J6" i="46" s="1"/>
  <c r="K6" i="46" s="1"/>
  <c r="L6" i="46" s="1"/>
  <c r="B2" i="107" l="1"/>
  <c r="D12" i="110"/>
  <c r="BV12" i="110" s="1"/>
  <c r="D5" i="106"/>
  <c r="R1" i="107" s="1"/>
  <c r="D85" i="46"/>
  <c r="E85" i="46" s="1"/>
  <c r="F85" i="46" s="1"/>
  <c r="G85" i="46" s="1"/>
  <c r="H85" i="46" s="1"/>
  <c r="I85" i="46" s="1"/>
  <c r="J85" i="46" s="1"/>
  <c r="K85" i="46" s="1"/>
  <c r="L85" i="46" s="1"/>
  <c r="AF12" i="110" l="1"/>
  <c r="AL1" i="107"/>
  <c r="AB1" i="107"/>
  <c r="AT12" i="110"/>
  <c r="BH12" i="110"/>
  <c r="R12" i="110"/>
  <c r="BI2" i="107"/>
  <c r="C10" i="93" l="1"/>
  <c r="C10" i="91"/>
  <c r="C10" i="89"/>
  <c r="C10" i="87"/>
  <c r="BT68" i="110"/>
  <c r="BT54" i="110"/>
  <c r="BT40" i="110"/>
  <c r="BT26" i="110"/>
  <c r="BT12" i="110"/>
  <c r="BF12" i="110"/>
  <c r="BF26" i="110"/>
  <c r="BF40" i="110"/>
  <c r="BF54" i="110"/>
  <c r="BF68" i="110"/>
  <c r="AR68" i="110"/>
  <c r="AR54" i="110"/>
  <c r="AR40" i="110"/>
  <c r="AR26" i="110"/>
  <c r="AR12" i="110"/>
  <c r="AD68" i="110"/>
  <c r="AD54" i="110"/>
  <c r="AD40" i="110"/>
  <c r="AD26" i="110"/>
  <c r="AD12" i="110"/>
  <c r="P12" i="110"/>
  <c r="P26" i="110"/>
  <c r="P40" i="110"/>
  <c r="P54" i="110"/>
  <c r="P68" i="110"/>
  <c r="B68" i="110"/>
  <c r="B54" i="110"/>
  <c r="B40" i="110"/>
  <c r="B26" i="110"/>
  <c r="B12" i="110"/>
  <c r="D7" i="110"/>
  <c r="F6" i="110"/>
  <c r="F7" i="110" s="1"/>
  <c r="F5" i="110"/>
  <c r="E5" i="110"/>
  <c r="E7" i="110" s="1"/>
  <c r="BZ76" i="110" s="1"/>
  <c r="M69" i="106"/>
  <c r="L69" i="106"/>
  <c r="K69" i="106"/>
  <c r="J69" i="106"/>
  <c r="I69" i="106"/>
  <c r="H69" i="106"/>
  <c r="G69" i="106"/>
  <c r="F69" i="106"/>
  <c r="E69" i="106"/>
  <c r="D69" i="106"/>
  <c r="M41" i="106"/>
  <c r="L41" i="106"/>
  <c r="K41" i="106"/>
  <c r="J41" i="106"/>
  <c r="I41" i="106"/>
  <c r="H41" i="106"/>
  <c r="G41" i="106"/>
  <c r="F41" i="106"/>
  <c r="E41" i="106"/>
  <c r="D41" i="106"/>
  <c r="F2" i="107"/>
  <c r="E2" i="107" s="1"/>
  <c r="C12" i="102"/>
  <c r="P2" i="107"/>
  <c r="N41" i="106" l="1"/>
  <c r="N69" i="106"/>
  <c r="G76" i="110"/>
  <c r="AI76" i="110"/>
  <c r="BA76" i="110"/>
  <c r="J48" i="110"/>
  <c r="H76" i="110"/>
  <c r="T48" i="110"/>
  <c r="R76" i="110"/>
  <c r="Z76" i="110"/>
  <c r="AL48" i="110"/>
  <c r="AJ76" i="110"/>
  <c r="AV48" i="110"/>
  <c r="AT76" i="110"/>
  <c r="BB76" i="110"/>
  <c r="BN48" i="110"/>
  <c r="BL76" i="110"/>
  <c r="BV48" i="110"/>
  <c r="CD48" i="110"/>
  <c r="CB76" i="110"/>
  <c r="K48" i="110"/>
  <c r="I76" i="110"/>
  <c r="U48" i="110"/>
  <c r="S76" i="110"/>
  <c r="AA76" i="110"/>
  <c r="AM48" i="110"/>
  <c r="AK76" i="110"/>
  <c r="AW48" i="110"/>
  <c r="AU76" i="110"/>
  <c r="BC76" i="110"/>
  <c r="BO48" i="110"/>
  <c r="BM76" i="110"/>
  <c r="BW48" i="110"/>
  <c r="CE48" i="110"/>
  <c r="CC76" i="110"/>
  <c r="S48" i="110"/>
  <c r="AU48" i="110"/>
  <c r="BM48" i="110"/>
  <c r="CA76" i="110"/>
  <c r="D48" i="110"/>
  <c r="L48" i="110"/>
  <c r="J76" i="110"/>
  <c r="V48" i="110"/>
  <c r="T76" i="110"/>
  <c r="AF48" i="110"/>
  <c r="AN48" i="110"/>
  <c r="AL76" i="110"/>
  <c r="AX48" i="110"/>
  <c r="AV76" i="110"/>
  <c r="BH48" i="110"/>
  <c r="BP48" i="110"/>
  <c r="BN76" i="110"/>
  <c r="BX48" i="110"/>
  <c r="BV76" i="110"/>
  <c r="CD76" i="110"/>
  <c r="E48" i="110"/>
  <c r="M48" i="110"/>
  <c r="K76" i="110"/>
  <c r="W48" i="110"/>
  <c r="U76" i="110"/>
  <c r="AG48" i="110"/>
  <c r="AO48" i="110"/>
  <c r="AM76" i="110"/>
  <c r="AY48" i="110"/>
  <c r="AW76" i="110"/>
  <c r="BI48" i="110"/>
  <c r="BQ48" i="110"/>
  <c r="BO76" i="110"/>
  <c r="BY48" i="110"/>
  <c r="BW76" i="110"/>
  <c r="CE76" i="110"/>
  <c r="AK48" i="110"/>
  <c r="BK76" i="110"/>
  <c r="F48" i="110"/>
  <c r="L76" i="110"/>
  <c r="X48" i="110"/>
  <c r="V76" i="110"/>
  <c r="AH48" i="110"/>
  <c r="AF76" i="110"/>
  <c r="AN76" i="110"/>
  <c r="AZ48" i="110"/>
  <c r="AX76" i="110"/>
  <c r="BJ48" i="110"/>
  <c r="BH76" i="110"/>
  <c r="BP76" i="110"/>
  <c r="BZ48" i="110"/>
  <c r="BX76" i="110"/>
  <c r="Y76" i="110"/>
  <c r="D76" i="110"/>
  <c r="G48" i="110"/>
  <c r="E76" i="110"/>
  <c r="M76" i="110"/>
  <c r="Y48" i="110"/>
  <c r="W76" i="110"/>
  <c r="AI48" i="110"/>
  <c r="AG76" i="110"/>
  <c r="AO76" i="110"/>
  <c r="BA48" i="110"/>
  <c r="AY76" i="110"/>
  <c r="BK48" i="110"/>
  <c r="BI76" i="110"/>
  <c r="BQ76" i="110"/>
  <c r="CA48" i="110"/>
  <c r="BY76" i="110"/>
  <c r="I48" i="110"/>
  <c r="AA48" i="110"/>
  <c r="BC48" i="110"/>
  <c r="CC48" i="110"/>
  <c r="H48" i="110"/>
  <c r="F76" i="110"/>
  <c r="R48" i="110"/>
  <c r="Z48" i="110"/>
  <c r="X76" i="110"/>
  <c r="AJ48" i="110"/>
  <c r="AH76" i="110"/>
  <c r="AT48" i="110"/>
  <c r="BB48" i="110"/>
  <c r="AZ76" i="110"/>
  <c r="BL48" i="110"/>
  <c r="BJ76" i="110"/>
  <c r="CB48" i="110"/>
  <c r="H59" i="87"/>
  <c r="H59" i="89"/>
  <c r="H59" i="91"/>
  <c r="H59" i="93"/>
  <c r="L59" i="87"/>
  <c r="K59" i="87"/>
  <c r="J59" i="87"/>
  <c r="I59" i="87"/>
  <c r="G59" i="87"/>
  <c r="F59" i="87"/>
  <c r="E59" i="87"/>
  <c r="D59" i="87"/>
  <c r="L59" i="89"/>
  <c r="K59" i="89"/>
  <c r="J59" i="89"/>
  <c r="I59" i="89"/>
  <c r="G59" i="89"/>
  <c r="F59" i="89"/>
  <c r="E59" i="89"/>
  <c r="D59" i="89"/>
  <c r="L59" i="91"/>
  <c r="K59" i="91"/>
  <c r="J59" i="91"/>
  <c r="I59" i="91"/>
  <c r="G59" i="91"/>
  <c r="F59" i="91"/>
  <c r="E59" i="91"/>
  <c r="D59" i="91"/>
  <c r="L59" i="93"/>
  <c r="K59" i="93"/>
  <c r="J59" i="93"/>
  <c r="I59" i="93"/>
  <c r="G59" i="93"/>
  <c r="F59" i="93"/>
  <c r="E59" i="93"/>
  <c r="D59" i="93"/>
  <c r="C59" i="87"/>
  <c r="C59" i="89"/>
  <c r="C59" i="91"/>
  <c r="C59" i="93"/>
  <c r="F3" i="114" a="1"/>
  <c r="AB122" i="87"/>
  <c r="AO69" i="110" s="1"/>
  <c r="AA122" i="87"/>
  <c r="AN69" i="110" s="1"/>
  <c r="Z122" i="87"/>
  <c r="AM69" i="110" s="1"/>
  <c r="Y122" i="87"/>
  <c r="AL69" i="110" s="1"/>
  <c r="X122" i="87"/>
  <c r="AK69" i="110" s="1"/>
  <c r="W122" i="87"/>
  <c r="AJ69" i="110" s="1"/>
  <c r="V122" i="87"/>
  <c r="AI69" i="110" s="1"/>
  <c r="U122" i="87"/>
  <c r="AH69" i="110" s="1"/>
  <c r="T122" i="87"/>
  <c r="AG69" i="110" s="1"/>
  <c r="AB122" i="89"/>
  <c r="BC69" i="110" s="1"/>
  <c r="AA122" i="89"/>
  <c r="BB69" i="110" s="1"/>
  <c r="Z122" i="89"/>
  <c r="BA69" i="110" s="1"/>
  <c r="Y122" i="89"/>
  <c r="AZ69" i="110" s="1"/>
  <c r="X122" i="89"/>
  <c r="AY69" i="110" s="1"/>
  <c r="W122" i="89"/>
  <c r="AX69" i="110" s="1"/>
  <c r="V122" i="89"/>
  <c r="AW69" i="110" s="1"/>
  <c r="U122" i="89"/>
  <c r="AV69" i="110" s="1"/>
  <c r="T122" i="89"/>
  <c r="AU69" i="110" s="1"/>
  <c r="AB122" i="91"/>
  <c r="BQ69" i="110" s="1"/>
  <c r="AA122" i="91"/>
  <c r="BP69" i="110" s="1"/>
  <c r="Z122" i="91"/>
  <c r="BO69" i="110" s="1"/>
  <c r="Y122" i="91"/>
  <c r="BN69" i="110" s="1"/>
  <c r="X122" i="91"/>
  <c r="BM69" i="110" s="1"/>
  <c r="W122" i="91"/>
  <c r="BL69" i="110" s="1"/>
  <c r="V122" i="91"/>
  <c r="BK69" i="110" s="1"/>
  <c r="U122" i="91"/>
  <c r="BJ69" i="110" s="1"/>
  <c r="T122" i="91"/>
  <c r="BI69" i="110" s="1"/>
  <c r="AB122" i="93"/>
  <c r="CE69" i="110" s="1"/>
  <c r="AA122" i="93"/>
  <c r="CD69" i="110" s="1"/>
  <c r="Z122" i="93"/>
  <c r="CC69" i="110" s="1"/>
  <c r="Y122" i="93"/>
  <c r="CB69" i="110" s="1"/>
  <c r="X122" i="93"/>
  <c r="CA69" i="110" s="1"/>
  <c r="W122" i="93"/>
  <c r="BZ69" i="110" s="1"/>
  <c r="V122" i="93"/>
  <c r="BY69" i="110" s="1"/>
  <c r="U122" i="93"/>
  <c r="BX69" i="110" s="1"/>
  <c r="T122" i="93"/>
  <c r="BW69" i="110" s="1"/>
  <c r="S122" i="87"/>
  <c r="AF69" i="110" s="1"/>
  <c r="S122" i="89"/>
  <c r="AT69" i="110" s="1"/>
  <c r="S122" i="91"/>
  <c r="BH69" i="110" s="1"/>
  <c r="S122" i="93"/>
  <c r="BV69" i="110" s="1"/>
  <c r="AB108" i="87"/>
  <c r="AO55" i="110" s="1"/>
  <c r="AA108" i="87"/>
  <c r="AN55" i="110" s="1"/>
  <c r="Z108" i="87"/>
  <c r="AM55" i="110" s="1"/>
  <c r="Y108" i="87"/>
  <c r="AL55" i="110" s="1"/>
  <c r="X108" i="87"/>
  <c r="AK55" i="110" s="1"/>
  <c r="W108" i="87"/>
  <c r="AJ55" i="110" s="1"/>
  <c r="V108" i="87"/>
  <c r="AI55" i="110" s="1"/>
  <c r="U108" i="87"/>
  <c r="AH55" i="110" s="1"/>
  <c r="T108" i="87"/>
  <c r="AG55" i="110" s="1"/>
  <c r="AB108" i="89"/>
  <c r="BC55" i="110" s="1"/>
  <c r="AA108" i="89"/>
  <c r="BB55" i="110" s="1"/>
  <c r="Z108" i="89"/>
  <c r="BA55" i="110" s="1"/>
  <c r="Y108" i="89"/>
  <c r="AZ55" i="110" s="1"/>
  <c r="X108" i="89"/>
  <c r="AY55" i="110" s="1"/>
  <c r="W108" i="89"/>
  <c r="AX55" i="110" s="1"/>
  <c r="V108" i="89"/>
  <c r="AW55" i="110" s="1"/>
  <c r="U108" i="89"/>
  <c r="AV55" i="110" s="1"/>
  <c r="T108" i="89"/>
  <c r="AU55" i="110" s="1"/>
  <c r="AB108" i="91"/>
  <c r="BQ55" i="110" s="1"/>
  <c r="AA108" i="91"/>
  <c r="BP55" i="110" s="1"/>
  <c r="Z108" i="91"/>
  <c r="BO55" i="110" s="1"/>
  <c r="Y108" i="91"/>
  <c r="BN55" i="110" s="1"/>
  <c r="X108" i="91"/>
  <c r="BM55" i="110" s="1"/>
  <c r="W108" i="91"/>
  <c r="BL55" i="110" s="1"/>
  <c r="V108" i="91"/>
  <c r="BK55" i="110" s="1"/>
  <c r="U108" i="91"/>
  <c r="BJ55" i="110" s="1"/>
  <c r="T108" i="91"/>
  <c r="BI55" i="110" s="1"/>
  <c r="AB108" i="93"/>
  <c r="CE55" i="110" s="1"/>
  <c r="AA108" i="93"/>
  <c r="CD55" i="110" s="1"/>
  <c r="Z108" i="93"/>
  <c r="CC55" i="110" s="1"/>
  <c r="Y108" i="93"/>
  <c r="CB55" i="110" s="1"/>
  <c r="X108" i="93"/>
  <c r="CA55" i="110" s="1"/>
  <c r="W108" i="93"/>
  <c r="BZ55" i="110" s="1"/>
  <c r="V108" i="93"/>
  <c r="BY55" i="110" s="1"/>
  <c r="U108" i="93"/>
  <c r="BX55" i="110" s="1"/>
  <c r="T108" i="93"/>
  <c r="BW55" i="110" s="1"/>
  <c r="S108" i="87"/>
  <c r="AF55" i="110" s="1"/>
  <c r="S108" i="89"/>
  <c r="AT55" i="110" s="1"/>
  <c r="S108" i="91"/>
  <c r="BH55" i="110" s="1"/>
  <c r="S108" i="93"/>
  <c r="BV55" i="110" s="1"/>
  <c r="AB94" i="87"/>
  <c r="AO41" i="110" s="1"/>
  <c r="AA94" i="87"/>
  <c r="AN41" i="110" s="1"/>
  <c r="Z94" i="87"/>
  <c r="AM41" i="110" s="1"/>
  <c r="Y94" i="87"/>
  <c r="AL41" i="110" s="1"/>
  <c r="X94" i="87"/>
  <c r="AK41" i="110" s="1"/>
  <c r="W94" i="87"/>
  <c r="AJ41" i="110" s="1"/>
  <c r="V94" i="87"/>
  <c r="AI41" i="110" s="1"/>
  <c r="U94" i="87"/>
  <c r="AH41" i="110" s="1"/>
  <c r="T94" i="87"/>
  <c r="AG41" i="110" s="1"/>
  <c r="AB94" i="89"/>
  <c r="BC41" i="110" s="1"/>
  <c r="AA94" i="89"/>
  <c r="BB41" i="110" s="1"/>
  <c r="Z94" i="89"/>
  <c r="BA41" i="110" s="1"/>
  <c r="Y94" i="89"/>
  <c r="AZ41" i="110" s="1"/>
  <c r="X94" i="89"/>
  <c r="AY41" i="110" s="1"/>
  <c r="W94" i="89"/>
  <c r="AX41" i="110" s="1"/>
  <c r="V94" i="89"/>
  <c r="AW41" i="110" s="1"/>
  <c r="U94" i="89"/>
  <c r="AV41" i="110" s="1"/>
  <c r="T94" i="89"/>
  <c r="AU41" i="110" s="1"/>
  <c r="AB94" i="91"/>
  <c r="BQ41" i="110" s="1"/>
  <c r="AA94" i="91"/>
  <c r="BP41" i="110" s="1"/>
  <c r="Z94" i="91"/>
  <c r="BO41" i="110" s="1"/>
  <c r="Y94" i="91"/>
  <c r="BN41" i="110" s="1"/>
  <c r="X94" i="91"/>
  <c r="BM41" i="110" s="1"/>
  <c r="W94" i="91"/>
  <c r="BL41" i="110" s="1"/>
  <c r="V94" i="91"/>
  <c r="BK41" i="110" s="1"/>
  <c r="U94" i="91"/>
  <c r="BJ41" i="110" s="1"/>
  <c r="T94" i="91"/>
  <c r="BI41" i="110" s="1"/>
  <c r="AB94" i="93"/>
  <c r="CE41" i="110" s="1"/>
  <c r="AA94" i="93"/>
  <c r="CD41" i="110" s="1"/>
  <c r="Z94" i="93"/>
  <c r="CC41" i="110" s="1"/>
  <c r="Y94" i="93"/>
  <c r="CB41" i="110" s="1"/>
  <c r="X94" i="93"/>
  <c r="CA41" i="110" s="1"/>
  <c r="W94" i="93"/>
  <c r="BZ41" i="110" s="1"/>
  <c r="V94" i="93"/>
  <c r="BY41" i="110" s="1"/>
  <c r="U94" i="93"/>
  <c r="BX41" i="110" s="1"/>
  <c r="T94" i="93"/>
  <c r="BW41" i="110" s="1"/>
  <c r="S94" i="87"/>
  <c r="AF41" i="110" s="1"/>
  <c r="S94" i="89"/>
  <c r="AT41" i="110" s="1"/>
  <c r="S94" i="91"/>
  <c r="BH41" i="110" s="1"/>
  <c r="S94" i="93"/>
  <c r="BV41" i="110" s="1"/>
  <c r="L40" i="87"/>
  <c r="K40" i="87"/>
  <c r="J40" i="87"/>
  <c r="I40" i="87"/>
  <c r="L40" i="89"/>
  <c r="K40" i="89"/>
  <c r="J40" i="89"/>
  <c r="I40" i="89"/>
  <c r="L40" i="91"/>
  <c r="K40" i="91"/>
  <c r="J40" i="91"/>
  <c r="I40" i="91"/>
  <c r="L40" i="93"/>
  <c r="K40" i="93"/>
  <c r="J40" i="93"/>
  <c r="I40" i="93"/>
  <c r="L40" i="28"/>
  <c r="K40" i="28"/>
  <c r="J40" i="28"/>
  <c r="I40" i="28"/>
  <c r="H40" i="28"/>
  <c r="C40" i="28"/>
  <c r="M34" i="87"/>
  <c r="M34" i="89"/>
  <c r="M34" i="91"/>
  <c r="M34" i="93"/>
  <c r="M34" i="28"/>
  <c r="D40" i="87"/>
  <c r="D40" i="89"/>
  <c r="D40" i="91"/>
  <c r="D40" i="93"/>
  <c r="D40" i="28"/>
  <c r="H40" i="87"/>
  <c r="G40" i="87"/>
  <c r="F40" i="87"/>
  <c r="E40" i="87"/>
  <c r="H40" i="89"/>
  <c r="G40" i="89"/>
  <c r="F40" i="89"/>
  <c r="E40" i="89"/>
  <c r="H40" i="91"/>
  <c r="G40" i="91"/>
  <c r="F40" i="91"/>
  <c r="E40" i="91"/>
  <c r="H40" i="93"/>
  <c r="G40" i="93"/>
  <c r="F40" i="93"/>
  <c r="E40" i="93"/>
  <c r="G40" i="28"/>
  <c r="F40" i="28"/>
  <c r="E40" i="28"/>
  <c r="C40" i="87"/>
  <c r="C40" i="89"/>
  <c r="C40" i="91"/>
  <c r="C40" i="93"/>
  <c r="M39" i="87"/>
  <c r="M38" i="87"/>
  <c r="M37" i="87"/>
  <c r="M36" i="87"/>
  <c r="M35" i="87"/>
  <c r="M33" i="87"/>
  <c r="M32" i="87"/>
  <c r="M31" i="87"/>
  <c r="M30" i="87"/>
  <c r="M39" i="89"/>
  <c r="M38" i="89"/>
  <c r="M37" i="89"/>
  <c r="M36" i="89"/>
  <c r="M35" i="89"/>
  <c r="M33" i="89"/>
  <c r="M32" i="89"/>
  <c r="M31" i="89"/>
  <c r="M30" i="89"/>
  <c r="M39" i="91"/>
  <c r="M38" i="91"/>
  <c r="M37" i="91"/>
  <c r="M36" i="91"/>
  <c r="M35" i="91"/>
  <c r="M33" i="91"/>
  <c r="M32" i="91"/>
  <c r="M31" i="91"/>
  <c r="M30" i="91"/>
  <c r="M39" i="93"/>
  <c r="M38" i="93"/>
  <c r="M37" i="93"/>
  <c r="M36" i="93"/>
  <c r="M35" i="93"/>
  <c r="M33" i="93"/>
  <c r="M32" i="93"/>
  <c r="M31" i="93"/>
  <c r="M30" i="93"/>
  <c r="M39" i="28"/>
  <c r="M38" i="28"/>
  <c r="M37" i="28"/>
  <c r="M36" i="28"/>
  <c r="M35" i="28"/>
  <c r="M33" i="28"/>
  <c r="M32" i="28"/>
  <c r="M31" i="28"/>
  <c r="M30" i="28"/>
  <c r="C8" i="87"/>
  <c r="C8" i="89"/>
  <c r="C8" i="91"/>
  <c r="C8" i="93"/>
  <c r="BI38" i="28"/>
  <c r="C7" i="87"/>
  <c r="BI33" i="87" s="1"/>
  <c r="C7" i="89"/>
  <c r="BI39" i="89" s="1"/>
  <c r="C7" i="91"/>
  <c r="BC38" i="91" s="1"/>
  <c r="C7" i="93"/>
  <c r="BI37" i="93" s="1"/>
  <c r="G7" i="87"/>
  <c r="G7" i="89"/>
  <c r="G7" i="91"/>
  <c r="G7" i="93"/>
  <c r="Y115" i="87" l="1"/>
  <c r="AA87" i="87"/>
  <c r="S87" i="87"/>
  <c r="W115" i="87"/>
  <c r="T115" i="87"/>
  <c r="AA115" i="87"/>
  <c r="AB87" i="87"/>
  <c r="X115" i="87"/>
  <c r="Z87" i="87"/>
  <c r="Y87" i="87"/>
  <c r="V87" i="87"/>
  <c r="U87" i="87"/>
  <c r="Z115" i="87"/>
  <c r="V115" i="87"/>
  <c r="X87" i="87"/>
  <c r="U115" i="87"/>
  <c r="W87" i="87"/>
  <c r="AB115" i="87"/>
  <c r="S115" i="87"/>
  <c r="T87" i="87"/>
  <c r="AB115" i="89"/>
  <c r="AA115" i="89"/>
  <c r="S115" i="89"/>
  <c r="W87" i="89"/>
  <c r="Z115" i="89"/>
  <c r="V87" i="89"/>
  <c r="X87" i="89"/>
  <c r="Y115" i="89"/>
  <c r="U87" i="89"/>
  <c r="Z87" i="89"/>
  <c r="X115" i="89"/>
  <c r="AB87" i="89"/>
  <c r="T87" i="89"/>
  <c r="U115" i="89"/>
  <c r="T115" i="89"/>
  <c r="W115" i="89"/>
  <c r="AA87" i="89"/>
  <c r="S87" i="89"/>
  <c r="V115" i="89"/>
  <c r="Y87" i="89"/>
  <c r="AB115" i="91"/>
  <c r="T115" i="91"/>
  <c r="Z87" i="91"/>
  <c r="AA115" i="91"/>
  <c r="S115" i="91"/>
  <c r="Y87" i="91"/>
  <c r="Z115" i="91"/>
  <c r="X87" i="91"/>
  <c r="Y115" i="91"/>
  <c r="W87" i="91"/>
  <c r="T87" i="91"/>
  <c r="S87" i="91"/>
  <c r="X115" i="91"/>
  <c r="V87" i="91"/>
  <c r="V115" i="91"/>
  <c r="U115" i="91"/>
  <c r="W115" i="91"/>
  <c r="U87" i="91"/>
  <c r="AB87" i="91"/>
  <c r="AA87" i="91"/>
  <c r="Y115" i="93"/>
  <c r="Y87" i="93"/>
  <c r="X115" i="93"/>
  <c r="X87" i="93"/>
  <c r="AA87" i="93"/>
  <c r="W115" i="93"/>
  <c r="W87" i="93"/>
  <c r="U115" i="93"/>
  <c r="U87" i="93"/>
  <c r="T115" i="93"/>
  <c r="T87" i="93"/>
  <c r="S115" i="93"/>
  <c r="S87" i="93"/>
  <c r="Z87" i="93"/>
  <c r="V115" i="93"/>
  <c r="V87" i="93"/>
  <c r="AB115" i="93"/>
  <c r="AB87" i="93"/>
  <c r="AA115" i="93"/>
  <c r="Z115" i="93"/>
  <c r="C6" i="91"/>
  <c r="G6" i="91"/>
  <c r="C6" i="93"/>
  <c r="G6" i="93"/>
  <c r="C6" i="89"/>
  <c r="G6" i="89"/>
  <c r="C6" i="87"/>
  <c r="G6" i="87"/>
  <c r="AQ36" i="91"/>
  <c r="AT30" i="91"/>
  <c r="AE31" i="91"/>
  <c r="AT33" i="91"/>
  <c r="AQ33" i="89"/>
  <c r="AK35" i="91"/>
  <c r="AN33" i="91"/>
  <c r="AK38" i="91"/>
  <c r="AW33" i="89"/>
  <c r="AK34" i="91"/>
  <c r="AT34" i="91"/>
  <c r="AE39" i="87"/>
  <c r="AQ30" i="91"/>
  <c r="AT30" i="87"/>
  <c r="AN32" i="89"/>
  <c r="AN34" i="91"/>
  <c r="AH35" i="87"/>
  <c r="AQ37" i="87"/>
  <c r="BF30" i="91"/>
  <c r="AE30" i="87"/>
  <c r="AW33" i="87"/>
  <c r="AQ34" i="87"/>
  <c r="AQ36" i="87"/>
  <c r="AW38" i="87"/>
  <c r="AZ35" i="87"/>
  <c r="AT34" i="87"/>
  <c r="AE37" i="87"/>
  <c r="AQ39" i="87"/>
  <c r="BF37" i="87"/>
  <c r="AH31" i="87"/>
  <c r="AT35" i="87"/>
  <c r="AT37" i="87"/>
  <c r="AZ30" i="87"/>
  <c r="AT31" i="87"/>
  <c r="BI31" i="87"/>
  <c r="AE33" i="87"/>
  <c r="AQ31" i="91"/>
  <c r="AK32" i="91"/>
  <c r="AQ32" i="87"/>
  <c r="AT35" i="91"/>
  <c r="AN37" i="91"/>
  <c r="AQ38" i="91"/>
  <c r="AZ33" i="91"/>
  <c r="AH30" i="87"/>
  <c r="AE32" i="87"/>
  <c r="AE37" i="91"/>
  <c r="AE36" i="89"/>
  <c r="AW30" i="89"/>
  <c r="AT32" i="91"/>
  <c r="AH33" i="87"/>
  <c r="AN34" i="89"/>
  <c r="AT37" i="91"/>
  <c r="AN38" i="87"/>
  <c r="BF32" i="87"/>
  <c r="AH31" i="89"/>
  <c r="AK33" i="91"/>
  <c r="AT33" i="87"/>
  <c r="AT34" i="89"/>
  <c r="AQ37" i="89"/>
  <c r="AQ38" i="87"/>
  <c r="BF35" i="91"/>
  <c r="BR48" i="110"/>
  <c r="CF48" i="110"/>
  <c r="N76" i="110"/>
  <c r="AB76" i="110"/>
  <c r="N48" i="110"/>
  <c r="AB48" i="110"/>
  <c r="AP76" i="110"/>
  <c r="CF76" i="110"/>
  <c r="BD76" i="110"/>
  <c r="AP48" i="110"/>
  <c r="BD48" i="110"/>
  <c r="BR76" i="110"/>
  <c r="BR41" i="110"/>
  <c r="CF69" i="110"/>
  <c r="U54" i="89"/>
  <c r="S54" i="89"/>
  <c r="C54" i="89" s="1"/>
  <c r="T54" i="89"/>
  <c r="X54" i="89"/>
  <c r="W54" i="89"/>
  <c r="V54" i="89"/>
  <c r="S54" i="87"/>
  <c r="C54" i="87" s="1"/>
  <c r="W54" i="87"/>
  <c r="X54" i="87"/>
  <c r="V54" i="87"/>
  <c r="U54" i="87"/>
  <c r="T54" i="87"/>
  <c r="Z54" i="93"/>
  <c r="J54" i="93" s="1"/>
  <c r="X54" i="93"/>
  <c r="V54" i="93"/>
  <c r="U54" i="93"/>
  <c r="T54" i="93"/>
  <c r="S54" i="93"/>
  <c r="C54" i="93" s="1"/>
  <c r="W54" i="93"/>
  <c r="S54" i="91"/>
  <c r="C54" i="91" s="1"/>
  <c r="W54" i="91"/>
  <c r="X54" i="91"/>
  <c r="V54" i="91"/>
  <c r="U54" i="91"/>
  <c r="T54" i="91"/>
  <c r="BD41" i="110"/>
  <c r="BR55" i="110"/>
  <c r="AP41" i="110"/>
  <c r="BD55" i="110"/>
  <c r="BR69" i="110"/>
  <c r="AP55" i="110"/>
  <c r="BD69" i="110"/>
  <c r="AP69" i="110"/>
  <c r="CF41" i="110"/>
  <c r="CF55" i="110"/>
  <c r="AH33" i="28"/>
  <c r="AH37" i="28"/>
  <c r="AK34" i="28"/>
  <c r="AE31" i="28"/>
  <c r="AK31" i="28"/>
  <c r="AN31" i="93"/>
  <c r="AT31" i="89"/>
  <c r="AH32" i="93"/>
  <c r="AH35" i="93"/>
  <c r="AE32" i="28"/>
  <c r="AE37" i="93"/>
  <c r="AQ31" i="28"/>
  <c r="AT31" i="93"/>
  <c r="AW31" i="91"/>
  <c r="AH32" i="28"/>
  <c r="AN32" i="93"/>
  <c r="AQ32" i="91"/>
  <c r="AT32" i="89"/>
  <c r="AW32" i="87"/>
  <c r="AK35" i="28"/>
  <c r="AN35" i="93"/>
  <c r="AQ35" i="91"/>
  <c r="AT35" i="89"/>
  <c r="AH36" i="28"/>
  <c r="AK36" i="93"/>
  <c r="AN36" i="91"/>
  <c r="AT36" i="89"/>
  <c r="AW36" i="87"/>
  <c r="AH39" i="28"/>
  <c r="AN39" i="93"/>
  <c r="AQ39" i="91"/>
  <c r="AQ39" i="89"/>
  <c r="AW39" i="87"/>
  <c r="BF30" i="93"/>
  <c r="AZ30" i="89"/>
  <c r="BF31" i="87"/>
  <c r="AZ33" i="93"/>
  <c r="BF32" i="89"/>
  <c r="AZ34" i="28"/>
  <c r="BF35" i="93"/>
  <c r="AZ35" i="89"/>
  <c r="BF36" i="28"/>
  <c r="AZ36" i="91"/>
  <c r="BF37" i="89"/>
  <c r="AZ39" i="28"/>
  <c r="BF38" i="91"/>
  <c r="AZ38" i="87"/>
  <c r="Z54" i="89"/>
  <c r="J54" i="89" s="1"/>
  <c r="AK33" i="93"/>
  <c r="AH34" i="93"/>
  <c r="AE32" i="89"/>
  <c r="AT31" i="28"/>
  <c r="AW31" i="93"/>
  <c r="AH30" i="89"/>
  <c r="AQ32" i="93"/>
  <c r="AN35" i="28"/>
  <c r="AQ35" i="93"/>
  <c r="AW35" i="89"/>
  <c r="AN36" i="93"/>
  <c r="AW36" i="89"/>
  <c r="AQ39" i="93"/>
  <c r="AT39" i="91"/>
  <c r="BI32" i="89"/>
  <c r="BC34" i="28"/>
  <c r="BI35" i="93"/>
  <c r="BI36" i="28"/>
  <c r="BC36" i="91"/>
  <c r="BI37" i="89"/>
  <c r="BC39" i="28"/>
  <c r="BI38" i="91"/>
  <c r="BC38" i="87"/>
  <c r="AQ30" i="93"/>
  <c r="AH37" i="93"/>
  <c r="AQ33" i="93"/>
  <c r="AE30" i="93"/>
  <c r="AK32" i="28"/>
  <c r="AW32" i="89"/>
  <c r="AK36" i="28"/>
  <c r="AK39" i="28"/>
  <c r="AT39" i="89"/>
  <c r="BI30" i="93"/>
  <c r="BC30" i="89"/>
  <c r="BC33" i="93"/>
  <c r="BC35" i="89"/>
  <c r="AE33" i="28"/>
  <c r="AE38" i="93"/>
  <c r="AW31" i="28"/>
  <c r="AH30" i="91"/>
  <c r="AK30" i="89"/>
  <c r="AK30" i="87"/>
  <c r="AN32" i="28"/>
  <c r="AT32" i="93"/>
  <c r="AW32" i="91"/>
  <c r="AE33" i="89"/>
  <c r="AK33" i="87"/>
  <c r="AQ35" i="28"/>
  <c r="AT35" i="93"/>
  <c r="AW35" i="91"/>
  <c r="AH34" i="87"/>
  <c r="AN36" i="28"/>
  <c r="AQ36" i="93"/>
  <c r="AT36" i="91"/>
  <c r="AE37" i="89"/>
  <c r="AH37" i="87"/>
  <c r="AN39" i="28"/>
  <c r="AT39" i="93"/>
  <c r="AW39" i="91"/>
  <c r="AW39" i="89"/>
  <c r="AZ31" i="93"/>
  <c r="BF30" i="89"/>
  <c r="AZ32" i="28"/>
  <c r="BF33" i="93"/>
  <c r="AZ33" i="89"/>
  <c r="BF34" i="28"/>
  <c r="AZ34" i="91"/>
  <c r="BF35" i="89"/>
  <c r="AZ37" i="28"/>
  <c r="BF36" i="91"/>
  <c r="AZ36" i="87"/>
  <c r="BF39" i="28"/>
  <c r="AZ39" i="91"/>
  <c r="BF38" i="87"/>
  <c r="AA54" i="93"/>
  <c r="K54" i="93" s="1"/>
  <c r="AE36" i="91"/>
  <c r="AE38" i="87"/>
  <c r="AH30" i="93"/>
  <c r="AK30" i="91"/>
  <c r="AN30" i="89"/>
  <c r="AN30" i="87"/>
  <c r="AQ32" i="28"/>
  <c r="AW32" i="93"/>
  <c r="AE33" i="91"/>
  <c r="AH33" i="89"/>
  <c r="AN33" i="87"/>
  <c r="AT35" i="28"/>
  <c r="AW35" i="93"/>
  <c r="AE34" i="89"/>
  <c r="AK34" i="87"/>
  <c r="AQ36" i="28"/>
  <c r="AT36" i="93"/>
  <c r="AW36" i="91"/>
  <c r="AH37" i="89"/>
  <c r="AK37" i="87"/>
  <c r="AQ39" i="28"/>
  <c r="AW39" i="93"/>
  <c r="AE38" i="89"/>
  <c r="AH38" i="87"/>
  <c r="BC31" i="93"/>
  <c r="BI30" i="89"/>
  <c r="BC32" i="28"/>
  <c r="BI33" i="93"/>
  <c r="BC33" i="89"/>
  <c r="BI34" i="28"/>
  <c r="BC34" i="91"/>
  <c r="BI35" i="89"/>
  <c r="BC37" i="28"/>
  <c r="BI36" i="91"/>
  <c r="BC36" i="87"/>
  <c r="BI39" i="28"/>
  <c r="BC39" i="91"/>
  <c r="BI38" i="87"/>
  <c r="AA54" i="89"/>
  <c r="K54" i="89" s="1"/>
  <c r="AE39" i="93"/>
  <c r="AE31" i="87"/>
  <c r="AK30" i="93"/>
  <c r="AN30" i="91"/>
  <c r="AQ30" i="89"/>
  <c r="AQ30" i="87"/>
  <c r="AT32" i="28"/>
  <c r="AE33" i="93"/>
  <c r="AH33" i="91"/>
  <c r="AK33" i="89"/>
  <c r="AQ33" i="87"/>
  <c r="AW35" i="28"/>
  <c r="AH34" i="91"/>
  <c r="AH34" i="89"/>
  <c r="AN34" i="87"/>
  <c r="AT36" i="28"/>
  <c r="AW36" i="93"/>
  <c r="AH37" i="91"/>
  <c r="AK37" i="89"/>
  <c r="AN37" i="87"/>
  <c r="AT39" i="28"/>
  <c r="AE38" i="91"/>
  <c r="AH38" i="89"/>
  <c r="AK38" i="87"/>
  <c r="AZ30" i="28"/>
  <c r="BF31" i="93"/>
  <c r="AZ31" i="89"/>
  <c r="BF32" i="28"/>
  <c r="AZ32" i="91"/>
  <c r="BF33" i="89"/>
  <c r="AZ35" i="28"/>
  <c r="BF34" i="91"/>
  <c r="AZ34" i="87"/>
  <c r="BF37" i="28"/>
  <c r="AZ37" i="91"/>
  <c r="BF36" i="87"/>
  <c r="AZ38" i="93"/>
  <c r="BF39" i="91"/>
  <c r="AZ39" i="87"/>
  <c r="AA54" i="87"/>
  <c r="K54" i="87" s="1"/>
  <c r="AE35" i="28"/>
  <c r="AE32" i="93"/>
  <c r="AH30" i="28"/>
  <c r="AN30" i="93"/>
  <c r="AT30" i="89"/>
  <c r="AW32" i="28"/>
  <c r="AH33" i="93"/>
  <c r="AN33" i="89"/>
  <c r="AE34" i="93"/>
  <c r="AK34" i="89"/>
  <c r="AW36" i="28"/>
  <c r="AK37" i="91"/>
  <c r="AN37" i="89"/>
  <c r="AW39" i="28"/>
  <c r="AH38" i="91"/>
  <c r="AK38" i="89"/>
  <c r="BC30" i="28"/>
  <c r="BI31" i="93"/>
  <c r="BC31" i="89"/>
  <c r="BI32" i="28"/>
  <c r="BC32" i="91"/>
  <c r="BI33" i="89"/>
  <c r="BC35" i="28"/>
  <c r="BI34" i="91"/>
  <c r="BC34" i="87"/>
  <c r="BI37" i="28"/>
  <c r="BC37" i="91"/>
  <c r="BI36" i="87"/>
  <c r="BC38" i="93"/>
  <c r="BI39" i="91"/>
  <c r="BC39" i="87"/>
  <c r="AB54" i="89"/>
  <c r="L54" i="89" s="1"/>
  <c r="Y54" i="87"/>
  <c r="I54" i="87" s="1"/>
  <c r="AN38" i="89"/>
  <c r="BF30" i="28"/>
  <c r="AZ30" i="91"/>
  <c r="BF31" i="89"/>
  <c r="AZ33" i="28"/>
  <c r="BF32" i="91"/>
  <c r="AZ32" i="87"/>
  <c r="BF35" i="28"/>
  <c r="AZ35" i="91"/>
  <c r="BF34" i="87"/>
  <c r="AZ36" i="93"/>
  <c r="BF37" i="91"/>
  <c r="AZ37" i="87"/>
  <c r="BF38" i="93"/>
  <c r="AZ38" i="89"/>
  <c r="BF39" i="87"/>
  <c r="AB54" i="87"/>
  <c r="L54" i="87" s="1"/>
  <c r="Z54" i="87"/>
  <c r="J54" i="87" s="1"/>
  <c r="AH38" i="93"/>
  <c r="AE36" i="28"/>
  <c r="AE34" i="28"/>
  <c r="AN30" i="28"/>
  <c r="AT30" i="93"/>
  <c r="AW30" i="91"/>
  <c r="AE31" i="89"/>
  <c r="AW30" i="87"/>
  <c r="AK33" i="28"/>
  <c r="AN33" i="93"/>
  <c r="AQ33" i="91"/>
  <c r="AT33" i="89"/>
  <c r="AH34" i="28"/>
  <c r="AK34" i="93"/>
  <c r="AQ34" i="91"/>
  <c r="AQ34" i="89"/>
  <c r="AW34" i="87"/>
  <c r="AK37" i="28"/>
  <c r="AK37" i="93"/>
  <c r="AQ37" i="91"/>
  <c r="AT37" i="89"/>
  <c r="AW37" i="87"/>
  <c r="AK38" i="93"/>
  <c r="AN38" i="91"/>
  <c r="AQ38" i="89"/>
  <c r="AT38" i="87"/>
  <c r="BI30" i="28"/>
  <c r="BC30" i="91"/>
  <c r="BI31" i="89"/>
  <c r="BC33" i="28"/>
  <c r="BI32" i="91"/>
  <c r="BC32" i="87"/>
  <c r="BI35" i="28"/>
  <c r="BC35" i="91"/>
  <c r="BI34" i="87"/>
  <c r="BC36" i="93"/>
  <c r="BI37" i="91"/>
  <c r="BC37" i="87"/>
  <c r="BI38" i="93"/>
  <c r="BC38" i="89"/>
  <c r="BI39" i="87"/>
  <c r="AZ39" i="93"/>
  <c r="BF38" i="89"/>
  <c r="AK30" i="28"/>
  <c r="AN37" i="28"/>
  <c r="AN37" i="93"/>
  <c r="AW37" i="89"/>
  <c r="AN38" i="93"/>
  <c r="AT38" i="89"/>
  <c r="AZ34" i="93"/>
  <c r="AE37" i="28"/>
  <c r="AE39" i="91"/>
  <c r="AE34" i="91"/>
  <c r="AT30" i="28"/>
  <c r="AE31" i="93"/>
  <c r="AH31" i="91"/>
  <c r="AK31" i="89"/>
  <c r="AK31" i="87"/>
  <c r="AQ33" i="28"/>
  <c r="AT33" i="93"/>
  <c r="AW33" i="91"/>
  <c r="AH32" i="87"/>
  <c r="AN34" i="28"/>
  <c r="AQ34" i="93"/>
  <c r="AW34" i="91"/>
  <c r="AW34" i="89"/>
  <c r="AK35" i="87"/>
  <c r="AQ37" i="28"/>
  <c r="AQ37" i="93"/>
  <c r="AW37" i="91"/>
  <c r="AH36" i="87"/>
  <c r="AK38" i="28"/>
  <c r="AQ38" i="93"/>
  <c r="AT38" i="91"/>
  <c r="AW38" i="89"/>
  <c r="AH39" i="87"/>
  <c r="BC31" i="28"/>
  <c r="BI30" i="91"/>
  <c r="BC30" i="87"/>
  <c r="BI33" i="28"/>
  <c r="BC33" i="91"/>
  <c r="BI32" i="87"/>
  <c r="BC34" i="93"/>
  <c r="BI35" i="91"/>
  <c r="BC35" i="87"/>
  <c r="BI36" i="93"/>
  <c r="BC36" i="89"/>
  <c r="BI37" i="87"/>
  <c r="BC39" i="93"/>
  <c r="BI38" i="89"/>
  <c r="AW30" i="93"/>
  <c r="BF36" i="93"/>
  <c r="AE30" i="28"/>
  <c r="AE35" i="93"/>
  <c r="AE32" i="91"/>
  <c r="AW30" i="28"/>
  <c r="AH31" i="93"/>
  <c r="AK31" i="91"/>
  <c r="AN31" i="89"/>
  <c r="AN31" i="87"/>
  <c r="AT33" i="28"/>
  <c r="AW33" i="93"/>
  <c r="AH32" i="89"/>
  <c r="AK32" i="87"/>
  <c r="AQ34" i="28"/>
  <c r="AT34" i="93"/>
  <c r="AE35" i="91"/>
  <c r="AH35" i="89"/>
  <c r="AN35" i="87"/>
  <c r="AT37" i="28"/>
  <c r="AT37" i="93"/>
  <c r="AH36" i="89"/>
  <c r="AK36" i="87"/>
  <c r="AN38" i="28"/>
  <c r="AT38" i="93"/>
  <c r="AW38" i="91"/>
  <c r="AE39" i="89"/>
  <c r="AK39" i="87"/>
  <c r="BF31" i="28"/>
  <c r="AZ31" i="91"/>
  <c r="BF30" i="87"/>
  <c r="AZ32" i="93"/>
  <c r="BF33" i="91"/>
  <c r="AZ33" i="87"/>
  <c r="BF34" i="93"/>
  <c r="AZ34" i="89"/>
  <c r="BF35" i="87"/>
  <c r="AZ37" i="93"/>
  <c r="BF36" i="89"/>
  <c r="AZ38" i="28"/>
  <c r="BF39" i="93"/>
  <c r="AZ39" i="89"/>
  <c r="AQ30" i="28"/>
  <c r="AN33" i="28"/>
  <c r="AN34" i="93"/>
  <c r="AH38" i="28"/>
  <c r="AZ31" i="28"/>
  <c r="BF33" i="28"/>
  <c r="AZ36" i="89"/>
  <c r="AE38" i="28"/>
  <c r="AE30" i="89"/>
  <c r="AE35" i="87"/>
  <c r="AE34" i="87"/>
  <c r="AH31" i="28"/>
  <c r="AK31" i="93"/>
  <c r="AN31" i="91"/>
  <c r="AQ31" i="89"/>
  <c r="AQ31" i="87"/>
  <c r="AW33" i="28"/>
  <c r="AH32" i="91"/>
  <c r="AK32" i="89"/>
  <c r="AN32" i="87"/>
  <c r="AT34" i="28"/>
  <c r="AW34" i="93"/>
  <c r="AH35" i="91"/>
  <c r="AK35" i="89"/>
  <c r="AQ35" i="87"/>
  <c r="AW37" i="28"/>
  <c r="AW37" i="93"/>
  <c r="AK36" i="89"/>
  <c r="AN36" i="87"/>
  <c r="AQ38" i="28"/>
  <c r="AW38" i="93"/>
  <c r="AH39" i="91"/>
  <c r="AH39" i="89"/>
  <c r="AN39" i="87"/>
  <c r="BI31" i="28"/>
  <c r="BC31" i="91"/>
  <c r="BI30" i="87"/>
  <c r="BC32" i="93"/>
  <c r="BI33" i="91"/>
  <c r="BC33" i="87"/>
  <c r="BI34" i="93"/>
  <c r="BC34" i="89"/>
  <c r="BI35" i="87"/>
  <c r="BC37" i="93"/>
  <c r="BI36" i="89"/>
  <c r="BC38" i="28"/>
  <c r="BI39" i="93"/>
  <c r="BC39" i="89"/>
  <c r="Y54" i="93"/>
  <c r="I54" i="93" s="1"/>
  <c r="AB54" i="93"/>
  <c r="L54" i="93" s="1"/>
  <c r="AW34" i="28"/>
  <c r="AN35" i="89"/>
  <c r="AE36" i="93"/>
  <c r="AH36" i="91"/>
  <c r="AN36" i="89"/>
  <c r="AT38" i="28"/>
  <c r="AH39" i="93"/>
  <c r="AK39" i="91"/>
  <c r="AK39" i="89"/>
  <c r="AZ30" i="93"/>
  <c r="BF31" i="91"/>
  <c r="AZ31" i="87"/>
  <c r="BF32" i="93"/>
  <c r="AZ32" i="89"/>
  <c r="BF33" i="87"/>
  <c r="AZ35" i="93"/>
  <c r="BF34" i="89"/>
  <c r="AZ36" i="28"/>
  <c r="BF37" i="93"/>
  <c r="AZ37" i="89"/>
  <c r="BF38" i="28"/>
  <c r="AZ38" i="91"/>
  <c r="BF39" i="89"/>
  <c r="Y54" i="89"/>
  <c r="I54" i="89" s="1"/>
  <c r="AE39" i="28"/>
  <c r="AE36" i="87"/>
  <c r="AN31" i="28"/>
  <c r="AQ31" i="93"/>
  <c r="AT31" i="91"/>
  <c r="AW31" i="89"/>
  <c r="AW31" i="87"/>
  <c r="AK32" i="93"/>
  <c r="AN32" i="91"/>
  <c r="AQ32" i="89"/>
  <c r="AT32" i="87"/>
  <c r="AH35" i="28"/>
  <c r="AK35" i="93"/>
  <c r="AN35" i="91"/>
  <c r="AQ35" i="89"/>
  <c r="AW35" i="87"/>
  <c r="AH36" i="93"/>
  <c r="AK36" i="91"/>
  <c r="AQ36" i="89"/>
  <c r="AT36" i="87"/>
  <c r="AW38" i="28"/>
  <c r="AK39" i="93"/>
  <c r="AN39" i="91"/>
  <c r="AN39" i="89"/>
  <c r="AT39" i="87"/>
  <c r="BC30" i="93"/>
  <c r="BI31" i="91"/>
  <c r="BC31" i="87"/>
  <c r="BI32" i="93"/>
  <c r="BC32" i="89"/>
  <c r="BC35" i="93"/>
  <c r="BI34" i="89"/>
  <c r="BC36" i="28"/>
  <c r="BC37" i="89"/>
  <c r="AE30" i="91"/>
  <c r="AE35" i="89"/>
  <c r="A69" i="117"/>
  <c r="D29" i="104" l="1"/>
  <c r="E2" i="119" a="1"/>
  <c r="H10" i="87"/>
  <c r="H10" i="89"/>
  <c r="H10" i="91"/>
  <c r="H10" i="93"/>
  <c r="C3" i="87"/>
  <c r="C13" i="28"/>
  <c r="D3" i="112"/>
  <c r="AB54" i="91" l="1"/>
  <c r="L54" i="91" s="1"/>
  <c r="AA54" i="91"/>
  <c r="K54" i="91" s="1"/>
  <c r="Z54" i="91"/>
  <c r="J54" i="91" s="1"/>
  <c r="Y54" i="91"/>
  <c r="I54" i="91" s="1"/>
  <c r="J8" i="104" l="1" a="1"/>
  <c r="K8" i="104" s="1"/>
  <c r="J7" i="104" a="1"/>
  <c r="K7" i="104" s="1"/>
  <c r="J8" i="102" a="1"/>
  <c r="K8" i="102" s="1"/>
  <c r="J7" i="102" a="1"/>
  <c r="K7" i="102" l="1"/>
  <c r="D2" i="107"/>
  <c r="C3" i="112" l="1"/>
  <c r="C55" i="87" l="1"/>
  <c r="E55" i="87"/>
  <c r="I55" i="87"/>
  <c r="G55" i="87"/>
  <c r="D55" i="87"/>
  <c r="H55" i="87"/>
  <c r="L55" i="87"/>
  <c r="K55" i="87"/>
  <c r="J55" i="87"/>
  <c r="F55" i="87"/>
  <c r="I55" i="89"/>
  <c r="G55" i="89"/>
  <c r="D55" i="89"/>
  <c r="E55" i="89"/>
  <c r="K55" i="89"/>
  <c r="J55" i="89"/>
  <c r="H55" i="89"/>
  <c r="F55" i="89"/>
  <c r="L55" i="89"/>
  <c r="C55" i="89"/>
  <c r="I55" i="91"/>
  <c r="E55" i="91"/>
  <c r="G55" i="91"/>
  <c r="D55" i="91"/>
  <c r="K55" i="91"/>
  <c r="F55" i="91"/>
  <c r="L55" i="91"/>
  <c r="J55" i="91"/>
  <c r="H55" i="91"/>
  <c r="C55" i="91"/>
  <c r="I55" i="28"/>
  <c r="G55" i="28"/>
  <c r="E55" i="28"/>
  <c r="D55" i="28"/>
  <c r="J55" i="28"/>
  <c r="H55" i="28"/>
  <c r="F55" i="28"/>
  <c r="L55" i="28"/>
  <c r="K55" i="28"/>
  <c r="C55" i="28"/>
  <c r="S55" i="28" s="1"/>
  <c r="C55" i="93"/>
  <c r="I55" i="93"/>
  <c r="G55" i="93"/>
  <c r="D55" i="93"/>
  <c r="F55" i="93"/>
  <c r="E55" i="93"/>
  <c r="L55" i="93"/>
  <c r="K55" i="93"/>
  <c r="J55" i="93"/>
  <c r="H55" i="93"/>
  <c r="C6" i="104"/>
  <c r="C5" i="104"/>
  <c r="C6" i="102" l="1"/>
  <c r="D71" i="46"/>
  <c r="E71" i="46" s="1"/>
  <c r="F71" i="46" s="1"/>
  <c r="G71" i="46" s="1"/>
  <c r="H71" i="46" s="1"/>
  <c r="I71" i="46" s="1"/>
  <c r="J71" i="46" s="1"/>
  <c r="K71" i="46" s="1"/>
  <c r="L71" i="46" s="1"/>
  <c r="B10" i="117"/>
  <c r="B7" i="117" s="1"/>
  <c r="M2" i="107" l="1"/>
  <c r="L2" i="107"/>
  <c r="I2" i="107"/>
  <c r="H2" i="107"/>
  <c r="C2" i="107"/>
  <c r="D29" i="102" l="1"/>
  <c r="D28" i="102"/>
  <c r="E2" i="115" a="1"/>
  <c r="F12" i="104"/>
  <c r="O2" i="107" s="1"/>
  <c r="C12" i="104"/>
  <c r="N2" i="107" s="1"/>
  <c r="H9" i="93"/>
  <c r="H9" i="91"/>
  <c r="H9" i="89"/>
  <c r="C9" i="93"/>
  <c r="C9" i="91"/>
  <c r="C9" i="89"/>
  <c r="H9" i="87"/>
  <c r="C9" i="87"/>
  <c r="F12" i="102"/>
  <c r="C13" i="87"/>
  <c r="C13" i="89"/>
  <c r="C13" i="91"/>
  <c r="C13" i="93"/>
  <c r="D78" i="87"/>
  <c r="D78" i="89"/>
  <c r="D78" i="91"/>
  <c r="D74" i="91" s="1"/>
  <c r="T97" i="91" s="1"/>
  <c r="BI44" i="110" s="1"/>
  <c r="D78" i="93"/>
  <c r="D74" i="93" s="1"/>
  <c r="T97" i="93" s="1"/>
  <c r="BW44" i="110" s="1"/>
  <c r="B31" i="87"/>
  <c r="B37" i="89"/>
  <c r="B34" i="91"/>
  <c r="B30" i="91"/>
  <c r="B35" i="89"/>
  <c r="B33" i="93"/>
  <c r="B39" i="87"/>
  <c r="B35" i="87"/>
  <c r="B32" i="89"/>
  <c r="B38" i="91"/>
  <c r="B31" i="93"/>
  <c r="B37" i="28"/>
  <c r="B37" i="91"/>
  <c r="B36" i="28"/>
  <c r="B31" i="28"/>
  <c r="B34" i="89"/>
  <c r="B35" i="28"/>
  <c r="B34" i="87"/>
  <c r="B30" i="87"/>
  <c r="B36" i="89"/>
  <c r="B33" i="91"/>
  <c r="B39" i="93"/>
  <c r="B35" i="93"/>
  <c r="B32" i="28"/>
  <c r="B31" i="89"/>
  <c r="B34" i="93"/>
  <c r="B38" i="93"/>
  <c r="B30" i="89"/>
  <c r="B38" i="87"/>
  <c r="B33" i="87"/>
  <c r="B37" i="87"/>
  <c r="B32" i="87"/>
  <c r="B38" i="89"/>
  <c r="B31" i="91"/>
  <c r="B37" i="93"/>
  <c r="B34" i="28"/>
  <c r="B30" i="28"/>
  <c r="B33" i="28"/>
  <c r="B39" i="89"/>
  <c r="B39" i="28"/>
  <c r="B36" i="87"/>
  <c r="B33" i="89"/>
  <c r="B39" i="91"/>
  <c r="B35" i="91"/>
  <c r="B32" i="93"/>
  <c r="B38" i="28"/>
  <c r="B36" i="93"/>
  <c r="B30" i="93"/>
  <c r="B32" i="91"/>
  <c r="B36" i="91"/>
  <c r="BK62" i="110"/>
  <c r="BJ62" i="110"/>
  <c r="BQ62" i="110"/>
  <c r="BI62" i="110"/>
  <c r="BP62" i="110"/>
  <c r="BO62" i="110"/>
  <c r="BQ34" i="110"/>
  <c r="BN62" i="110"/>
  <c r="BP34" i="110"/>
  <c r="BM62" i="110"/>
  <c r="BL62" i="110"/>
  <c r="BH62" i="110"/>
  <c r="BN34" i="110"/>
  <c r="BO34" i="110"/>
  <c r="AO62" i="110"/>
  <c r="AG62" i="110"/>
  <c r="AN62" i="110"/>
  <c r="AM62" i="110"/>
  <c r="AO34" i="110"/>
  <c r="AL62" i="110"/>
  <c r="AN34" i="110"/>
  <c r="AK62" i="110"/>
  <c r="AM34" i="110"/>
  <c r="AJ62" i="110"/>
  <c r="AF62" i="110"/>
  <c r="AL34" i="110"/>
  <c r="AI62" i="110"/>
  <c r="AH62" i="110"/>
  <c r="D74" i="87"/>
  <c r="T97" i="87" s="1"/>
  <c r="AG44" i="110" s="1"/>
  <c r="AV62" i="110"/>
  <c r="AX34" i="110"/>
  <c r="AT34" i="110"/>
  <c r="AZ34" i="110"/>
  <c r="BC62" i="110"/>
  <c r="AU62" i="110"/>
  <c r="BB62" i="110"/>
  <c r="AV34" i="110"/>
  <c r="BA62" i="110"/>
  <c r="BC34" i="110"/>
  <c r="AZ62" i="110"/>
  <c r="BB34" i="110"/>
  <c r="AX62" i="110"/>
  <c r="AY62" i="110"/>
  <c r="BA34" i="110"/>
  <c r="AW62" i="110"/>
  <c r="AT62" i="110"/>
  <c r="BZ62" i="110"/>
  <c r="BV62" i="110"/>
  <c r="CB34" i="110"/>
  <c r="BY62" i="110"/>
  <c r="BX62" i="110"/>
  <c r="CE62" i="110"/>
  <c r="BW62" i="110"/>
  <c r="CD62" i="110"/>
  <c r="CB62" i="110"/>
  <c r="CD34" i="110"/>
  <c r="CC62" i="110"/>
  <c r="CE34" i="110"/>
  <c r="CA62" i="110"/>
  <c r="CC34" i="110"/>
  <c r="X100" i="28"/>
  <c r="Z86" i="28"/>
  <c r="W100" i="28"/>
  <c r="S100" i="28"/>
  <c r="Y86" i="28"/>
  <c r="AA86" i="28"/>
  <c r="V100" i="28"/>
  <c r="X86" i="28"/>
  <c r="U100" i="28"/>
  <c r="W86" i="28"/>
  <c r="S86" i="28"/>
  <c r="AB100" i="28"/>
  <c r="T100" i="28"/>
  <c r="V86" i="28"/>
  <c r="AA100" i="28"/>
  <c r="U86" i="28"/>
  <c r="Z100" i="28"/>
  <c r="AB86" i="28"/>
  <c r="T86" i="28"/>
  <c r="Y100" i="28"/>
  <c r="W100" i="93"/>
  <c r="BZ47" i="110" s="1"/>
  <c r="S100" i="93"/>
  <c r="BV47" i="110" s="1"/>
  <c r="Y86" i="93"/>
  <c r="CB33" i="110" s="1"/>
  <c r="X100" i="93"/>
  <c r="CA47" i="110" s="1"/>
  <c r="V100" i="93"/>
  <c r="BY47" i="110" s="1"/>
  <c r="X86" i="93"/>
  <c r="CA33" i="110" s="1"/>
  <c r="U100" i="93"/>
  <c r="BX47" i="110" s="1"/>
  <c r="W86" i="93"/>
  <c r="BZ33" i="110" s="1"/>
  <c r="S86" i="93"/>
  <c r="BV33" i="110" s="1"/>
  <c r="AB100" i="93"/>
  <c r="CE47" i="110" s="1"/>
  <c r="T100" i="93"/>
  <c r="BW47" i="110" s="1"/>
  <c r="V86" i="93"/>
  <c r="BY33" i="110" s="1"/>
  <c r="AA100" i="93"/>
  <c r="CD47" i="110" s="1"/>
  <c r="U86" i="93"/>
  <c r="BX33" i="110" s="1"/>
  <c r="Z100" i="93"/>
  <c r="CC47" i="110" s="1"/>
  <c r="AB86" i="93"/>
  <c r="CE33" i="110" s="1"/>
  <c r="T86" i="93"/>
  <c r="BW33" i="110" s="1"/>
  <c r="Y100" i="93"/>
  <c r="CB47" i="110" s="1"/>
  <c r="AA86" i="93"/>
  <c r="CD33" i="110" s="1"/>
  <c r="Z86" i="93"/>
  <c r="CC33" i="110" s="1"/>
  <c r="D74" i="89"/>
  <c r="T97" i="89" s="1"/>
  <c r="AU44" i="110" s="1"/>
  <c r="U100" i="89"/>
  <c r="AV47" i="110" s="1"/>
  <c r="W86" i="89"/>
  <c r="AX33" i="110" s="1"/>
  <c r="S86" i="89"/>
  <c r="AT33" i="110" s="1"/>
  <c r="AB100" i="89"/>
  <c r="BC47" i="110" s="1"/>
  <c r="T100" i="89"/>
  <c r="AU47" i="110" s="1"/>
  <c r="V86" i="89"/>
  <c r="AW33" i="110" s="1"/>
  <c r="X86" i="89"/>
  <c r="AY33" i="110" s="1"/>
  <c r="AA100" i="89"/>
  <c r="BB47" i="110" s="1"/>
  <c r="U86" i="89"/>
  <c r="AV33" i="110" s="1"/>
  <c r="Z100" i="89"/>
  <c r="BA47" i="110" s="1"/>
  <c r="AB86" i="89"/>
  <c r="BC33" i="110" s="1"/>
  <c r="T86" i="89"/>
  <c r="AU33" i="110" s="1"/>
  <c r="Y100" i="89"/>
  <c r="AZ47" i="110" s="1"/>
  <c r="AA86" i="89"/>
  <c r="BB33" i="110" s="1"/>
  <c r="X100" i="89"/>
  <c r="AY47" i="110" s="1"/>
  <c r="Z86" i="89"/>
  <c r="BA33" i="110" s="1"/>
  <c r="W100" i="89"/>
  <c r="AX47" i="110" s="1"/>
  <c r="S100" i="89"/>
  <c r="AT47" i="110" s="1"/>
  <c r="Y86" i="89"/>
  <c r="AZ33" i="110" s="1"/>
  <c r="V100" i="89"/>
  <c r="AW47" i="110" s="1"/>
  <c r="AB100" i="87"/>
  <c r="AO47" i="110" s="1"/>
  <c r="T100" i="87"/>
  <c r="AG47" i="110" s="1"/>
  <c r="V86" i="87"/>
  <c r="AI33" i="110" s="1"/>
  <c r="U100" i="87"/>
  <c r="AH47" i="110" s="1"/>
  <c r="AA100" i="87"/>
  <c r="AN47" i="110" s="1"/>
  <c r="U86" i="87"/>
  <c r="AH33" i="110" s="1"/>
  <c r="Z100" i="87"/>
  <c r="AM47" i="110" s="1"/>
  <c r="AB86" i="87"/>
  <c r="AO33" i="110" s="1"/>
  <c r="T86" i="87"/>
  <c r="AG33" i="110" s="1"/>
  <c r="S86" i="87"/>
  <c r="AF33" i="110" s="1"/>
  <c r="Y100" i="87"/>
  <c r="AL47" i="110" s="1"/>
  <c r="AA86" i="87"/>
  <c r="AN33" i="110" s="1"/>
  <c r="X100" i="87"/>
  <c r="AK47" i="110" s="1"/>
  <c r="Z86" i="87"/>
  <c r="AM33" i="110" s="1"/>
  <c r="W86" i="87"/>
  <c r="AJ33" i="110" s="1"/>
  <c r="W100" i="87"/>
  <c r="AJ47" i="110" s="1"/>
  <c r="S100" i="87"/>
  <c r="AF47" i="110" s="1"/>
  <c r="Y86" i="87"/>
  <c r="AL33" i="110" s="1"/>
  <c r="V100" i="87"/>
  <c r="AI47" i="110" s="1"/>
  <c r="X86" i="87"/>
  <c r="AK33" i="110" s="1"/>
  <c r="V100" i="91"/>
  <c r="BK47" i="110" s="1"/>
  <c r="X86" i="91"/>
  <c r="BM33" i="110" s="1"/>
  <c r="Y86" i="91"/>
  <c r="BN33" i="110" s="1"/>
  <c r="U100" i="91"/>
  <c r="BJ47" i="110" s="1"/>
  <c r="W86" i="91"/>
  <c r="BL33" i="110" s="1"/>
  <c r="S86" i="91"/>
  <c r="BH33" i="110" s="1"/>
  <c r="W100" i="91"/>
  <c r="BL47" i="110" s="1"/>
  <c r="AB100" i="91"/>
  <c r="BQ47" i="110" s="1"/>
  <c r="T100" i="91"/>
  <c r="BI47" i="110" s="1"/>
  <c r="V86" i="91"/>
  <c r="BK33" i="110" s="1"/>
  <c r="S100" i="91"/>
  <c r="BH47" i="110" s="1"/>
  <c r="AA100" i="91"/>
  <c r="BP47" i="110" s="1"/>
  <c r="U86" i="91"/>
  <c r="BJ33" i="110" s="1"/>
  <c r="Z100" i="91"/>
  <c r="BO47" i="110" s="1"/>
  <c r="AB86" i="91"/>
  <c r="BQ33" i="110" s="1"/>
  <c r="T86" i="91"/>
  <c r="BI33" i="110" s="1"/>
  <c r="Y100" i="91"/>
  <c r="BN47" i="110" s="1"/>
  <c r="AA86" i="91"/>
  <c r="BP33" i="110" s="1"/>
  <c r="X100" i="91"/>
  <c r="BM47" i="110" s="1"/>
  <c r="Z86" i="91"/>
  <c r="BO33" i="110" s="1"/>
  <c r="S71" i="89"/>
  <c r="AT20" i="110" s="1"/>
  <c r="W71" i="89" l="1"/>
  <c r="AX20" i="110" s="1"/>
  <c r="U71" i="89"/>
  <c r="AV20" i="110" s="1"/>
  <c r="BD47" i="110"/>
  <c r="BD33" i="110"/>
  <c r="AP33" i="110"/>
  <c r="AP47" i="110"/>
  <c r="CF47" i="110"/>
  <c r="BR47" i="110"/>
  <c r="BR33" i="110"/>
  <c r="CF33" i="110"/>
  <c r="X71" i="87"/>
  <c r="AK20" i="110" s="1"/>
  <c r="AK34" i="110"/>
  <c r="T71" i="87"/>
  <c r="AG20" i="110" s="1"/>
  <c r="AG34" i="110"/>
  <c r="W71" i="91"/>
  <c r="BL20" i="110" s="1"/>
  <c r="BL34" i="110"/>
  <c r="T71" i="93"/>
  <c r="BW20" i="110" s="1"/>
  <c r="BW34" i="110"/>
  <c r="CF62" i="110"/>
  <c r="X71" i="89"/>
  <c r="AY20" i="110" s="1"/>
  <c r="AY34" i="110"/>
  <c r="AP62" i="110"/>
  <c r="BR62" i="110"/>
  <c r="U71" i="91"/>
  <c r="BJ20" i="110" s="1"/>
  <c r="BJ34" i="110"/>
  <c r="X71" i="91"/>
  <c r="BM20" i="110" s="1"/>
  <c r="BM34" i="110"/>
  <c r="W71" i="93"/>
  <c r="BZ20" i="110" s="1"/>
  <c r="BZ34" i="110"/>
  <c r="U71" i="87"/>
  <c r="AH20" i="110" s="1"/>
  <c r="AH34" i="110"/>
  <c r="V71" i="89"/>
  <c r="AW20" i="110" s="1"/>
  <c r="AW34" i="110"/>
  <c r="V71" i="91"/>
  <c r="BK20" i="110" s="1"/>
  <c r="BK34" i="110"/>
  <c r="V71" i="93"/>
  <c r="BY20" i="110" s="1"/>
  <c r="BY34" i="110"/>
  <c r="W71" i="87"/>
  <c r="AJ20" i="110" s="1"/>
  <c r="AJ34" i="110"/>
  <c r="V71" i="87"/>
  <c r="AI20" i="110" s="1"/>
  <c r="AI34" i="110"/>
  <c r="U71" i="93"/>
  <c r="BX20" i="110" s="1"/>
  <c r="BX34" i="110"/>
  <c r="X71" i="93"/>
  <c r="CA20" i="110" s="1"/>
  <c r="CA34" i="110"/>
  <c r="BD62" i="110"/>
  <c r="T71" i="89"/>
  <c r="AU20" i="110" s="1"/>
  <c r="AU34" i="110"/>
  <c r="T71" i="91"/>
  <c r="BI20" i="110" s="1"/>
  <c r="BI34" i="110"/>
  <c r="S71" i="91"/>
  <c r="BH20" i="110" s="1"/>
  <c r="BH34" i="110"/>
  <c r="S71" i="93"/>
  <c r="BV20" i="110" s="1"/>
  <c r="BV34" i="110"/>
  <c r="S71" i="87"/>
  <c r="AF20" i="110" s="1"/>
  <c r="AF34" i="110"/>
  <c r="S47" i="110"/>
  <c r="E40" i="106"/>
  <c r="E47" i="110" s="1"/>
  <c r="X33" i="110"/>
  <c r="J26" i="106"/>
  <c r="J33" i="110" s="1"/>
  <c r="U71" i="28"/>
  <c r="T34" i="110"/>
  <c r="F27" i="106"/>
  <c r="F34" i="110" s="1"/>
  <c r="AB71" i="28"/>
  <c r="M27" i="106"/>
  <c r="M34" i="110" s="1"/>
  <c r="AA34" i="110"/>
  <c r="T71" i="28"/>
  <c r="E27" i="106"/>
  <c r="E34" i="110" s="1"/>
  <c r="S34" i="110"/>
  <c r="J40" i="106"/>
  <c r="J47" i="110" s="1"/>
  <c r="X47" i="110"/>
  <c r="AA47" i="110"/>
  <c r="M40" i="106"/>
  <c r="M47" i="110" s="1"/>
  <c r="R47" i="110"/>
  <c r="D40" i="106"/>
  <c r="E26" i="106"/>
  <c r="E33" i="110" s="1"/>
  <c r="S33" i="110"/>
  <c r="R33" i="110"/>
  <c r="D26" i="106"/>
  <c r="V47" i="110"/>
  <c r="H40" i="106"/>
  <c r="H47" i="110" s="1"/>
  <c r="M26" i="106"/>
  <c r="M33" i="110" s="1"/>
  <c r="AA33" i="110"/>
  <c r="V33" i="110"/>
  <c r="H26" i="106"/>
  <c r="H33" i="110" s="1"/>
  <c r="Y33" i="110"/>
  <c r="K26" i="106"/>
  <c r="K33" i="110" s="1"/>
  <c r="Z47" i="110"/>
  <c r="L40" i="106"/>
  <c r="L47" i="110" s="1"/>
  <c r="U47" i="110"/>
  <c r="G40" i="106"/>
  <c r="G47" i="110" s="1"/>
  <c r="G26" i="106"/>
  <c r="G33" i="110" s="1"/>
  <c r="U33" i="110"/>
  <c r="Z33" i="110"/>
  <c r="L26" i="106"/>
  <c r="L33" i="110" s="1"/>
  <c r="L55" i="106"/>
  <c r="L62" i="110" s="1"/>
  <c r="Z62" i="110"/>
  <c r="Y71" i="28"/>
  <c r="X34" i="110"/>
  <c r="J27" i="106"/>
  <c r="J34" i="110" s="1"/>
  <c r="D55" i="106"/>
  <c r="R62" i="110"/>
  <c r="S71" i="28"/>
  <c r="D27" i="106"/>
  <c r="R34" i="110"/>
  <c r="V71" i="28"/>
  <c r="U34" i="110"/>
  <c r="G27" i="106"/>
  <c r="G34" i="110" s="1"/>
  <c r="V62" i="110"/>
  <c r="H55" i="106"/>
  <c r="H62" i="110" s="1"/>
  <c r="X71" i="28"/>
  <c r="W34" i="110"/>
  <c r="I27" i="106"/>
  <c r="I34" i="110" s="1"/>
  <c r="E55" i="106"/>
  <c r="E62" i="110" s="1"/>
  <c r="S62" i="110"/>
  <c r="W71" i="28"/>
  <c r="V34" i="110"/>
  <c r="H27" i="106"/>
  <c r="H34" i="110" s="1"/>
  <c r="AA71" i="28"/>
  <c r="L27" i="106"/>
  <c r="L34" i="110" s="1"/>
  <c r="Z34" i="110"/>
  <c r="M55" i="106"/>
  <c r="M62" i="110" s="1"/>
  <c r="AA62" i="110"/>
  <c r="Z71" i="28"/>
  <c r="K27" i="106"/>
  <c r="K34" i="110" s="1"/>
  <c r="Y34" i="110"/>
  <c r="W62" i="110"/>
  <c r="I55" i="106"/>
  <c r="I62" i="110" s="1"/>
  <c r="K40" i="106"/>
  <c r="K47" i="110" s="1"/>
  <c r="Y47" i="110"/>
  <c r="T47" i="110"/>
  <c r="F40" i="106"/>
  <c r="F47" i="110" s="1"/>
  <c r="I40" i="106"/>
  <c r="I47" i="110" s="1"/>
  <c r="W47" i="110"/>
  <c r="X62" i="110"/>
  <c r="J55" i="106"/>
  <c r="J62" i="110" s="1"/>
  <c r="T62" i="110"/>
  <c r="F55" i="106"/>
  <c r="F62" i="110" s="1"/>
  <c r="F26" i="106"/>
  <c r="F33" i="110" s="1"/>
  <c r="T33" i="110"/>
  <c r="W33" i="110"/>
  <c r="I26" i="106"/>
  <c r="I33" i="110" s="1"/>
  <c r="K55" i="106"/>
  <c r="K62" i="110" s="1"/>
  <c r="Y62" i="110"/>
  <c r="U62" i="110"/>
  <c r="G55" i="106"/>
  <c r="G62" i="110" s="1"/>
  <c r="C5" i="112"/>
  <c r="BR34" i="110" l="1"/>
  <c r="BD34" i="110"/>
  <c r="AP34" i="110"/>
  <c r="CF34" i="110"/>
  <c r="Z20" i="110"/>
  <c r="T20" i="110"/>
  <c r="F13" i="106"/>
  <c r="F20" i="110" s="1"/>
  <c r="AA20" i="110"/>
  <c r="I13" i="106"/>
  <c r="I20" i="110" s="1"/>
  <c r="W20" i="110"/>
  <c r="AB33" i="110"/>
  <c r="Y20" i="110"/>
  <c r="AB62" i="110"/>
  <c r="N55" i="106"/>
  <c r="D62" i="110"/>
  <c r="N62" i="110" s="1"/>
  <c r="H13" i="106"/>
  <c r="H20" i="110" s="1"/>
  <c r="V20" i="110"/>
  <c r="D47" i="110"/>
  <c r="N47" i="110" s="1"/>
  <c r="N40" i="106"/>
  <c r="S20" i="110"/>
  <c r="E13" i="106"/>
  <c r="E20" i="110" s="1"/>
  <c r="D34" i="110"/>
  <c r="N27" i="106"/>
  <c r="G13" i="106"/>
  <c r="G20" i="110" s="1"/>
  <c r="U20" i="110"/>
  <c r="X20" i="110"/>
  <c r="AB47" i="110"/>
  <c r="R20" i="110"/>
  <c r="D13" i="106"/>
  <c r="D33" i="110"/>
  <c r="N26" i="106"/>
  <c r="AB34" i="110"/>
  <c r="BV26" i="110"/>
  <c r="BV40" i="110" s="1"/>
  <c r="BV54" i="110" s="1"/>
  <c r="BV68" i="110" s="1"/>
  <c r="BW12" i="110"/>
  <c r="BW26" i="110" s="1"/>
  <c r="BW40" i="110" s="1"/>
  <c r="BW54" i="110" s="1"/>
  <c r="BW68" i="110" s="1"/>
  <c r="BH26" i="110"/>
  <c r="BH40" i="110" s="1"/>
  <c r="BH54" i="110" s="1"/>
  <c r="BH68" i="110" s="1"/>
  <c r="BI12" i="110"/>
  <c r="BI26" i="110" s="1"/>
  <c r="BI40" i="110" s="1"/>
  <c r="BI54" i="110" s="1"/>
  <c r="BI68" i="110" s="1"/>
  <c r="AT26" i="110"/>
  <c r="AT40" i="110" s="1"/>
  <c r="AT54" i="110" s="1"/>
  <c r="AT68" i="110" s="1"/>
  <c r="AU12" i="110"/>
  <c r="AV12" i="110" s="1"/>
  <c r="AF26" i="110"/>
  <c r="AF40" i="110" s="1"/>
  <c r="AF54" i="110" s="1"/>
  <c r="AF68" i="110" s="1"/>
  <c r="AG12" i="110"/>
  <c r="AG26" i="110" s="1"/>
  <c r="AG40" i="110" s="1"/>
  <c r="AG54" i="110" s="1"/>
  <c r="AG68" i="110" s="1"/>
  <c r="R26" i="110"/>
  <c r="R40" i="110" s="1"/>
  <c r="R54" i="110" s="1"/>
  <c r="R68" i="110" s="1"/>
  <c r="S12" i="110"/>
  <c r="T12" i="110" s="1"/>
  <c r="D26" i="110"/>
  <c r="D40" i="110" s="1"/>
  <c r="D54" i="110" s="1"/>
  <c r="D68" i="110" s="1"/>
  <c r="E12" i="110"/>
  <c r="F12" i="110" s="1"/>
  <c r="C9" i="102"/>
  <c r="AH12" i="110" l="1"/>
  <c r="AH26" i="110" s="1"/>
  <c r="AH40" i="110" s="1"/>
  <c r="AH54" i="110" s="1"/>
  <c r="AH68" i="110" s="1"/>
  <c r="D20" i="110"/>
  <c r="AB20" i="110"/>
  <c r="BX12" i="110"/>
  <c r="BY12" i="110" s="1"/>
  <c r="BY26" i="110" s="1"/>
  <c r="BY40" i="110" s="1"/>
  <c r="BY54" i="110" s="1"/>
  <c r="BY68" i="110" s="1"/>
  <c r="BZ12" i="110"/>
  <c r="BJ12" i="110"/>
  <c r="AW12" i="110"/>
  <c r="AV26" i="110"/>
  <c r="AV40" i="110" s="1"/>
  <c r="AV54" i="110" s="1"/>
  <c r="AV68" i="110" s="1"/>
  <c r="AU26" i="110"/>
  <c r="AU40" i="110" s="1"/>
  <c r="AU54" i="110" s="1"/>
  <c r="AU68" i="110" s="1"/>
  <c r="U12" i="110"/>
  <c r="T26" i="110"/>
  <c r="T40" i="110" s="1"/>
  <c r="T54" i="110" s="1"/>
  <c r="T68" i="110" s="1"/>
  <c r="S26" i="110"/>
  <c r="S40" i="110" s="1"/>
  <c r="S54" i="110" s="1"/>
  <c r="S68" i="110" s="1"/>
  <c r="G12" i="110"/>
  <c r="F26" i="110"/>
  <c r="F40" i="110" s="1"/>
  <c r="F54" i="110" s="1"/>
  <c r="F68" i="110" s="1"/>
  <c r="E26" i="110"/>
  <c r="E40" i="110" s="1"/>
  <c r="E54" i="110" s="1"/>
  <c r="E68" i="110" s="1"/>
  <c r="L78" i="87"/>
  <c r="L74" i="87" s="1"/>
  <c r="AB97" i="87" s="1"/>
  <c r="AO44" i="110" s="1"/>
  <c r="K78" i="87"/>
  <c r="K74" i="87" s="1"/>
  <c r="AA97" i="87" s="1"/>
  <c r="AN44" i="110" s="1"/>
  <c r="J78" i="87"/>
  <c r="J74" i="87" s="1"/>
  <c r="Z97" i="87" s="1"/>
  <c r="AM44" i="110" s="1"/>
  <c r="I78" i="87"/>
  <c r="I74" i="87" s="1"/>
  <c r="Y97" i="87" s="1"/>
  <c r="AL44" i="110" s="1"/>
  <c r="H78" i="87"/>
  <c r="H74" i="87" s="1"/>
  <c r="X97" i="87" s="1"/>
  <c r="AK44" i="110" s="1"/>
  <c r="G78" i="87"/>
  <c r="G74" i="87" s="1"/>
  <c r="W97" i="87" s="1"/>
  <c r="AJ44" i="110" s="1"/>
  <c r="F78" i="87"/>
  <c r="F74" i="87" s="1"/>
  <c r="V97" i="87" s="1"/>
  <c r="AI44" i="110" s="1"/>
  <c r="E78" i="87"/>
  <c r="E74" i="87" s="1"/>
  <c r="U97" i="87" s="1"/>
  <c r="AH44" i="110" s="1"/>
  <c r="L78" i="89"/>
  <c r="L74" i="89" s="1"/>
  <c r="AB97" i="89" s="1"/>
  <c r="BC44" i="110" s="1"/>
  <c r="K78" i="89"/>
  <c r="K74" i="89" s="1"/>
  <c r="AA97" i="89" s="1"/>
  <c r="BB44" i="110" s="1"/>
  <c r="J78" i="89"/>
  <c r="J74" i="89" s="1"/>
  <c r="Z97" i="89" s="1"/>
  <c r="BA44" i="110" s="1"/>
  <c r="I78" i="89"/>
  <c r="I74" i="89" s="1"/>
  <c r="Y97" i="89" s="1"/>
  <c r="AZ44" i="110" s="1"/>
  <c r="H78" i="89"/>
  <c r="H74" i="89" s="1"/>
  <c r="X97" i="89" s="1"/>
  <c r="AY44" i="110" s="1"/>
  <c r="G78" i="89"/>
  <c r="G74" i="89" s="1"/>
  <c r="W97" i="89" s="1"/>
  <c r="AX44" i="110" s="1"/>
  <c r="F78" i="89"/>
  <c r="F74" i="89" s="1"/>
  <c r="V97" i="89" s="1"/>
  <c r="AW44" i="110" s="1"/>
  <c r="E78" i="89"/>
  <c r="E74" i="89" s="1"/>
  <c r="U97" i="89" s="1"/>
  <c r="AV44" i="110" s="1"/>
  <c r="L78" i="91"/>
  <c r="L74" i="91" s="1"/>
  <c r="AB97" i="91" s="1"/>
  <c r="BQ44" i="110" s="1"/>
  <c r="K78" i="91"/>
  <c r="K74" i="91" s="1"/>
  <c r="AA97" i="91" s="1"/>
  <c r="BP44" i="110" s="1"/>
  <c r="J78" i="91"/>
  <c r="J74" i="91" s="1"/>
  <c r="Z97" i="91" s="1"/>
  <c r="BO44" i="110" s="1"/>
  <c r="I78" i="91"/>
  <c r="I74" i="91" s="1"/>
  <c r="Y97" i="91" s="1"/>
  <c r="BN44" i="110" s="1"/>
  <c r="H78" i="91"/>
  <c r="H74" i="91" s="1"/>
  <c r="X97" i="91" s="1"/>
  <c r="BM44" i="110" s="1"/>
  <c r="G78" i="91"/>
  <c r="G74" i="91" s="1"/>
  <c r="W97" i="91" s="1"/>
  <c r="BL44" i="110" s="1"/>
  <c r="F78" i="91"/>
  <c r="F74" i="91" s="1"/>
  <c r="V97" i="91" s="1"/>
  <c r="BK44" i="110" s="1"/>
  <c r="E78" i="91"/>
  <c r="E74" i="91" s="1"/>
  <c r="U97" i="91" s="1"/>
  <c r="BJ44" i="110" s="1"/>
  <c r="L78" i="93"/>
  <c r="L74" i="93" s="1"/>
  <c r="AB97" i="93" s="1"/>
  <c r="CE44" i="110" s="1"/>
  <c r="K78" i="93"/>
  <c r="K74" i="93" s="1"/>
  <c r="AA97" i="93" s="1"/>
  <c r="CD44" i="110" s="1"/>
  <c r="J78" i="93"/>
  <c r="J74" i="93" s="1"/>
  <c r="Z97" i="93" s="1"/>
  <c r="CC44" i="110" s="1"/>
  <c r="I78" i="93"/>
  <c r="I74" i="93" s="1"/>
  <c r="Y97" i="93" s="1"/>
  <c r="CB44" i="110" s="1"/>
  <c r="H78" i="93"/>
  <c r="H74" i="93" s="1"/>
  <c r="X97" i="93" s="1"/>
  <c r="CA44" i="110" s="1"/>
  <c r="G78" i="93"/>
  <c r="G74" i="93" s="1"/>
  <c r="W97" i="93" s="1"/>
  <c r="BZ44" i="110" s="1"/>
  <c r="F78" i="93"/>
  <c r="F74" i="93" s="1"/>
  <c r="V97" i="93" s="1"/>
  <c r="BY44" i="110" s="1"/>
  <c r="E78" i="93"/>
  <c r="E74" i="93" s="1"/>
  <c r="U97" i="93" s="1"/>
  <c r="BX44" i="110" s="1"/>
  <c r="C78" i="87"/>
  <c r="C74" i="87" s="1"/>
  <c r="S97" i="87" s="1"/>
  <c r="AF44" i="110" s="1"/>
  <c r="C78" i="89"/>
  <c r="C74" i="89" s="1"/>
  <c r="S97" i="89" s="1"/>
  <c r="AT44" i="110" s="1"/>
  <c r="C78" i="91"/>
  <c r="C74" i="91" s="1"/>
  <c r="S97" i="91" s="1"/>
  <c r="BH44" i="110" s="1"/>
  <c r="C78" i="93"/>
  <c r="C74" i="93" s="1"/>
  <c r="V123" i="87"/>
  <c r="AI70" i="110" s="1"/>
  <c r="V123" i="89"/>
  <c r="AW70" i="110" s="1"/>
  <c r="V123" i="91"/>
  <c r="BK70" i="110" s="1"/>
  <c r="D19" i="106"/>
  <c r="D33" i="106" s="1"/>
  <c r="D47" i="106" s="1"/>
  <c r="D61" i="106" s="1"/>
  <c r="E5" i="106"/>
  <c r="AB130" i="87"/>
  <c r="AO77" i="110" s="1"/>
  <c r="AA130" i="87"/>
  <c r="AN77" i="110" s="1"/>
  <c r="AB130" i="89"/>
  <c r="BC77" i="110" s="1"/>
  <c r="AA130" i="89"/>
  <c r="BB77" i="110" s="1"/>
  <c r="AB130" i="91"/>
  <c r="BQ77" i="110" s="1"/>
  <c r="AA130" i="91"/>
  <c r="BP77" i="110" s="1"/>
  <c r="AB128" i="93"/>
  <c r="CE75" i="110" s="1"/>
  <c r="AA128" i="93"/>
  <c r="CD75" i="110" s="1"/>
  <c r="AB128" i="28"/>
  <c r="AA128" i="28"/>
  <c r="AB116" i="87"/>
  <c r="AO63" i="110" s="1"/>
  <c r="AA116" i="87"/>
  <c r="AN63" i="110" s="1"/>
  <c r="AB116" i="89"/>
  <c r="BC63" i="110" s="1"/>
  <c r="AA116" i="89"/>
  <c r="BB63" i="110" s="1"/>
  <c r="AB116" i="91"/>
  <c r="BQ63" i="110" s="1"/>
  <c r="AA116" i="91"/>
  <c r="BP63" i="110" s="1"/>
  <c r="AB114" i="93"/>
  <c r="CE61" i="110" s="1"/>
  <c r="AA114" i="93"/>
  <c r="CD61" i="110" s="1"/>
  <c r="AB114" i="28"/>
  <c r="AA114" i="28"/>
  <c r="AB102" i="87"/>
  <c r="AO49" i="110" s="1"/>
  <c r="AA102" i="87"/>
  <c r="AN49" i="110" s="1"/>
  <c r="AB102" i="89"/>
  <c r="BC49" i="110" s="1"/>
  <c r="AA102" i="89"/>
  <c r="BB49" i="110" s="1"/>
  <c r="AB102" i="91"/>
  <c r="BQ49" i="110" s="1"/>
  <c r="AA102" i="91"/>
  <c r="BP49" i="110" s="1"/>
  <c r="AB88" i="87"/>
  <c r="AO35" i="110" s="1"/>
  <c r="AA88" i="87"/>
  <c r="AN35" i="110" s="1"/>
  <c r="AB88" i="89"/>
  <c r="BC35" i="110" s="1"/>
  <c r="AA88" i="89"/>
  <c r="BB35" i="110" s="1"/>
  <c r="AB88" i="91"/>
  <c r="BQ35" i="110" s="1"/>
  <c r="AA88" i="91"/>
  <c r="BP35" i="110" s="1"/>
  <c r="AB72" i="87"/>
  <c r="AO21" i="110" s="1"/>
  <c r="AA72" i="87"/>
  <c r="AN21" i="110" s="1"/>
  <c r="AB72" i="89"/>
  <c r="BC21" i="110" s="1"/>
  <c r="AA72" i="89"/>
  <c r="BB21" i="110" s="1"/>
  <c r="AB72" i="91"/>
  <c r="BQ21" i="110" s="1"/>
  <c r="AA72" i="91"/>
  <c r="BP21" i="110" s="1"/>
  <c r="AB71" i="93"/>
  <c r="CE20" i="110" s="1"/>
  <c r="AA71" i="93"/>
  <c r="CD20" i="110" s="1"/>
  <c r="AB70" i="93"/>
  <c r="CE19" i="110" s="1"/>
  <c r="AA70" i="93"/>
  <c r="CD19" i="110" s="1"/>
  <c r="AB70" i="28"/>
  <c r="AA70" i="28"/>
  <c r="M72" i="87"/>
  <c r="M71" i="87"/>
  <c r="M70" i="87"/>
  <c r="M69" i="87"/>
  <c r="M68" i="87"/>
  <c r="M67" i="87"/>
  <c r="M66" i="87"/>
  <c r="M65" i="87"/>
  <c r="M64" i="87"/>
  <c r="M63" i="87"/>
  <c r="M72" i="89"/>
  <c r="M71" i="89"/>
  <c r="M70" i="89"/>
  <c r="M69" i="89"/>
  <c r="M68" i="89"/>
  <c r="M67" i="89"/>
  <c r="M66" i="89"/>
  <c r="M65" i="89"/>
  <c r="M64" i="89"/>
  <c r="M63" i="89"/>
  <c r="M72" i="91"/>
  <c r="M71" i="91"/>
  <c r="M70" i="91"/>
  <c r="M69" i="91"/>
  <c r="M68" i="91"/>
  <c r="M67" i="91"/>
  <c r="M66" i="91"/>
  <c r="M65" i="91"/>
  <c r="M64" i="91"/>
  <c r="M63" i="91"/>
  <c r="M72" i="93"/>
  <c r="M71" i="93"/>
  <c r="M70" i="93"/>
  <c r="M69" i="93"/>
  <c r="M68" i="93"/>
  <c r="M67" i="93"/>
  <c r="M66" i="93"/>
  <c r="M65" i="93"/>
  <c r="M64" i="93"/>
  <c r="M63" i="93"/>
  <c r="M72" i="28"/>
  <c r="M71" i="28"/>
  <c r="M70" i="28"/>
  <c r="M69" i="28"/>
  <c r="M68" i="28"/>
  <c r="M67" i="28"/>
  <c r="M66" i="28"/>
  <c r="M65" i="28"/>
  <c r="M64" i="28"/>
  <c r="M63" i="28"/>
  <c r="M62" i="87"/>
  <c r="M62" i="89"/>
  <c r="M62" i="91"/>
  <c r="M62" i="93"/>
  <c r="M62" i="28"/>
  <c r="M52" i="87"/>
  <c r="M51" i="87"/>
  <c r="M50" i="87"/>
  <c r="M49" i="87"/>
  <c r="M48" i="87"/>
  <c r="M47" i="87"/>
  <c r="M46" i="87"/>
  <c r="M45" i="87"/>
  <c r="M44" i="87"/>
  <c r="M52" i="89"/>
  <c r="M51" i="89"/>
  <c r="M50" i="89"/>
  <c r="M49" i="89"/>
  <c r="M48" i="89"/>
  <c r="M47" i="89"/>
  <c r="M46" i="89"/>
  <c r="M45" i="89"/>
  <c r="M44" i="89"/>
  <c r="M52" i="91"/>
  <c r="M51" i="91"/>
  <c r="M50" i="91"/>
  <c r="M49" i="91"/>
  <c r="M48" i="91"/>
  <c r="M47" i="91"/>
  <c r="M46" i="91"/>
  <c r="M45" i="91"/>
  <c r="M44" i="91"/>
  <c r="M52" i="93"/>
  <c r="M51" i="93"/>
  <c r="M50" i="93"/>
  <c r="M49" i="93"/>
  <c r="M48" i="93"/>
  <c r="M47" i="93"/>
  <c r="M46" i="93"/>
  <c r="M45" i="93"/>
  <c r="M44" i="93"/>
  <c r="M52" i="28"/>
  <c r="M51" i="28"/>
  <c r="M50" i="28"/>
  <c r="M49" i="28"/>
  <c r="M48" i="28"/>
  <c r="M47" i="28"/>
  <c r="M46" i="28"/>
  <c r="M45" i="28"/>
  <c r="M44" i="28"/>
  <c r="M43" i="87"/>
  <c r="M43" i="89"/>
  <c r="M43" i="91"/>
  <c r="M43" i="93"/>
  <c r="M43" i="28"/>
  <c r="M29" i="87"/>
  <c r="M28" i="87"/>
  <c r="M27" i="87"/>
  <c r="M26" i="87"/>
  <c r="M25" i="87"/>
  <c r="M24" i="87"/>
  <c r="M23" i="87"/>
  <c r="M22" i="87"/>
  <c r="M21" i="87"/>
  <c r="M29" i="89"/>
  <c r="M28" i="89"/>
  <c r="M27" i="89"/>
  <c r="M26" i="89"/>
  <c r="M25" i="89"/>
  <c r="M24" i="89"/>
  <c r="M23" i="89"/>
  <c r="M22" i="89"/>
  <c r="M21" i="89"/>
  <c r="M29" i="91"/>
  <c r="M28" i="91"/>
  <c r="M27" i="91"/>
  <c r="M26" i="91"/>
  <c r="M25" i="91"/>
  <c r="M24" i="91"/>
  <c r="M23" i="91"/>
  <c r="M22" i="91"/>
  <c r="M21" i="91"/>
  <c r="M29" i="93"/>
  <c r="M28" i="93"/>
  <c r="M27" i="93"/>
  <c r="M26" i="93"/>
  <c r="M25" i="93"/>
  <c r="M24" i="93"/>
  <c r="M23" i="93"/>
  <c r="M22" i="93"/>
  <c r="M21" i="93"/>
  <c r="M29" i="28"/>
  <c r="M28" i="28"/>
  <c r="M27" i="28"/>
  <c r="M26" i="28"/>
  <c r="M25" i="28"/>
  <c r="M24" i="28"/>
  <c r="M23" i="28"/>
  <c r="M22" i="28"/>
  <c r="M21" i="28"/>
  <c r="M20" i="87"/>
  <c r="M20" i="89"/>
  <c r="M20" i="91"/>
  <c r="M20" i="93"/>
  <c r="M20" i="28"/>
  <c r="Z130" i="87"/>
  <c r="AM77" i="110" s="1"/>
  <c r="Y130" i="87"/>
  <c r="AL77" i="110" s="1"/>
  <c r="X130" i="87"/>
  <c r="AK77" i="110" s="1"/>
  <c r="W130" i="87"/>
  <c r="AJ77" i="110" s="1"/>
  <c r="V130" i="87"/>
  <c r="AI77" i="110" s="1"/>
  <c r="U130" i="87"/>
  <c r="AH77" i="110" s="1"/>
  <c r="T130" i="87"/>
  <c r="AG77" i="110" s="1"/>
  <c r="Z130" i="89"/>
  <c r="BA77" i="110" s="1"/>
  <c r="Y130" i="89"/>
  <c r="AZ77" i="110" s="1"/>
  <c r="X130" i="89"/>
  <c r="AY77" i="110" s="1"/>
  <c r="W130" i="89"/>
  <c r="AX77" i="110" s="1"/>
  <c r="V130" i="89"/>
  <c r="AW77" i="110" s="1"/>
  <c r="U130" i="89"/>
  <c r="AV77" i="110" s="1"/>
  <c r="T130" i="89"/>
  <c r="AU77" i="110" s="1"/>
  <c r="Z130" i="91"/>
  <c r="BO77" i="110" s="1"/>
  <c r="Y130" i="91"/>
  <c r="BN77" i="110" s="1"/>
  <c r="X130" i="91"/>
  <c r="BM77" i="110" s="1"/>
  <c r="W130" i="91"/>
  <c r="BL77" i="110" s="1"/>
  <c r="V130" i="91"/>
  <c r="BK77" i="110" s="1"/>
  <c r="U130" i="91"/>
  <c r="BJ77" i="110" s="1"/>
  <c r="T130" i="91"/>
  <c r="BI77" i="110" s="1"/>
  <c r="S130" i="87"/>
  <c r="AF77" i="110" s="1"/>
  <c r="S130" i="89"/>
  <c r="AT77" i="110" s="1"/>
  <c r="S130" i="91"/>
  <c r="BH77" i="110" s="1"/>
  <c r="S116" i="87"/>
  <c r="AF63" i="110" s="1"/>
  <c r="S116" i="89"/>
  <c r="AT63" i="110" s="1"/>
  <c r="S116" i="91"/>
  <c r="BH63" i="110" s="1"/>
  <c r="Z128" i="93"/>
  <c r="CC75" i="110" s="1"/>
  <c r="Y128" i="93"/>
  <c r="CB75" i="110" s="1"/>
  <c r="X128" i="93"/>
  <c r="CA75" i="110" s="1"/>
  <c r="W128" i="93"/>
  <c r="BZ75" i="110" s="1"/>
  <c r="V128" i="93"/>
  <c r="BY75" i="110" s="1"/>
  <c r="U128" i="93"/>
  <c r="BX75" i="110" s="1"/>
  <c r="T128" i="93"/>
  <c r="BW75" i="110" s="1"/>
  <c r="Z128" i="28"/>
  <c r="Y128" i="28"/>
  <c r="X128" i="28"/>
  <c r="W128" i="28"/>
  <c r="V128" i="28"/>
  <c r="U128" i="28"/>
  <c r="T128" i="28"/>
  <c r="S128" i="93"/>
  <c r="BV75" i="110" s="1"/>
  <c r="S128" i="28"/>
  <c r="S114" i="93"/>
  <c r="BV61" i="110" s="1"/>
  <c r="S114" i="28"/>
  <c r="V123" i="93"/>
  <c r="BY70" i="110" s="1"/>
  <c r="T116" i="87"/>
  <c r="AG63" i="110" s="1"/>
  <c r="T116" i="89"/>
  <c r="AU63" i="110" s="1"/>
  <c r="T116" i="91"/>
  <c r="BI63" i="110" s="1"/>
  <c r="Z116" i="87"/>
  <c r="AM63" i="110" s="1"/>
  <c r="Y116" i="87"/>
  <c r="AL63" i="110" s="1"/>
  <c r="X116" i="87"/>
  <c r="AK63" i="110" s="1"/>
  <c r="W116" i="87"/>
  <c r="AJ63" i="110" s="1"/>
  <c r="V116" i="87"/>
  <c r="AI63" i="110" s="1"/>
  <c r="U116" i="87"/>
  <c r="AH63" i="110" s="1"/>
  <c r="Z116" i="89"/>
  <c r="BA63" i="110" s="1"/>
  <c r="Y116" i="89"/>
  <c r="AZ63" i="110" s="1"/>
  <c r="X116" i="89"/>
  <c r="AY63" i="110" s="1"/>
  <c r="W116" i="89"/>
  <c r="AX63" i="110" s="1"/>
  <c r="V116" i="89"/>
  <c r="AW63" i="110" s="1"/>
  <c r="U116" i="89"/>
  <c r="AV63" i="110" s="1"/>
  <c r="Z116" i="91"/>
  <c r="BO63" i="110" s="1"/>
  <c r="Y116" i="91"/>
  <c r="BN63" i="110" s="1"/>
  <c r="X116" i="91"/>
  <c r="BM63" i="110" s="1"/>
  <c r="W116" i="91"/>
  <c r="BL63" i="110" s="1"/>
  <c r="V116" i="91"/>
  <c r="BK63" i="110" s="1"/>
  <c r="U116" i="91"/>
  <c r="BJ63" i="110" s="1"/>
  <c r="S102" i="87"/>
  <c r="AF49" i="110" s="1"/>
  <c r="S102" i="89"/>
  <c r="AT49" i="110" s="1"/>
  <c r="S102" i="91"/>
  <c r="BH49" i="110" s="1"/>
  <c r="T114" i="93"/>
  <c r="BW61" i="110" s="1"/>
  <c r="U114" i="93"/>
  <c r="BX61" i="110" s="1"/>
  <c r="V114" i="93"/>
  <c r="BY61" i="110" s="1"/>
  <c r="W114" i="93"/>
  <c r="BZ61" i="110" s="1"/>
  <c r="X114" i="93"/>
  <c r="CA61" i="110" s="1"/>
  <c r="Y114" i="93"/>
  <c r="CB61" i="110" s="1"/>
  <c r="Z114" i="93"/>
  <c r="CC61" i="110" s="1"/>
  <c r="T114" i="28"/>
  <c r="U114" i="28"/>
  <c r="V114" i="28"/>
  <c r="W114" i="28"/>
  <c r="X114" i="28"/>
  <c r="Y114" i="28"/>
  <c r="Z114" i="28"/>
  <c r="M40" i="93" l="1"/>
  <c r="M40" i="91"/>
  <c r="M40" i="89"/>
  <c r="M40" i="87"/>
  <c r="F5" i="106"/>
  <c r="G5" i="106" s="1"/>
  <c r="AC1" i="107"/>
  <c r="S1" i="107"/>
  <c r="AM1" i="107"/>
  <c r="G30" i="102"/>
  <c r="G30" i="104"/>
  <c r="BX26" i="110"/>
  <c r="BX40" i="110" s="1"/>
  <c r="BX54" i="110" s="1"/>
  <c r="BX68" i="110" s="1"/>
  <c r="AI12" i="110"/>
  <c r="AJ12" i="110" s="1"/>
  <c r="CF75" i="110"/>
  <c r="CF61" i="110"/>
  <c r="BR44" i="110"/>
  <c r="AP44" i="110"/>
  <c r="BD44" i="110"/>
  <c r="AA61" i="110"/>
  <c r="V75" i="110"/>
  <c r="W75" i="110"/>
  <c r="Y61" i="110"/>
  <c r="AA19" i="110"/>
  <c r="X61" i="110"/>
  <c r="R75" i="110"/>
  <c r="Y75" i="110"/>
  <c r="Z75" i="110"/>
  <c r="U75" i="110"/>
  <c r="Z19" i="110"/>
  <c r="X75" i="110"/>
  <c r="W61" i="110"/>
  <c r="AA75" i="110"/>
  <c r="T61" i="110"/>
  <c r="Z61" i="110"/>
  <c r="V61" i="110"/>
  <c r="S75" i="110"/>
  <c r="S61" i="110"/>
  <c r="R61" i="110"/>
  <c r="U61" i="110"/>
  <c r="T75" i="110"/>
  <c r="AP63" i="110"/>
  <c r="BR77" i="110"/>
  <c r="BD77" i="110"/>
  <c r="AP77" i="110"/>
  <c r="BD63" i="110"/>
  <c r="BR63" i="110"/>
  <c r="M40" i="28"/>
  <c r="E19" i="106"/>
  <c r="E33" i="106" s="1"/>
  <c r="E47" i="106" s="1"/>
  <c r="E61" i="106" s="1"/>
  <c r="S97" i="93"/>
  <c r="BV44" i="110" s="1"/>
  <c r="CF44" i="110" s="1"/>
  <c r="AC114" i="93"/>
  <c r="R114" i="93" s="1"/>
  <c r="AC108" i="87"/>
  <c r="R108" i="87" s="1"/>
  <c r="AC108" i="89"/>
  <c r="R108" i="89" s="1"/>
  <c r="AC115" i="93"/>
  <c r="R115" i="93" s="1"/>
  <c r="AC108" i="93"/>
  <c r="R108" i="93" s="1"/>
  <c r="AC108" i="91"/>
  <c r="R108" i="91" s="1"/>
  <c r="F19" i="106"/>
  <c r="F33" i="106" s="1"/>
  <c r="F47" i="106" s="1"/>
  <c r="F61" i="106" s="1"/>
  <c r="CA12" i="110"/>
  <c r="BZ26" i="110"/>
  <c r="BZ40" i="110" s="1"/>
  <c r="BZ54" i="110" s="1"/>
  <c r="BZ68" i="110" s="1"/>
  <c r="BK12" i="110"/>
  <c r="BJ26" i="110"/>
  <c r="BJ40" i="110" s="1"/>
  <c r="BJ54" i="110" s="1"/>
  <c r="BJ68" i="110" s="1"/>
  <c r="AX12" i="110"/>
  <c r="AW26" i="110"/>
  <c r="AW40" i="110" s="1"/>
  <c r="AW54" i="110" s="1"/>
  <c r="AW68" i="110" s="1"/>
  <c r="V12" i="110"/>
  <c r="U26" i="110"/>
  <c r="U40" i="110" s="1"/>
  <c r="U54" i="110" s="1"/>
  <c r="U68" i="110" s="1"/>
  <c r="G26" i="110"/>
  <c r="G40" i="110" s="1"/>
  <c r="G54" i="110" s="1"/>
  <c r="G68" i="110" s="1"/>
  <c r="H12" i="110"/>
  <c r="AC114" i="28"/>
  <c r="R114" i="28" s="1"/>
  <c r="AC115" i="28"/>
  <c r="R115" i="28" s="1"/>
  <c r="AC116" i="87"/>
  <c r="R116" i="87" s="1"/>
  <c r="AC116" i="89"/>
  <c r="R116" i="89" s="1"/>
  <c r="AC116" i="91"/>
  <c r="R116" i="91" s="1"/>
  <c r="V124" i="87"/>
  <c r="AI71" i="110" s="1"/>
  <c r="AC122" i="91"/>
  <c r="R122" i="91" s="1"/>
  <c r="AC122" i="93"/>
  <c r="R122" i="93" s="1"/>
  <c r="AC122" i="87"/>
  <c r="R122" i="87" s="1"/>
  <c r="AC129" i="28"/>
  <c r="R129" i="28" s="1"/>
  <c r="AC122" i="89"/>
  <c r="R122" i="89" s="1"/>
  <c r="V124" i="89"/>
  <c r="AW71" i="110" s="1"/>
  <c r="V124" i="91"/>
  <c r="BK71" i="110" s="1"/>
  <c r="AC128" i="28"/>
  <c r="R128" i="28" s="1"/>
  <c r="AC128" i="93"/>
  <c r="R128" i="93" s="1"/>
  <c r="AC130" i="87"/>
  <c r="R130" i="87" s="1"/>
  <c r="V124" i="93"/>
  <c r="BY71" i="110" s="1"/>
  <c r="AC129" i="93"/>
  <c r="R129" i="93" s="1"/>
  <c r="AC130" i="91"/>
  <c r="R130" i="91" s="1"/>
  <c r="AC130" i="89"/>
  <c r="R130" i="89" s="1"/>
  <c r="C4" i="112"/>
  <c r="AI26" i="110" l="1"/>
  <c r="AI40" i="110" s="1"/>
  <c r="AI54" i="110" s="1"/>
  <c r="AI68" i="110" s="1"/>
  <c r="U1" i="107"/>
  <c r="AE1" i="107"/>
  <c r="AO1" i="107"/>
  <c r="T1" i="107"/>
  <c r="AD1" i="107"/>
  <c r="AN1" i="107"/>
  <c r="AB61" i="110"/>
  <c r="AB75" i="110"/>
  <c r="AA71" i="87"/>
  <c r="AB128" i="87"/>
  <c r="AB70" i="87"/>
  <c r="Z128" i="87"/>
  <c r="S114" i="87"/>
  <c r="W114" i="87"/>
  <c r="AA70" i="87"/>
  <c r="Y128" i="87"/>
  <c r="AA128" i="87"/>
  <c r="AB114" i="87"/>
  <c r="X128" i="87"/>
  <c r="Y114" i="87"/>
  <c r="V128" i="87"/>
  <c r="U128" i="87"/>
  <c r="T128" i="87"/>
  <c r="X114" i="87"/>
  <c r="AA114" i="87"/>
  <c r="W128" i="87"/>
  <c r="S128" i="87"/>
  <c r="Z114" i="87"/>
  <c r="T114" i="87"/>
  <c r="U114" i="87"/>
  <c r="V114" i="87"/>
  <c r="AB71" i="87"/>
  <c r="H5" i="106"/>
  <c r="G19" i="106"/>
  <c r="G33" i="106" s="1"/>
  <c r="G47" i="106" s="1"/>
  <c r="G61" i="106" s="1"/>
  <c r="CB12" i="110"/>
  <c r="CA26" i="110"/>
  <c r="CA40" i="110" s="1"/>
  <c r="CA54" i="110" s="1"/>
  <c r="CA68" i="110" s="1"/>
  <c r="BL12" i="110"/>
  <c r="BK26" i="110"/>
  <c r="BK40" i="110" s="1"/>
  <c r="BK54" i="110" s="1"/>
  <c r="BK68" i="110" s="1"/>
  <c r="AX26" i="110"/>
  <c r="AX40" i="110" s="1"/>
  <c r="AX54" i="110" s="1"/>
  <c r="AX68" i="110" s="1"/>
  <c r="AY12" i="110"/>
  <c r="AJ26" i="110"/>
  <c r="AJ40" i="110" s="1"/>
  <c r="AJ54" i="110" s="1"/>
  <c r="AJ68" i="110" s="1"/>
  <c r="AK12" i="110"/>
  <c r="W12" i="110"/>
  <c r="V26" i="110"/>
  <c r="V40" i="110" s="1"/>
  <c r="V54" i="110" s="1"/>
  <c r="V68" i="110" s="1"/>
  <c r="I12" i="110"/>
  <c r="H26" i="110"/>
  <c r="H40" i="110" s="1"/>
  <c r="H54" i="110" s="1"/>
  <c r="H68" i="110" s="1"/>
  <c r="V125" i="87"/>
  <c r="AI72" i="110" s="1"/>
  <c r="U125" i="87"/>
  <c r="AH72" i="110" s="1"/>
  <c r="T125" i="87"/>
  <c r="AG72" i="110" s="1"/>
  <c r="Z125" i="87"/>
  <c r="AM72" i="110" s="1"/>
  <c r="Y125" i="87"/>
  <c r="AL72" i="110" s="1"/>
  <c r="X125" i="87"/>
  <c r="AK72" i="110" s="1"/>
  <c r="W125" i="87"/>
  <c r="AJ72" i="110" s="1"/>
  <c r="W125" i="89"/>
  <c r="AX72" i="110" s="1"/>
  <c r="V125" i="89"/>
  <c r="AW72" i="110" s="1"/>
  <c r="U125" i="89"/>
  <c r="AV72" i="110" s="1"/>
  <c r="T125" i="89"/>
  <c r="AU72" i="110" s="1"/>
  <c r="Z125" i="89"/>
  <c r="BA72" i="110" s="1"/>
  <c r="Y125" i="89"/>
  <c r="AZ72" i="110" s="1"/>
  <c r="X125" i="89"/>
  <c r="AY72" i="110" s="1"/>
  <c r="AF1" i="107" l="1"/>
  <c r="AP1" i="107"/>
  <c r="V1" i="107"/>
  <c r="AJ75" i="110"/>
  <c r="AO61" i="110"/>
  <c r="AO75" i="110"/>
  <c r="AN61" i="110"/>
  <c r="AN75" i="110"/>
  <c r="AK61" i="110"/>
  <c r="AL75" i="110"/>
  <c r="AI61" i="110"/>
  <c r="AG75" i="110"/>
  <c r="AN19" i="110"/>
  <c r="AH61" i="110"/>
  <c r="AH75" i="110"/>
  <c r="AJ61" i="110"/>
  <c r="AG61" i="110"/>
  <c r="AI75" i="110"/>
  <c r="AF61" i="110"/>
  <c r="AM61" i="110"/>
  <c r="AL61" i="110"/>
  <c r="AM75" i="110"/>
  <c r="AF75" i="110"/>
  <c r="AK75" i="110"/>
  <c r="AO19" i="110"/>
  <c r="AN20" i="110"/>
  <c r="AO20" i="110"/>
  <c r="AC128" i="87"/>
  <c r="R128" i="87" s="1"/>
  <c r="AC129" i="87"/>
  <c r="R129" i="87" s="1"/>
  <c r="AC114" i="87"/>
  <c r="R114" i="87" s="1"/>
  <c r="AC115" i="87"/>
  <c r="R115" i="87" s="1"/>
  <c r="I5" i="106"/>
  <c r="H19" i="106"/>
  <c r="H33" i="106" s="1"/>
  <c r="H47" i="106" s="1"/>
  <c r="H61" i="106" s="1"/>
  <c r="V126" i="87"/>
  <c r="V127" i="87" s="1"/>
  <c r="V126" i="89"/>
  <c r="V127" i="89" s="1"/>
  <c r="CC12" i="110"/>
  <c r="CB26" i="110"/>
  <c r="CB40" i="110" s="1"/>
  <c r="CB54" i="110" s="1"/>
  <c r="CB68" i="110" s="1"/>
  <c r="BM12" i="110"/>
  <c r="BL26" i="110"/>
  <c r="BL40" i="110" s="1"/>
  <c r="BL54" i="110" s="1"/>
  <c r="BL68" i="110" s="1"/>
  <c r="AZ12" i="110"/>
  <c r="AY26" i="110"/>
  <c r="AY40" i="110" s="1"/>
  <c r="AY54" i="110" s="1"/>
  <c r="AY68" i="110" s="1"/>
  <c r="AL12" i="110"/>
  <c r="AK26" i="110"/>
  <c r="AK40" i="110" s="1"/>
  <c r="AK54" i="110" s="1"/>
  <c r="AK68" i="110" s="1"/>
  <c r="X12" i="110"/>
  <c r="W26" i="110"/>
  <c r="W40" i="110" s="1"/>
  <c r="W54" i="110" s="1"/>
  <c r="W68" i="110" s="1"/>
  <c r="J12" i="110"/>
  <c r="I26" i="110"/>
  <c r="I40" i="110" s="1"/>
  <c r="I54" i="110" s="1"/>
  <c r="I68" i="110" s="1"/>
  <c r="AA125" i="87"/>
  <c r="AN72" i="110" s="1"/>
  <c r="X125" i="91"/>
  <c r="BM72" i="110" s="1"/>
  <c r="W125" i="91"/>
  <c r="BL72" i="110" s="1"/>
  <c r="V125" i="91"/>
  <c r="BK72" i="110" s="1"/>
  <c r="U125" i="91"/>
  <c r="BJ72" i="110" s="1"/>
  <c r="T125" i="91"/>
  <c r="BI72" i="110" s="1"/>
  <c r="Z125" i="91"/>
  <c r="BO72" i="110" s="1"/>
  <c r="Y125" i="91"/>
  <c r="BN72" i="110" s="1"/>
  <c r="AB123" i="89"/>
  <c r="BC70" i="110" s="1"/>
  <c r="AB95" i="89"/>
  <c r="BC42" i="110" s="1"/>
  <c r="Y125" i="93"/>
  <c r="CB72" i="110" s="1"/>
  <c r="X125" i="93"/>
  <c r="CA72" i="110" s="1"/>
  <c r="W125" i="93"/>
  <c r="BZ72" i="110" s="1"/>
  <c r="V125" i="93"/>
  <c r="BY72" i="110" s="1"/>
  <c r="U125" i="93"/>
  <c r="BX72" i="110" s="1"/>
  <c r="T125" i="93"/>
  <c r="BW72" i="110" s="1"/>
  <c r="Z125" i="93"/>
  <c r="CC72" i="110" s="1"/>
  <c r="AB95" i="87"/>
  <c r="AO42" i="110" s="1"/>
  <c r="AB123" i="87"/>
  <c r="AO70" i="110" s="1"/>
  <c r="AA125" i="89"/>
  <c r="BB72" i="110" s="1"/>
  <c r="AA123" i="89"/>
  <c r="BB70" i="110" s="1"/>
  <c r="AA95" i="89"/>
  <c r="BB42" i="110" s="1"/>
  <c r="AB125" i="87"/>
  <c r="AO72" i="110" s="1"/>
  <c r="AA95" i="87"/>
  <c r="AN42" i="110" s="1"/>
  <c r="AA123" i="87"/>
  <c r="AN70" i="110" s="1"/>
  <c r="AB125" i="89"/>
  <c r="BC72" i="110" s="1"/>
  <c r="T123" i="87"/>
  <c r="AG70" i="110" s="1"/>
  <c r="W123" i="89"/>
  <c r="AX70" i="110" s="1"/>
  <c r="S123" i="87"/>
  <c r="AF70" i="110" s="1"/>
  <c r="AC54" i="87"/>
  <c r="R54" i="87" s="1"/>
  <c r="Y123" i="87"/>
  <c r="AL70" i="110" s="1"/>
  <c r="X123" i="87"/>
  <c r="AK70" i="110" s="1"/>
  <c r="X123" i="89"/>
  <c r="AY70" i="110" s="1"/>
  <c r="T123" i="89"/>
  <c r="AU70" i="110" s="1"/>
  <c r="W123" i="87"/>
  <c r="AJ70" i="110" s="1"/>
  <c r="Y123" i="89"/>
  <c r="AZ70" i="110" s="1"/>
  <c r="Z123" i="89"/>
  <c r="BA70" i="110" s="1"/>
  <c r="Z123" i="87"/>
  <c r="AM70" i="110" s="1"/>
  <c r="U123" i="89"/>
  <c r="AV70" i="110" s="1"/>
  <c r="U123" i="87"/>
  <c r="AH70" i="110" s="1"/>
  <c r="S123" i="89"/>
  <c r="AT70" i="110" s="1"/>
  <c r="AC54" i="89"/>
  <c r="R54" i="89" s="1"/>
  <c r="S125" i="87"/>
  <c r="AF72" i="110" s="1"/>
  <c r="M74" i="87"/>
  <c r="S125" i="89"/>
  <c r="AT72" i="110" s="1"/>
  <c r="M74" i="89"/>
  <c r="AQ1" i="107" l="1"/>
  <c r="AG1" i="107"/>
  <c r="W1" i="107"/>
  <c r="AP75" i="110"/>
  <c r="AP61" i="110"/>
  <c r="BD72" i="110"/>
  <c r="AP72" i="110"/>
  <c r="BD70" i="110"/>
  <c r="AP70" i="110"/>
  <c r="AW74" i="110"/>
  <c r="AW73" i="110"/>
  <c r="AI74" i="110"/>
  <c r="AI73" i="110"/>
  <c r="J5" i="106"/>
  <c r="I19" i="106"/>
  <c r="I33" i="106" s="1"/>
  <c r="I47" i="106" s="1"/>
  <c r="I61" i="106" s="1"/>
  <c r="U124" i="89"/>
  <c r="AV71" i="110" s="1"/>
  <c r="AC125" i="89"/>
  <c r="R125" i="89" s="1"/>
  <c r="S124" i="87"/>
  <c r="AF71" i="110" s="1"/>
  <c r="Y124" i="89"/>
  <c r="AZ71" i="110" s="1"/>
  <c r="Z124" i="87"/>
  <c r="AM71" i="110" s="1"/>
  <c r="U124" i="87"/>
  <c r="AH71" i="110" s="1"/>
  <c r="Z124" i="89"/>
  <c r="BA71" i="110" s="1"/>
  <c r="V126" i="93"/>
  <c r="V127" i="93" s="1"/>
  <c r="W124" i="89"/>
  <c r="AX71" i="110" s="1"/>
  <c r="AA96" i="89"/>
  <c r="BB43" i="110" s="1"/>
  <c r="W124" i="87"/>
  <c r="AJ71" i="110" s="1"/>
  <c r="X124" i="87"/>
  <c r="AK71" i="110" s="1"/>
  <c r="AB124" i="89"/>
  <c r="BC71" i="110" s="1"/>
  <c r="AC125" i="87"/>
  <c r="R125" i="87" s="1"/>
  <c r="X124" i="89"/>
  <c r="AY71" i="110" s="1"/>
  <c r="AB96" i="89"/>
  <c r="BC43" i="110" s="1"/>
  <c r="V126" i="91"/>
  <c r="V127" i="91" s="1"/>
  <c r="T124" i="87"/>
  <c r="AG71" i="110" s="1"/>
  <c r="AA124" i="87"/>
  <c r="AN71" i="110" s="1"/>
  <c r="AA124" i="89"/>
  <c r="BB71" i="110" s="1"/>
  <c r="AB124" i="87"/>
  <c r="AO71" i="110" s="1"/>
  <c r="S124" i="89"/>
  <c r="AT71" i="110" s="1"/>
  <c r="T124" i="89"/>
  <c r="AU71" i="110" s="1"/>
  <c r="Y124" i="87"/>
  <c r="AL71" i="110" s="1"/>
  <c r="CC26" i="110"/>
  <c r="CC40" i="110" s="1"/>
  <c r="CC54" i="110" s="1"/>
  <c r="CC68" i="110" s="1"/>
  <c r="CD12" i="110"/>
  <c r="BM26" i="110"/>
  <c r="BM40" i="110" s="1"/>
  <c r="BM54" i="110" s="1"/>
  <c r="BM68" i="110" s="1"/>
  <c r="BN12" i="110"/>
  <c r="BA12" i="110"/>
  <c r="AZ26" i="110"/>
  <c r="AZ40" i="110" s="1"/>
  <c r="AZ54" i="110" s="1"/>
  <c r="AZ68" i="110" s="1"/>
  <c r="AM12" i="110"/>
  <c r="AL26" i="110"/>
  <c r="AL40" i="110" s="1"/>
  <c r="AL54" i="110" s="1"/>
  <c r="AL68" i="110" s="1"/>
  <c r="Y12" i="110"/>
  <c r="X26" i="110"/>
  <c r="X40" i="110" s="1"/>
  <c r="X54" i="110" s="1"/>
  <c r="X68" i="110" s="1"/>
  <c r="K12" i="110"/>
  <c r="J26" i="110"/>
  <c r="J40" i="110" s="1"/>
  <c r="J54" i="110" s="1"/>
  <c r="J68" i="110" s="1"/>
  <c r="AA125" i="91"/>
  <c r="BP72" i="110" s="1"/>
  <c r="AA125" i="93"/>
  <c r="CD72" i="110" s="1"/>
  <c r="AB95" i="93"/>
  <c r="CE42" i="110" s="1"/>
  <c r="AB123" i="93"/>
  <c r="CE70" i="110" s="1"/>
  <c r="AA96" i="87"/>
  <c r="AN43" i="110" s="1"/>
  <c r="AB95" i="91"/>
  <c r="BQ42" i="110" s="1"/>
  <c r="AB123" i="91"/>
  <c r="BQ70" i="110" s="1"/>
  <c r="AB125" i="93"/>
  <c r="CE72" i="110" s="1"/>
  <c r="AA95" i="93"/>
  <c r="CD42" i="110" s="1"/>
  <c r="AA123" i="93"/>
  <c r="CD70" i="110" s="1"/>
  <c r="AA123" i="91"/>
  <c r="BP70" i="110" s="1"/>
  <c r="AA95" i="91"/>
  <c r="BP42" i="110" s="1"/>
  <c r="AB96" i="87"/>
  <c r="AO43" i="110" s="1"/>
  <c r="AB125" i="91"/>
  <c r="BQ72" i="110" s="1"/>
  <c r="U123" i="93"/>
  <c r="BX70" i="110" s="1"/>
  <c r="U123" i="91"/>
  <c r="BJ70" i="110" s="1"/>
  <c r="T123" i="93"/>
  <c r="BW70" i="110" s="1"/>
  <c r="Z123" i="91"/>
  <c r="BO70" i="110" s="1"/>
  <c r="Z123" i="93"/>
  <c r="CC70" i="110" s="1"/>
  <c r="X123" i="93"/>
  <c r="CA70" i="110" s="1"/>
  <c r="X123" i="91"/>
  <c r="BM70" i="110" s="1"/>
  <c r="AC123" i="89"/>
  <c r="R123" i="89" s="1"/>
  <c r="W123" i="93"/>
  <c r="BZ70" i="110" s="1"/>
  <c r="W123" i="91"/>
  <c r="BL70" i="110" s="1"/>
  <c r="S123" i="91"/>
  <c r="BH70" i="110" s="1"/>
  <c r="AC54" i="91"/>
  <c r="R54" i="91" s="1"/>
  <c r="S123" i="93"/>
  <c r="BV70" i="110" s="1"/>
  <c r="AC54" i="93"/>
  <c r="R54" i="93" s="1"/>
  <c r="T123" i="91"/>
  <c r="BI70" i="110" s="1"/>
  <c r="AC123" i="87"/>
  <c r="R123" i="87" s="1"/>
  <c r="Y123" i="93"/>
  <c r="CB70" i="110" s="1"/>
  <c r="Y123" i="91"/>
  <c r="BN70" i="110" s="1"/>
  <c r="S125" i="93"/>
  <c r="BV72" i="110" s="1"/>
  <c r="M74" i="93"/>
  <c r="M74" i="91"/>
  <c r="S125" i="91"/>
  <c r="BH72" i="110" s="1"/>
  <c r="C6" i="112"/>
  <c r="AR1" i="107" l="1"/>
  <c r="AH1" i="107"/>
  <c r="X1" i="107"/>
  <c r="CF72" i="110"/>
  <c r="BR72" i="110"/>
  <c r="BD71" i="110"/>
  <c r="CF70" i="110"/>
  <c r="AP71" i="110"/>
  <c r="BR70" i="110"/>
  <c r="BK74" i="110"/>
  <c r="BK73" i="110"/>
  <c r="BY74" i="110"/>
  <c r="BY73" i="110"/>
  <c r="AA98" i="89"/>
  <c r="AA99" i="89" s="1"/>
  <c r="S126" i="87"/>
  <c r="S127" i="87" s="1"/>
  <c r="S126" i="89"/>
  <c r="S127" i="89" s="1"/>
  <c r="AB126" i="87"/>
  <c r="AB127" i="87" s="1"/>
  <c r="K5" i="106"/>
  <c r="J19" i="106"/>
  <c r="J33" i="106" s="1"/>
  <c r="J47" i="106" s="1"/>
  <c r="J61" i="106" s="1"/>
  <c r="AA126" i="89"/>
  <c r="AA127" i="89" s="1"/>
  <c r="AB126" i="89"/>
  <c r="AB127" i="89" s="1"/>
  <c r="W126" i="89"/>
  <c r="W127" i="89" s="1"/>
  <c r="AA124" i="93"/>
  <c r="CD71" i="110" s="1"/>
  <c r="X126" i="89"/>
  <c r="X127" i="89" s="1"/>
  <c r="W126" i="87"/>
  <c r="W127" i="87" s="1"/>
  <c r="AC125" i="93"/>
  <c r="R125" i="93" s="1"/>
  <c r="AA124" i="91"/>
  <c r="BP71" i="110" s="1"/>
  <c r="X124" i="93"/>
  <c r="CA71" i="110" s="1"/>
  <c r="Y124" i="91"/>
  <c r="BN71" i="110" s="1"/>
  <c r="U124" i="91"/>
  <c r="BJ71" i="110" s="1"/>
  <c r="AB98" i="87"/>
  <c r="AB99" i="87" s="1"/>
  <c r="AA96" i="93"/>
  <c r="CD43" i="110" s="1"/>
  <c r="Y126" i="87"/>
  <c r="Y127" i="87" s="1"/>
  <c r="Z126" i="87"/>
  <c r="Z127" i="87" s="1"/>
  <c r="AB98" i="89"/>
  <c r="AB99" i="89" s="1"/>
  <c r="T124" i="91"/>
  <c r="BI71" i="110" s="1"/>
  <c r="W124" i="91"/>
  <c r="BL71" i="110" s="1"/>
  <c r="W124" i="93"/>
  <c r="BZ71" i="110" s="1"/>
  <c r="AB124" i="93"/>
  <c r="CE71" i="110" s="1"/>
  <c r="S124" i="93"/>
  <c r="BV71" i="110" s="1"/>
  <c r="Z124" i="93"/>
  <c r="CC71" i="110" s="1"/>
  <c r="U124" i="93"/>
  <c r="BX71" i="110" s="1"/>
  <c r="AB96" i="93"/>
  <c r="CE43" i="110" s="1"/>
  <c r="T126" i="89"/>
  <c r="T127" i="89" s="1"/>
  <c r="Y126" i="89"/>
  <c r="Y127" i="89" s="1"/>
  <c r="AB96" i="91"/>
  <c r="BQ43" i="110" s="1"/>
  <c r="AC124" i="87"/>
  <c r="R124" i="87" s="1"/>
  <c r="AA126" i="87"/>
  <c r="AA127" i="87" s="1"/>
  <c r="S124" i="91"/>
  <c r="BH71" i="110" s="1"/>
  <c r="T126" i="87"/>
  <c r="T127" i="87" s="1"/>
  <c r="X126" i="87"/>
  <c r="X127" i="87" s="1"/>
  <c r="T124" i="93"/>
  <c r="BW71" i="110" s="1"/>
  <c r="U126" i="87"/>
  <c r="U127" i="87" s="1"/>
  <c r="Y124" i="93"/>
  <c r="CB71" i="110" s="1"/>
  <c r="X124" i="91"/>
  <c r="BM71" i="110" s="1"/>
  <c r="Z124" i="91"/>
  <c r="BO71" i="110" s="1"/>
  <c r="AC124" i="89"/>
  <c r="R124" i="89" s="1"/>
  <c r="AA96" i="91"/>
  <c r="BP43" i="110" s="1"/>
  <c r="AB124" i="91"/>
  <c r="BQ71" i="110" s="1"/>
  <c r="Z126" i="89"/>
  <c r="Z127" i="89" s="1"/>
  <c r="U126" i="89"/>
  <c r="U127" i="89" s="1"/>
  <c r="CE12" i="110"/>
  <c r="CE26" i="110" s="1"/>
  <c r="CE40" i="110" s="1"/>
  <c r="CE54" i="110" s="1"/>
  <c r="CE68" i="110" s="1"/>
  <c r="CD26" i="110"/>
  <c r="CD40" i="110" s="1"/>
  <c r="CD54" i="110" s="1"/>
  <c r="CD68" i="110" s="1"/>
  <c r="BO12" i="110"/>
  <c r="BN26" i="110"/>
  <c r="BN40" i="110" s="1"/>
  <c r="BN54" i="110" s="1"/>
  <c r="BN68" i="110" s="1"/>
  <c r="BA26" i="110"/>
  <c r="BA40" i="110" s="1"/>
  <c r="BA54" i="110" s="1"/>
  <c r="BA68" i="110" s="1"/>
  <c r="BB12" i="110"/>
  <c r="AM26" i="110"/>
  <c r="AM40" i="110" s="1"/>
  <c r="AM54" i="110" s="1"/>
  <c r="AM68" i="110" s="1"/>
  <c r="AN12" i="110"/>
  <c r="Y26" i="110"/>
  <c r="Y40" i="110" s="1"/>
  <c r="Y54" i="110" s="1"/>
  <c r="Y68" i="110" s="1"/>
  <c r="Z12" i="110"/>
  <c r="L12" i="110"/>
  <c r="K26" i="110"/>
  <c r="K40" i="110" s="1"/>
  <c r="K54" i="110" s="1"/>
  <c r="K68" i="110" s="1"/>
  <c r="AZ25" i="28"/>
  <c r="BI51" i="28"/>
  <c r="BI46" i="28"/>
  <c r="BF44" i="28"/>
  <c r="BI26" i="28"/>
  <c r="BI21" i="28"/>
  <c r="BF27" i="28"/>
  <c r="BF22" i="28"/>
  <c r="BI49" i="28"/>
  <c r="BF25" i="28"/>
  <c r="BF20" i="28"/>
  <c r="BF28" i="28"/>
  <c r="BI45" i="28"/>
  <c r="BF50" i="28"/>
  <c r="BF48" i="28"/>
  <c r="BI24" i="28"/>
  <c r="BF47" i="28"/>
  <c r="BI29" i="28"/>
  <c r="BF45" i="28"/>
  <c r="BI50" i="28"/>
  <c r="BI44" i="28"/>
  <c r="BF49" i="28"/>
  <c r="BF43" i="28"/>
  <c r="BI25" i="28"/>
  <c r="BI20" i="28"/>
  <c r="BF26" i="28"/>
  <c r="BF21" i="28"/>
  <c r="AE24" i="28"/>
  <c r="BF23" i="28"/>
  <c r="BF51" i="28"/>
  <c r="BI48" i="28"/>
  <c r="BI43" i="28"/>
  <c r="BI55" i="28"/>
  <c r="BF55" i="28"/>
  <c r="BI28" i="28"/>
  <c r="BI23" i="28"/>
  <c r="BF24" i="28"/>
  <c r="BI52" i="28"/>
  <c r="BI47" i="28"/>
  <c r="BF52" i="28"/>
  <c r="BF46" i="28"/>
  <c r="BI22" i="28"/>
  <c r="BF29" i="28"/>
  <c r="BI27" i="28"/>
  <c r="AA98" i="87"/>
  <c r="AA99" i="87" s="1"/>
  <c r="AC123" i="91"/>
  <c r="R123" i="91" s="1"/>
  <c r="AC123" i="93"/>
  <c r="R123" i="93" s="1"/>
  <c r="AC125" i="91"/>
  <c r="R125" i="91" s="1"/>
  <c r="AS1" i="107" l="1"/>
  <c r="AI1" i="107"/>
  <c r="Y1" i="107"/>
  <c r="BC46" i="110"/>
  <c r="BC45" i="110"/>
  <c r="BA74" i="110"/>
  <c r="BA73" i="110"/>
  <c r="AM74" i="110"/>
  <c r="AM73" i="110"/>
  <c r="AU74" i="110"/>
  <c r="AU73" i="110"/>
  <c r="AG74" i="110"/>
  <c r="AG73" i="110"/>
  <c r="BR71" i="110"/>
  <c r="AL74" i="110"/>
  <c r="AL73" i="110"/>
  <c r="AJ74" i="110"/>
  <c r="AJ73" i="110"/>
  <c r="AO74" i="110"/>
  <c r="AO73" i="110"/>
  <c r="AY74" i="110"/>
  <c r="AY73" i="110"/>
  <c r="BB74" i="110"/>
  <c r="BB73" i="110"/>
  <c r="AK74" i="110"/>
  <c r="AK73" i="110"/>
  <c r="AN74" i="110"/>
  <c r="AN73" i="110"/>
  <c r="AO46" i="110"/>
  <c r="AO45" i="110"/>
  <c r="AF74" i="110"/>
  <c r="AF73" i="110"/>
  <c r="CF71" i="110"/>
  <c r="AT74" i="110"/>
  <c r="AT73" i="110"/>
  <c r="AX74" i="110"/>
  <c r="AX73" i="110"/>
  <c r="BB46" i="110"/>
  <c r="BB45" i="110"/>
  <c r="AN46" i="110"/>
  <c r="AN45" i="110"/>
  <c r="AV74" i="110"/>
  <c r="AV73" i="110"/>
  <c r="AH74" i="110"/>
  <c r="AH73" i="110"/>
  <c r="AZ74" i="110"/>
  <c r="AZ73" i="110"/>
  <c r="BC74" i="110"/>
  <c r="BC73" i="110"/>
  <c r="BI40" i="28"/>
  <c r="BF40" i="28"/>
  <c r="V130" i="93"/>
  <c r="S126" i="91"/>
  <c r="S127" i="91" s="1"/>
  <c r="S126" i="93"/>
  <c r="S127" i="93" s="1"/>
  <c r="AB98" i="91"/>
  <c r="AB99" i="91" s="1"/>
  <c r="AA98" i="93"/>
  <c r="AA99" i="93" s="1"/>
  <c r="AA126" i="93"/>
  <c r="AA127" i="93" s="1"/>
  <c r="AB98" i="93"/>
  <c r="AB99" i="93" s="1"/>
  <c r="AC124" i="93"/>
  <c r="R124" i="93" s="1"/>
  <c r="AB126" i="93"/>
  <c r="AB127" i="93" s="1"/>
  <c r="AA98" i="91"/>
  <c r="AA99" i="91" s="1"/>
  <c r="L5" i="106"/>
  <c r="K19" i="106"/>
  <c r="K33" i="106" s="1"/>
  <c r="K47" i="106" s="1"/>
  <c r="K61" i="106" s="1"/>
  <c r="U126" i="91"/>
  <c r="U127" i="91" s="1"/>
  <c r="Y126" i="91"/>
  <c r="Y127" i="91" s="1"/>
  <c r="W126" i="93"/>
  <c r="W127" i="93" s="1"/>
  <c r="Y126" i="93"/>
  <c r="Y127" i="93" s="1"/>
  <c r="T126" i="93"/>
  <c r="T127" i="93" s="1"/>
  <c r="AC126" i="89"/>
  <c r="AB126" i="91"/>
  <c r="AB127" i="91" s="1"/>
  <c r="Z126" i="91"/>
  <c r="Z127" i="91" s="1"/>
  <c r="AC126" i="87"/>
  <c r="W126" i="91"/>
  <c r="W127" i="91" s="1"/>
  <c r="AC124" i="91"/>
  <c r="R124" i="91" s="1"/>
  <c r="AA126" i="91"/>
  <c r="AA127" i="91" s="1"/>
  <c r="X126" i="93"/>
  <c r="X127" i="93" s="1"/>
  <c r="Z126" i="93"/>
  <c r="Z127" i="93" s="1"/>
  <c r="X126" i="91"/>
  <c r="X127" i="91" s="1"/>
  <c r="U126" i="93"/>
  <c r="U127" i="93" s="1"/>
  <c r="T126" i="91"/>
  <c r="T127" i="91" s="1"/>
  <c r="BO26" i="110"/>
  <c r="BO40" i="110" s="1"/>
  <c r="BO54" i="110" s="1"/>
  <c r="BO68" i="110" s="1"/>
  <c r="BP12" i="110"/>
  <c r="BC12" i="110"/>
  <c r="BC26" i="110" s="1"/>
  <c r="BC40" i="110" s="1"/>
  <c r="BC54" i="110" s="1"/>
  <c r="BC68" i="110" s="1"/>
  <c r="BB26" i="110"/>
  <c r="BB40" i="110" s="1"/>
  <c r="BB54" i="110" s="1"/>
  <c r="BB68" i="110" s="1"/>
  <c r="AO12" i="110"/>
  <c r="AO26" i="110" s="1"/>
  <c r="AO40" i="110" s="1"/>
  <c r="AO54" i="110" s="1"/>
  <c r="AO68" i="110" s="1"/>
  <c r="AN26" i="110"/>
  <c r="AN40" i="110" s="1"/>
  <c r="AN54" i="110" s="1"/>
  <c r="AN68" i="110" s="1"/>
  <c r="AA12" i="110"/>
  <c r="AA26" i="110" s="1"/>
  <c r="AA40" i="110" s="1"/>
  <c r="AA54" i="110" s="1"/>
  <c r="AA68" i="110" s="1"/>
  <c r="Z26" i="110"/>
  <c r="Z40" i="110" s="1"/>
  <c r="Z54" i="110" s="1"/>
  <c r="Z68" i="110" s="1"/>
  <c r="M12" i="110"/>
  <c r="M26" i="110" s="1"/>
  <c r="M40" i="110" s="1"/>
  <c r="M54" i="110" s="1"/>
  <c r="M68" i="110" s="1"/>
  <c r="L26" i="110"/>
  <c r="L40" i="110" s="1"/>
  <c r="L54" i="110" s="1"/>
  <c r="L68" i="110" s="1"/>
  <c r="Z102" i="89"/>
  <c r="BA49" i="110" s="1"/>
  <c r="Y102" i="89"/>
  <c r="AZ49" i="110" s="1"/>
  <c r="X102" i="89"/>
  <c r="AY49" i="110" s="1"/>
  <c r="W102" i="89"/>
  <c r="AX49" i="110" s="1"/>
  <c r="V102" i="89"/>
  <c r="AW49" i="110" s="1"/>
  <c r="U102" i="89"/>
  <c r="AV49" i="110" s="1"/>
  <c r="T102" i="89"/>
  <c r="AU49" i="110" s="1"/>
  <c r="Z102" i="91"/>
  <c r="BO49" i="110" s="1"/>
  <c r="Y102" i="91"/>
  <c r="BN49" i="110" s="1"/>
  <c r="X102" i="91"/>
  <c r="BM49" i="110" s="1"/>
  <c r="W102" i="91"/>
  <c r="BL49" i="110" s="1"/>
  <c r="V102" i="91"/>
  <c r="BK49" i="110" s="1"/>
  <c r="U102" i="91"/>
  <c r="BJ49" i="110" s="1"/>
  <c r="T102" i="91"/>
  <c r="BI49" i="110" s="1"/>
  <c r="Z88" i="89"/>
  <c r="BA35" i="110" s="1"/>
  <c r="Y88" i="89"/>
  <c r="AZ35" i="110" s="1"/>
  <c r="X88" i="89"/>
  <c r="AY35" i="110" s="1"/>
  <c r="W88" i="89"/>
  <c r="AX35" i="110" s="1"/>
  <c r="V88" i="89"/>
  <c r="AW35" i="110" s="1"/>
  <c r="U88" i="89"/>
  <c r="AV35" i="110" s="1"/>
  <c r="T88" i="89"/>
  <c r="AU35" i="110" s="1"/>
  <c r="Z88" i="91"/>
  <c r="BO35" i="110" s="1"/>
  <c r="Y88" i="91"/>
  <c r="BN35" i="110" s="1"/>
  <c r="X88" i="91"/>
  <c r="BM35" i="110" s="1"/>
  <c r="W88" i="91"/>
  <c r="BL35" i="110" s="1"/>
  <c r="V88" i="91"/>
  <c r="BK35" i="110" s="1"/>
  <c r="U88" i="91"/>
  <c r="BJ35" i="110" s="1"/>
  <c r="T88" i="91"/>
  <c r="BI35" i="110" s="1"/>
  <c r="S88" i="89"/>
  <c r="AT35" i="110" s="1"/>
  <c r="S88" i="91"/>
  <c r="BH35" i="110" s="1"/>
  <c r="Z72" i="89"/>
  <c r="BA21" i="110" s="1"/>
  <c r="Y72" i="89"/>
  <c r="AZ21" i="110" s="1"/>
  <c r="X72" i="89"/>
  <c r="AY21" i="110" s="1"/>
  <c r="W72" i="89"/>
  <c r="AX21" i="110" s="1"/>
  <c r="V72" i="89"/>
  <c r="AW21" i="110" s="1"/>
  <c r="U72" i="89"/>
  <c r="AV21" i="110" s="1"/>
  <c r="T72" i="89"/>
  <c r="AU21" i="110" s="1"/>
  <c r="Z72" i="91"/>
  <c r="BO21" i="110" s="1"/>
  <c r="Y72" i="91"/>
  <c r="BN21" i="110" s="1"/>
  <c r="X72" i="91"/>
  <c r="BM21" i="110" s="1"/>
  <c r="W72" i="91"/>
  <c r="BL21" i="110" s="1"/>
  <c r="V72" i="91"/>
  <c r="BK21" i="110" s="1"/>
  <c r="U72" i="91"/>
  <c r="BJ21" i="110" s="1"/>
  <c r="T72" i="91"/>
  <c r="BI21" i="110" s="1"/>
  <c r="S72" i="89"/>
  <c r="AT21" i="110" s="1"/>
  <c r="S72" i="91"/>
  <c r="BH21" i="110" s="1"/>
  <c r="S70" i="28"/>
  <c r="Z1" i="107" l="1"/>
  <c r="AT1" i="107"/>
  <c r="AJ1" i="107"/>
  <c r="BR35" i="110"/>
  <c r="BR21" i="110"/>
  <c r="R19" i="110"/>
  <c r="BR49" i="110"/>
  <c r="BD21" i="110"/>
  <c r="CD46" i="110"/>
  <c r="CD45" i="110"/>
  <c r="BD74" i="110"/>
  <c r="BM74" i="110"/>
  <c r="BM73" i="110"/>
  <c r="BQ74" i="110"/>
  <c r="BQ73" i="110"/>
  <c r="BV74" i="110"/>
  <c r="BV73" i="110"/>
  <c r="AP73" i="110"/>
  <c r="BJ74" i="110"/>
  <c r="BJ73" i="110"/>
  <c r="BX74" i="110"/>
  <c r="BX73" i="110"/>
  <c r="CC74" i="110"/>
  <c r="CC73" i="110"/>
  <c r="BP46" i="110"/>
  <c r="BP45" i="110"/>
  <c r="BH74" i="110"/>
  <c r="BH73" i="110"/>
  <c r="AP74" i="110"/>
  <c r="BI74" i="110"/>
  <c r="BI73" i="110"/>
  <c r="BO74" i="110"/>
  <c r="BO73" i="110"/>
  <c r="CA74" i="110"/>
  <c r="CA73" i="110"/>
  <c r="BW74" i="110"/>
  <c r="BW73" i="110"/>
  <c r="CE74" i="110"/>
  <c r="CE73" i="110"/>
  <c r="BP74" i="110"/>
  <c r="BP73" i="110"/>
  <c r="CB74" i="110"/>
  <c r="CB73" i="110"/>
  <c r="BZ74" i="110"/>
  <c r="BZ73" i="110"/>
  <c r="CE46" i="110"/>
  <c r="CE45" i="110"/>
  <c r="BY77" i="110"/>
  <c r="BY78" i="110" s="1"/>
  <c r="BD35" i="110"/>
  <c r="BQ46" i="110"/>
  <c r="BQ45" i="110"/>
  <c r="BD49" i="110"/>
  <c r="BL74" i="110"/>
  <c r="BL73" i="110"/>
  <c r="BN74" i="110"/>
  <c r="BN73" i="110"/>
  <c r="CD74" i="110"/>
  <c r="CD73" i="110"/>
  <c r="BD73" i="110"/>
  <c r="Y128" i="91"/>
  <c r="BN75" i="110" s="1"/>
  <c r="AB128" i="91"/>
  <c r="BQ75" i="110" s="1"/>
  <c r="X128" i="91"/>
  <c r="BM75" i="110" s="1"/>
  <c r="Y114" i="91"/>
  <c r="BN61" i="110" s="1"/>
  <c r="W128" i="91"/>
  <c r="BL75" i="110" s="1"/>
  <c r="AA128" i="91"/>
  <c r="BP75" i="110" s="1"/>
  <c r="AB114" i="91"/>
  <c r="BQ61" i="110" s="1"/>
  <c r="AB71" i="91"/>
  <c r="BQ20" i="110" s="1"/>
  <c r="V128" i="91"/>
  <c r="BK75" i="110" s="1"/>
  <c r="S114" i="91"/>
  <c r="BH61" i="110" s="1"/>
  <c r="AB70" i="91"/>
  <c r="BQ19" i="110" s="1"/>
  <c r="T128" i="91"/>
  <c r="BI75" i="110" s="1"/>
  <c r="U114" i="91"/>
  <c r="BJ61" i="110" s="1"/>
  <c r="S128" i="91"/>
  <c r="BH75" i="110" s="1"/>
  <c r="Z114" i="91"/>
  <c r="BO61" i="110" s="1"/>
  <c r="AA114" i="91"/>
  <c r="BP61" i="110" s="1"/>
  <c r="AA71" i="91"/>
  <c r="BP20" i="110" s="1"/>
  <c r="U128" i="91"/>
  <c r="BJ75" i="110" s="1"/>
  <c r="T114" i="91"/>
  <c r="BI61" i="110" s="1"/>
  <c r="V114" i="91"/>
  <c r="BK61" i="110" s="1"/>
  <c r="Z128" i="91"/>
  <c r="BO75" i="110" s="1"/>
  <c r="W114" i="91"/>
  <c r="BL61" i="110" s="1"/>
  <c r="X114" i="91"/>
  <c r="BM61" i="110" s="1"/>
  <c r="AA70" i="91"/>
  <c r="BP19" i="110" s="1"/>
  <c r="AA70" i="89"/>
  <c r="Z128" i="89"/>
  <c r="AB128" i="89"/>
  <c r="Y128" i="89"/>
  <c r="X114" i="89"/>
  <c r="X128" i="89"/>
  <c r="S114" i="89"/>
  <c r="AA128" i="89"/>
  <c r="AB114" i="89"/>
  <c r="W128" i="89"/>
  <c r="Z114" i="89"/>
  <c r="AB71" i="89"/>
  <c r="U128" i="89"/>
  <c r="S128" i="89"/>
  <c r="T114" i="89"/>
  <c r="T128" i="89"/>
  <c r="Y114" i="89"/>
  <c r="AA114" i="89"/>
  <c r="V128" i="89"/>
  <c r="U114" i="89"/>
  <c r="AB70" i="89"/>
  <c r="V114" i="89"/>
  <c r="W114" i="89"/>
  <c r="AA71" i="89"/>
  <c r="V131" i="93"/>
  <c r="R126" i="87"/>
  <c r="R126" i="89"/>
  <c r="AB130" i="93"/>
  <c r="CE77" i="110" s="1"/>
  <c r="AN50" i="110"/>
  <c r="AO50" i="110"/>
  <c r="M5" i="106"/>
  <c r="L19" i="106"/>
  <c r="L33" i="106" s="1"/>
  <c r="L47" i="106" s="1"/>
  <c r="L61" i="106" s="1"/>
  <c r="AC126" i="93"/>
  <c r="AC126" i="91"/>
  <c r="X131" i="87"/>
  <c r="AK78" i="110"/>
  <c r="U131" i="87"/>
  <c r="AH78" i="110"/>
  <c r="W131" i="87"/>
  <c r="AJ78" i="110"/>
  <c r="Z131" i="87"/>
  <c r="AM78" i="110"/>
  <c r="Y131" i="87"/>
  <c r="AL78" i="110"/>
  <c r="T131" i="87"/>
  <c r="AG78" i="110"/>
  <c r="V131" i="87"/>
  <c r="AI78" i="110"/>
  <c r="AA131" i="87"/>
  <c r="AN78" i="110"/>
  <c r="AB131" i="87"/>
  <c r="AO78" i="110"/>
  <c r="AF78" i="110"/>
  <c r="BQ12" i="110"/>
  <c r="BQ26" i="110" s="1"/>
  <c r="BQ40" i="110" s="1"/>
  <c r="BQ54" i="110" s="1"/>
  <c r="BQ68" i="110" s="1"/>
  <c r="BP26" i="110"/>
  <c r="BP40" i="110" s="1"/>
  <c r="BP54" i="110" s="1"/>
  <c r="BP68" i="110" s="1"/>
  <c r="AC94" i="93"/>
  <c r="R94" i="93" s="1"/>
  <c r="AC94" i="91"/>
  <c r="R94" i="91" s="1"/>
  <c r="AC94" i="89"/>
  <c r="R94" i="89" s="1"/>
  <c r="AC100" i="28"/>
  <c r="R100" i="28" s="1"/>
  <c r="AC86" i="28"/>
  <c r="R86" i="28" s="1"/>
  <c r="AC101" i="28"/>
  <c r="R101" i="28" s="1"/>
  <c r="AC87" i="28"/>
  <c r="R87" i="28" s="1"/>
  <c r="AB103" i="87"/>
  <c r="AA103" i="87"/>
  <c r="AC102" i="91"/>
  <c r="R102" i="91" s="1"/>
  <c r="AC72" i="91"/>
  <c r="R72" i="91" s="1"/>
  <c r="AC88" i="91"/>
  <c r="R88" i="91" s="1"/>
  <c r="AC72" i="89"/>
  <c r="R72" i="89" s="1"/>
  <c r="AC88" i="89"/>
  <c r="R88" i="89" s="1"/>
  <c r="AC102" i="89"/>
  <c r="R102" i="89" s="1"/>
  <c r="AC127" i="87"/>
  <c r="R127" i="87" s="1"/>
  <c r="S131" i="87"/>
  <c r="BD2" i="107" l="1"/>
  <c r="BE2" i="107"/>
  <c r="M19" i="106"/>
  <c r="M33" i="106" s="1"/>
  <c r="M47" i="106" s="1"/>
  <c r="M61" i="106" s="1"/>
  <c r="AK1" i="107"/>
  <c r="AA1" i="107"/>
  <c r="AU1" i="107"/>
  <c r="AT61" i="110"/>
  <c r="D54" i="106"/>
  <c r="AW61" i="110"/>
  <c r="G54" i="106"/>
  <c r="G61" i="110" s="1"/>
  <c r="AT75" i="110"/>
  <c r="D68" i="106"/>
  <c r="AY75" i="110"/>
  <c r="I68" i="106"/>
  <c r="I75" i="110" s="1"/>
  <c r="BR75" i="110"/>
  <c r="BC19" i="110"/>
  <c r="M12" i="106"/>
  <c r="M19" i="110" s="1"/>
  <c r="AV75" i="110"/>
  <c r="F68" i="106"/>
  <c r="F75" i="110" s="1"/>
  <c r="AY61" i="110"/>
  <c r="I54" i="106"/>
  <c r="I61" i="110" s="1"/>
  <c r="AV61" i="110"/>
  <c r="F54" i="106"/>
  <c r="F61" i="110" s="1"/>
  <c r="AZ75" i="110"/>
  <c r="J68" i="106"/>
  <c r="J75" i="110" s="1"/>
  <c r="AU61" i="110"/>
  <c r="E54" i="106"/>
  <c r="E61" i="110" s="1"/>
  <c r="AX61" i="110"/>
  <c r="H54" i="106"/>
  <c r="H61" i="110" s="1"/>
  <c r="AW75" i="110"/>
  <c r="G68" i="106"/>
  <c r="G75" i="110" s="1"/>
  <c r="BA61" i="110"/>
  <c r="K54" i="106"/>
  <c r="K61" i="110" s="1"/>
  <c r="BC75" i="110"/>
  <c r="M68" i="106"/>
  <c r="M75" i="110" s="1"/>
  <c r="BB61" i="110"/>
  <c r="L54" i="106"/>
  <c r="L61" i="110" s="1"/>
  <c r="AX75" i="110"/>
  <c r="H68" i="106"/>
  <c r="H75" i="110" s="1"/>
  <c r="BA75" i="110"/>
  <c r="K68" i="106"/>
  <c r="K75" i="110" s="1"/>
  <c r="BR61" i="110"/>
  <c r="AZ61" i="110"/>
  <c r="J54" i="106"/>
  <c r="J61" i="110" s="1"/>
  <c r="BC61" i="110"/>
  <c r="M54" i="106"/>
  <c r="M61" i="110" s="1"/>
  <c r="BB19" i="110"/>
  <c r="L12" i="106"/>
  <c r="L19" i="110" s="1"/>
  <c r="AU75" i="110"/>
  <c r="E68" i="106"/>
  <c r="E75" i="110" s="1"/>
  <c r="BB75" i="110"/>
  <c r="L68" i="106"/>
  <c r="L75" i="110" s="1"/>
  <c r="BB20" i="110"/>
  <c r="L13" i="106"/>
  <c r="L20" i="110" s="1"/>
  <c r="BC20" i="110"/>
  <c r="M13" i="106"/>
  <c r="M20" i="110" s="1"/>
  <c r="CF74" i="110"/>
  <c r="BR73" i="110"/>
  <c r="BR74" i="110"/>
  <c r="AP78" i="110"/>
  <c r="CF73" i="110"/>
  <c r="BQ78" i="110"/>
  <c r="BL78" i="110"/>
  <c r="BN78" i="110"/>
  <c r="BO78" i="110"/>
  <c r="BK78" i="110"/>
  <c r="V131" i="91"/>
  <c r="BJ78" i="110"/>
  <c r="BM78" i="110"/>
  <c r="AB103" i="91"/>
  <c r="BI78" i="110"/>
  <c r="BP78" i="110"/>
  <c r="BP50" i="110"/>
  <c r="AC128" i="89"/>
  <c r="R128" i="89" s="1"/>
  <c r="AC114" i="89"/>
  <c r="R114" i="89" s="1"/>
  <c r="AC115" i="89"/>
  <c r="R115" i="89" s="1"/>
  <c r="AC129" i="89"/>
  <c r="R129" i="89" s="1"/>
  <c r="AC128" i="91"/>
  <c r="R128" i="91" s="1"/>
  <c r="AC115" i="91"/>
  <c r="R115" i="91" s="1"/>
  <c r="AC129" i="91"/>
  <c r="R129" i="91" s="1"/>
  <c r="AC114" i="91"/>
  <c r="R114" i="91" s="1"/>
  <c r="X130" i="93"/>
  <c r="AA130" i="93"/>
  <c r="AA102" i="93"/>
  <c r="AB102" i="93"/>
  <c r="T130" i="93"/>
  <c r="U130" i="93"/>
  <c r="Z130" i="93"/>
  <c r="S130" i="93"/>
  <c r="W130" i="93"/>
  <c r="BZ77" i="110" s="1"/>
  <c r="Y130" i="93"/>
  <c r="AB131" i="93"/>
  <c r="CE78" i="110"/>
  <c r="R126" i="93"/>
  <c r="R126" i="91"/>
  <c r="AC127" i="93"/>
  <c r="R127" i="93" s="1"/>
  <c r="AC131" i="87"/>
  <c r="R131" i="87" s="1"/>
  <c r="AC71" i="28"/>
  <c r="R71" i="28" s="1"/>
  <c r="Z70" i="28"/>
  <c r="Y70" i="28"/>
  <c r="X70" i="28"/>
  <c r="W70" i="28"/>
  <c r="V70" i="28"/>
  <c r="U70" i="28"/>
  <c r="T70" i="28"/>
  <c r="C9" i="104"/>
  <c r="N68" i="106" l="1"/>
  <c r="D75" i="110"/>
  <c r="N75" i="110" s="1"/>
  <c r="BD75" i="110"/>
  <c r="N54" i="106"/>
  <c r="D61" i="110"/>
  <c r="N61" i="110" s="1"/>
  <c r="BD61" i="110"/>
  <c r="X19" i="110"/>
  <c r="Y19" i="110"/>
  <c r="S19" i="110"/>
  <c r="T19" i="110"/>
  <c r="W19" i="110"/>
  <c r="U19" i="110"/>
  <c r="V19" i="110"/>
  <c r="BX77" i="110"/>
  <c r="BX78" i="110" s="1"/>
  <c r="CE49" i="110"/>
  <c r="CE50" i="110" s="1"/>
  <c r="BW77" i="110"/>
  <c r="BW78" i="110" s="1"/>
  <c r="CA77" i="110"/>
  <c r="CA78" i="110" s="1"/>
  <c r="CD49" i="110"/>
  <c r="CD50" i="110" s="1"/>
  <c r="CD77" i="110"/>
  <c r="CD78" i="110" s="1"/>
  <c r="S131" i="93"/>
  <c r="BV77" i="110"/>
  <c r="CB77" i="110"/>
  <c r="CB78" i="110" s="1"/>
  <c r="CC77" i="110"/>
  <c r="CC78" i="110" s="1"/>
  <c r="J2" i="107"/>
  <c r="Y131" i="91"/>
  <c r="AB131" i="91"/>
  <c r="AA131" i="91"/>
  <c r="S131" i="91"/>
  <c r="Z131" i="91"/>
  <c r="X131" i="91"/>
  <c r="BQ50" i="110"/>
  <c r="W131" i="91"/>
  <c r="U131" i="91"/>
  <c r="AC127" i="91"/>
  <c r="R127" i="91" s="1"/>
  <c r="T131" i="91"/>
  <c r="AA103" i="91"/>
  <c r="AY78" i="110"/>
  <c r="X131" i="89"/>
  <c r="AC127" i="89"/>
  <c r="R127" i="89" s="1"/>
  <c r="S131" i="89"/>
  <c r="AV78" i="110"/>
  <c r="U131" i="89"/>
  <c r="BA78" i="110"/>
  <c r="Z131" i="89"/>
  <c r="AZ78" i="110"/>
  <c r="Y131" i="89"/>
  <c r="BC50" i="110"/>
  <c r="AB103" i="89"/>
  <c r="BB50" i="110"/>
  <c r="AA103" i="89"/>
  <c r="AW78" i="110"/>
  <c r="V131" i="89"/>
  <c r="AU78" i="110"/>
  <c r="T131" i="89"/>
  <c r="AX78" i="110"/>
  <c r="W131" i="89"/>
  <c r="BC78" i="110"/>
  <c r="AB131" i="89"/>
  <c r="BH78" i="110"/>
  <c r="BR78" i="110" s="1"/>
  <c r="BB78" i="110"/>
  <c r="AA131" i="89"/>
  <c r="AB103" i="93"/>
  <c r="T131" i="93"/>
  <c r="X131" i="93"/>
  <c r="Z131" i="93"/>
  <c r="AA103" i="93"/>
  <c r="U131" i="93"/>
  <c r="AA131" i="93"/>
  <c r="BZ78" i="110"/>
  <c r="W131" i="93"/>
  <c r="Y131" i="93"/>
  <c r="AC130" i="93"/>
  <c r="R130" i="93" s="1"/>
  <c r="AC70" i="28"/>
  <c r="R70" i="28" s="1"/>
  <c r="X70" i="89"/>
  <c r="AY19" i="110" s="1"/>
  <c r="AB19" i="110" l="1"/>
  <c r="CF77" i="110"/>
  <c r="AC131" i="91"/>
  <c r="R131" i="91" s="1"/>
  <c r="AC131" i="89"/>
  <c r="R131" i="89" s="1"/>
  <c r="AT78" i="110"/>
  <c r="BD78" i="110" s="1"/>
  <c r="AC131" i="93"/>
  <c r="R131" i="93" s="1"/>
  <c r="BV78" i="110"/>
  <c r="CF78" i="110" s="1"/>
  <c r="AZ25" i="91"/>
  <c r="BI47" i="91"/>
  <c r="BF51" i="91"/>
  <c r="BF45" i="91"/>
  <c r="BF43" i="91"/>
  <c r="BI26" i="91"/>
  <c r="BI20" i="91"/>
  <c r="BF28" i="91"/>
  <c r="BF21" i="91"/>
  <c r="AE24" i="91"/>
  <c r="BF49" i="91"/>
  <c r="BF25" i="91"/>
  <c r="BF48" i="91"/>
  <c r="BI23" i="91"/>
  <c r="BF52" i="91"/>
  <c r="BI21" i="91"/>
  <c r="BI46" i="91"/>
  <c r="BF44" i="91"/>
  <c r="BF27" i="91"/>
  <c r="BI24" i="91"/>
  <c r="BI48" i="91"/>
  <c r="BI45" i="91"/>
  <c r="BI43" i="91"/>
  <c r="BF50" i="91"/>
  <c r="BI25" i="91"/>
  <c r="BF26" i="91"/>
  <c r="BF22" i="91"/>
  <c r="BI52" i="91"/>
  <c r="BI44" i="91"/>
  <c r="BI51" i="91"/>
  <c r="BI50" i="91"/>
  <c r="BF47" i="91"/>
  <c r="BI29" i="91"/>
  <c r="BI22" i="91"/>
  <c r="BF20" i="91"/>
  <c r="BF24" i="91"/>
  <c r="BI49" i="91"/>
  <c r="BI28" i="91"/>
  <c r="BF29" i="91"/>
  <c r="BF23" i="91"/>
  <c r="BF46" i="91"/>
  <c r="BI27" i="91"/>
  <c r="BI55" i="91"/>
  <c r="BF55" i="91"/>
  <c r="AZ25" i="87"/>
  <c r="BI45" i="87"/>
  <c r="BI43" i="87"/>
  <c r="BF49" i="87"/>
  <c r="BI29" i="87"/>
  <c r="BI21" i="87"/>
  <c r="BF24" i="87"/>
  <c r="BF46" i="87"/>
  <c r="BI25" i="87"/>
  <c r="AE24" i="87"/>
  <c r="BI52" i="87"/>
  <c r="BI44" i="87"/>
  <c r="BF48" i="87"/>
  <c r="BI28" i="87"/>
  <c r="BF23" i="87"/>
  <c r="BI26" i="87"/>
  <c r="BF20" i="87"/>
  <c r="BF29" i="87"/>
  <c r="BF21" i="87"/>
  <c r="BF28" i="87"/>
  <c r="BF50" i="87"/>
  <c r="BI22" i="87"/>
  <c r="BF25" i="87"/>
  <c r="BI51" i="87"/>
  <c r="BF47" i="87"/>
  <c r="BI27" i="87"/>
  <c r="BF22" i="87"/>
  <c r="BI50" i="87"/>
  <c r="BI49" i="87"/>
  <c r="BF45" i="87"/>
  <c r="BI48" i="87"/>
  <c r="BF52" i="87"/>
  <c r="BF44" i="87"/>
  <c r="BI24" i="87"/>
  <c r="BF27" i="87"/>
  <c r="BI47" i="87"/>
  <c r="BF51" i="87"/>
  <c r="BF43" i="87"/>
  <c r="BI23" i="87"/>
  <c r="BI20" i="87"/>
  <c r="BF26" i="87"/>
  <c r="BI46" i="87"/>
  <c r="BF55" i="87"/>
  <c r="BI55" i="87"/>
  <c r="AZ25" i="89"/>
  <c r="BI46" i="89"/>
  <c r="BF50" i="89"/>
  <c r="BI24" i="89"/>
  <c r="BF25" i="89"/>
  <c r="BI28" i="89"/>
  <c r="BF29" i="89"/>
  <c r="BI47" i="89"/>
  <c r="BI45" i="89"/>
  <c r="BI43" i="89"/>
  <c r="BF49" i="89"/>
  <c r="BI29" i="89"/>
  <c r="BI23" i="89"/>
  <c r="BF24" i="89"/>
  <c r="BF47" i="89"/>
  <c r="BF23" i="89"/>
  <c r="BF46" i="89"/>
  <c r="BI27" i="89"/>
  <c r="AE24" i="89"/>
  <c r="BI52" i="89"/>
  <c r="BI44" i="89"/>
  <c r="BF48" i="89"/>
  <c r="BI22" i="89"/>
  <c r="BI21" i="89"/>
  <c r="BF20" i="89"/>
  <c r="BF22" i="89"/>
  <c r="BI20" i="89"/>
  <c r="BI51" i="89"/>
  <c r="BI50" i="89"/>
  <c r="BF51" i="89"/>
  <c r="BF43" i="89"/>
  <c r="BI49" i="89"/>
  <c r="BF45" i="89"/>
  <c r="BI26" i="89"/>
  <c r="BF28" i="89"/>
  <c r="BF21" i="89"/>
  <c r="BI48" i="89"/>
  <c r="BF52" i="89"/>
  <c r="BF44" i="89"/>
  <c r="BI25" i="89"/>
  <c r="BF27" i="89"/>
  <c r="BF26" i="89"/>
  <c r="BF55" i="89"/>
  <c r="BI55" i="89"/>
  <c r="AZ25" i="93"/>
  <c r="BI48" i="93"/>
  <c r="BF47" i="93"/>
  <c r="BI29" i="93"/>
  <c r="BF24" i="93"/>
  <c r="BI43" i="93"/>
  <c r="BF45" i="93"/>
  <c r="BF28" i="93"/>
  <c r="BF44" i="93"/>
  <c r="BF21" i="93"/>
  <c r="BF48" i="93"/>
  <c r="BI47" i="93"/>
  <c r="BF43" i="93"/>
  <c r="BI28" i="93"/>
  <c r="BI22" i="93"/>
  <c r="BI20" i="93"/>
  <c r="BF23" i="93"/>
  <c r="AE24" i="93"/>
  <c r="BF51" i="93"/>
  <c r="BI23" i="93"/>
  <c r="BF25" i="93"/>
  <c r="BI46" i="93"/>
  <c r="BF52" i="93"/>
  <c r="BF46" i="93"/>
  <c r="BI27" i="93"/>
  <c r="BI21" i="93"/>
  <c r="BF29" i="93"/>
  <c r="BF22" i="93"/>
  <c r="BI26" i="93"/>
  <c r="BF27" i="93"/>
  <c r="BI45" i="93"/>
  <c r="BI52" i="93"/>
  <c r="BI44" i="93"/>
  <c r="BI49" i="93"/>
  <c r="BI51" i="93"/>
  <c r="BF50" i="93"/>
  <c r="BI25" i="93"/>
  <c r="BF26" i="93"/>
  <c r="BI50" i="93"/>
  <c r="BF49" i="93"/>
  <c r="BI24" i="93"/>
  <c r="BF20" i="93"/>
  <c r="BF55" i="93"/>
  <c r="BI55" i="93"/>
  <c r="Z70" i="89"/>
  <c r="BA19" i="110" s="1"/>
  <c r="Z70" i="93"/>
  <c r="CC19" i="110" s="1"/>
  <c r="Y70" i="89"/>
  <c r="AZ19" i="110" s="1"/>
  <c r="Z70" i="91"/>
  <c r="BO19" i="110" s="1"/>
  <c r="Y70" i="87"/>
  <c r="V70" i="87"/>
  <c r="W70" i="87"/>
  <c r="U70" i="89"/>
  <c r="AV19" i="110" s="1"/>
  <c r="T70" i="89"/>
  <c r="AU19" i="110" s="1"/>
  <c r="V70" i="89"/>
  <c r="AW19" i="110" s="1"/>
  <c r="W70" i="89"/>
  <c r="AX19" i="110" s="1"/>
  <c r="U70" i="93"/>
  <c r="BX19" i="110" s="1"/>
  <c r="V70" i="93"/>
  <c r="BY19" i="110" s="1"/>
  <c r="Y70" i="93"/>
  <c r="CB19" i="110" s="1"/>
  <c r="W70" i="93"/>
  <c r="BZ19" i="110" s="1"/>
  <c r="X70" i="93"/>
  <c r="CA19" i="110" s="1"/>
  <c r="T70" i="93"/>
  <c r="BW19" i="110" s="1"/>
  <c r="U70" i="91"/>
  <c r="BJ19" i="110" s="1"/>
  <c r="T70" i="87"/>
  <c r="Z70" i="87"/>
  <c r="Y71" i="91"/>
  <c r="BN20" i="110" s="1"/>
  <c r="Z71" i="91"/>
  <c r="BO20" i="110" s="1"/>
  <c r="S70" i="91"/>
  <c r="BH19" i="110" s="1"/>
  <c r="Y70" i="91"/>
  <c r="BN19" i="110" s="1"/>
  <c r="U70" i="87"/>
  <c r="X70" i="87"/>
  <c r="T70" i="91"/>
  <c r="BI19" i="110" s="1"/>
  <c r="Z71" i="89"/>
  <c r="BA20" i="110" s="1"/>
  <c r="Y71" i="89"/>
  <c r="AZ20" i="110" s="1"/>
  <c r="S70" i="89"/>
  <c r="AT19" i="110" s="1"/>
  <c r="S70" i="93"/>
  <c r="BV19" i="110" s="1"/>
  <c r="Z71" i="93"/>
  <c r="CC20" i="110" s="1"/>
  <c r="Y71" i="93"/>
  <c r="CB20" i="110" s="1"/>
  <c r="W70" i="91"/>
  <c r="BL19" i="110" s="1"/>
  <c r="V70" i="91"/>
  <c r="BK19" i="110" s="1"/>
  <c r="X70" i="91"/>
  <c r="BM19" i="110" s="1"/>
  <c r="Y71" i="87"/>
  <c r="Z71" i="87"/>
  <c r="S70" i="87"/>
  <c r="AX2" i="107" l="1"/>
  <c r="AV2" i="107"/>
  <c r="AZ2" i="107"/>
  <c r="AY2" i="107"/>
  <c r="BB2" i="107"/>
  <c r="BC2" i="107"/>
  <c r="AW2" i="107"/>
  <c r="BA2" i="107"/>
  <c r="BI40" i="91"/>
  <c r="BI40" i="89"/>
  <c r="BF40" i="91"/>
  <c r="CF20" i="110"/>
  <c r="CF19" i="110"/>
  <c r="BD20" i="110"/>
  <c r="AF19" i="110"/>
  <c r="D12" i="106"/>
  <c r="BR19" i="110"/>
  <c r="AJ19" i="110"/>
  <c r="H12" i="106"/>
  <c r="H19" i="110" s="1"/>
  <c r="AI19" i="110"/>
  <c r="G12" i="106"/>
  <c r="G19" i="110" s="1"/>
  <c r="AL19" i="110"/>
  <c r="J12" i="106"/>
  <c r="J19" i="110" s="1"/>
  <c r="BD19" i="110"/>
  <c r="AM19" i="110"/>
  <c r="K12" i="106"/>
  <c r="K19" i="110" s="1"/>
  <c r="AG19" i="110"/>
  <c r="E12" i="106"/>
  <c r="E19" i="110" s="1"/>
  <c r="AK19" i="110"/>
  <c r="I12" i="106"/>
  <c r="I19" i="110" s="1"/>
  <c r="AH19" i="110"/>
  <c r="F12" i="106"/>
  <c r="F19" i="110" s="1"/>
  <c r="AM20" i="110"/>
  <c r="K13" i="106"/>
  <c r="K20" i="110" s="1"/>
  <c r="BR20" i="110"/>
  <c r="AL20" i="110"/>
  <c r="J13" i="106"/>
  <c r="BF40" i="87"/>
  <c r="BF40" i="89"/>
  <c r="BI40" i="87"/>
  <c r="BF40" i="93"/>
  <c r="BI40" i="93"/>
  <c r="AC86" i="91"/>
  <c r="R86" i="91" s="1"/>
  <c r="AC87" i="91"/>
  <c r="R87" i="91" s="1"/>
  <c r="AC70" i="87"/>
  <c r="R70" i="87" s="1"/>
  <c r="AC87" i="93"/>
  <c r="R87" i="93" s="1"/>
  <c r="AC101" i="89"/>
  <c r="R101" i="89" s="1"/>
  <c r="AC71" i="93"/>
  <c r="R71" i="93" s="1"/>
  <c r="AC70" i="93"/>
  <c r="R70" i="93" s="1"/>
  <c r="AC100" i="89"/>
  <c r="R100" i="89" s="1"/>
  <c r="AC86" i="89"/>
  <c r="R86" i="89" s="1"/>
  <c r="AC87" i="89"/>
  <c r="R87" i="89" s="1"/>
  <c r="AC70" i="91"/>
  <c r="R70" i="91" s="1"/>
  <c r="AC100" i="87"/>
  <c r="R100" i="87" s="1"/>
  <c r="AC100" i="93"/>
  <c r="R100" i="93" s="1"/>
  <c r="AC87" i="87"/>
  <c r="R87" i="87" s="1"/>
  <c r="AC71" i="87"/>
  <c r="R71" i="87" s="1"/>
  <c r="AC86" i="93"/>
  <c r="R86" i="93" s="1"/>
  <c r="AC86" i="87"/>
  <c r="R86" i="87" s="1"/>
  <c r="AC101" i="87"/>
  <c r="R101" i="87" s="1"/>
  <c r="AC101" i="93"/>
  <c r="R101" i="93" s="1"/>
  <c r="AC70" i="89"/>
  <c r="R70" i="89" s="1"/>
  <c r="AC101" i="91"/>
  <c r="R101" i="91" s="1"/>
  <c r="AC100" i="91"/>
  <c r="R100" i="91" s="1"/>
  <c r="AP20" i="110" l="1"/>
  <c r="D19" i="110"/>
  <c r="N19" i="110" s="1"/>
  <c r="N12" i="106"/>
  <c r="AP19" i="110"/>
  <c r="J20" i="110"/>
  <c r="N13" i="106"/>
  <c r="AC71" i="91"/>
  <c r="R71" i="91" s="1"/>
  <c r="AC71" i="89"/>
  <c r="R71" i="89" s="1"/>
  <c r="N33" i="110"/>
  <c r="N34" i="110"/>
  <c r="N20" i="110" l="1"/>
  <c r="Z95" i="89" l="1"/>
  <c r="BA42" i="110" s="1"/>
  <c r="Y95" i="89"/>
  <c r="AZ42" i="110" s="1"/>
  <c r="X95" i="89"/>
  <c r="AY42" i="110" s="1"/>
  <c r="W95" i="89"/>
  <c r="AX42" i="110" s="1"/>
  <c r="V95" i="89"/>
  <c r="AW42" i="110" s="1"/>
  <c r="U95" i="89"/>
  <c r="AV42" i="110" s="1"/>
  <c r="T95" i="89"/>
  <c r="AU42" i="110" s="1"/>
  <c r="Z95" i="91"/>
  <c r="BO42" i="110" s="1"/>
  <c r="Y95" i="91"/>
  <c r="BN42" i="110" s="1"/>
  <c r="X95" i="91"/>
  <c r="BM42" i="110" s="1"/>
  <c r="W95" i="91"/>
  <c r="BL42" i="110" s="1"/>
  <c r="V95" i="91"/>
  <c r="BK42" i="110" s="1"/>
  <c r="U95" i="91"/>
  <c r="BJ42" i="110" s="1"/>
  <c r="T95" i="91"/>
  <c r="BI42" i="110" s="1"/>
  <c r="Z95" i="93"/>
  <c r="CC42" i="110" s="1"/>
  <c r="Y95" i="93"/>
  <c r="CB42" i="110" s="1"/>
  <c r="X95" i="93"/>
  <c r="CA42" i="110" s="1"/>
  <c r="W95" i="93"/>
  <c r="BZ42" i="110" s="1"/>
  <c r="V95" i="93"/>
  <c r="BY42" i="110" s="1"/>
  <c r="U95" i="93"/>
  <c r="BX42" i="110" s="1"/>
  <c r="T95" i="93"/>
  <c r="BW42" i="110" s="1"/>
  <c r="V96" i="91" l="1"/>
  <c r="BK43" i="110" s="1"/>
  <c r="W96" i="89"/>
  <c r="AX43" i="110" s="1"/>
  <c r="V96" i="93"/>
  <c r="BY43" i="110" s="1"/>
  <c r="W96" i="91"/>
  <c r="BL43" i="110" s="1"/>
  <c r="X96" i="89"/>
  <c r="AY43" i="110" s="1"/>
  <c r="U96" i="93"/>
  <c r="BX43" i="110" s="1"/>
  <c r="X96" i="93"/>
  <c r="CA43" i="110" s="1"/>
  <c r="Y96" i="91"/>
  <c r="BN43" i="110" s="1"/>
  <c r="Z96" i="89"/>
  <c r="BA43" i="110" s="1"/>
  <c r="Y96" i="93"/>
  <c r="CB43" i="110" s="1"/>
  <c r="Z96" i="91"/>
  <c r="BO43" i="110" s="1"/>
  <c r="Z96" i="93"/>
  <c r="CC43" i="110" s="1"/>
  <c r="T96" i="89"/>
  <c r="AU43" i="110" s="1"/>
  <c r="X96" i="91"/>
  <c r="BM43" i="110" s="1"/>
  <c r="Y96" i="89"/>
  <c r="AZ43" i="110" s="1"/>
  <c r="T96" i="91"/>
  <c r="BI43" i="110" s="1"/>
  <c r="U96" i="89"/>
  <c r="AV43" i="110" s="1"/>
  <c r="W96" i="93"/>
  <c r="BZ43" i="110" s="1"/>
  <c r="T96" i="93"/>
  <c r="BW43" i="110" s="1"/>
  <c r="U96" i="91"/>
  <c r="BJ43" i="110" s="1"/>
  <c r="V96" i="89"/>
  <c r="AW43" i="110" s="1"/>
  <c r="AC97" i="89"/>
  <c r="R97" i="89" s="1"/>
  <c r="AC97" i="87"/>
  <c r="R97" i="87" s="1"/>
  <c r="AC97" i="93"/>
  <c r="R97" i="93" s="1"/>
  <c r="AC97" i="91"/>
  <c r="R97" i="91" s="1"/>
  <c r="M55" i="28"/>
  <c r="M55" i="87"/>
  <c r="M55" i="89"/>
  <c r="M55" i="91"/>
  <c r="M55" i="93"/>
  <c r="S95" i="93"/>
  <c r="BV42" i="110" s="1"/>
  <c r="CF42" i="110" s="1"/>
  <c r="S95" i="91"/>
  <c r="BH42" i="110" s="1"/>
  <c r="BR42" i="110" s="1"/>
  <c r="S95" i="89"/>
  <c r="AT42" i="110" s="1"/>
  <c r="BD42" i="110" s="1"/>
  <c r="D83" i="46"/>
  <c r="E83" i="46" s="1"/>
  <c r="F83" i="46" s="1"/>
  <c r="G83" i="46" s="1"/>
  <c r="H83" i="46" s="1"/>
  <c r="I83" i="46" s="1"/>
  <c r="J83" i="46" s="1"/>
  <c r="K83" i="46" s="1"/>
  <c r="L83" i="46" s="1"/>
  <c r="D82" i="46"/>
  <c r="E82" i="46" s="1"/>
  <c r="F82" i="46" s="1"/>
  <c r="G82" i="46" s="1"/>
  <c r="H82" i="46" s="1"/>
  <c r="I82" i="46" s="1"/>
  <c r="J82" i="46" s="1"/>
  <c r="K82" i="46" s="1"/>
  <c r="L82" i="46" s="1"/>
  <c r="D81" i="46"/>
  <c r="E81" i="46" s="1"/>
  <c r="F81" i="46" s="1"/>
  <c r="G81" i="46" s="1"/>
  <c r="H81" i="46" s="1"/>
  <c r="I81" i="46" s="1"/>
  <c r="J81" i="46" s="1"/>
  <c r="K81" i="46" s="1"/>
  <c r="L81" i="46" s="1"/>
  <c r="D80" i="46"/>
  <c r="E80" i="46" s="1"/>
  <c r="F80" i="46" s="1"/>
  <c r="G80" i="46" s="1"/>
  <c r="H80" i="46" s="1"/>
  <c r="I80" i="46" s="1"/>
  <c r="J80" i="46" s="1"/>
  <c r="K80" i="46" s="1"/>
  <c r="L80" i="46" s="1"/>
  <c r="D79" i="46"/>
  <c r="E79" i="46" s="1"/>
  <c r="F79" i="46" s="1"/>
  <c r="G79" i="46" s="1"/>
  <c r="H79" i="46" s="1"/>
  <c r="I79" i="46" s="1"/>
  <c r="J79" i="46" s="1"/>
  <c r="K79" i="46" s="1"/>
  <c r="L79" i="46" s="1"/>
  <c r="D78" i="46"/>
  <c r="E78" i="46" s="1"/>
  <c r="F78" i="46" s="1"/>
  <c r="G78" i="46" s="1"/>
  <c r="H78" i="46" s="1"/>
  <c r="I78" i="46" s="1"/>
  <c r="J78" i="46" s="1"/>
  <c r="K78" i="46" s="1"/>
  <c r="L78" i="46" s="1"/>
  <c r="D77" i="46"/>
  <c r="E77" i="46" s="1"/>
  <c r="F77" i="46" s="1"/>
  <c r="G77" i="46" s="1"/>
  <c r="H77" i="46" s="1"/>
  <c r="I77" i="46" s="1"/>
  <c r="J77" i="46" s="1"/>
  <c r="K77" i="46" s="1"/>
  <c r="L77" i="46" s="1"/>
  <c r="D76" i="46"/>
  <c r="E76" i="46" s="1"/>
  <c r="F76" i="46" s="1"/>
  <c r="G76" i="46" s="1"/>
  <c r="H76" i="46" s="1"/>
  <c r="I76" i="46" s="1"/>
  <c r="J76" i="46" s="1"/>
  <c r="K76" i="46" s="1"/>
  <c r="L76" i="46" s="1"/>
  <c r="D75" i="46"/>
  <c r="E75" i="46" s="1"/>
  <c r="F75" i="46" s="1"/>
  <c r="G75" i="46" s="1"/>
  <c r="H75" i="46" s="1"/>
  <c r="I75" i="46" s="1"/>
  <c r="J75" i="46" s="1"/>
  <c r="K75" i="46" s="1"/>
  <c r="L75" i="46" s="1"/>
  <c r="D70" i="46"/>
  <c r="E70" i="46" s="1"/>
  <c r="D69" i="46"/>
  <c r="E69" i="46" s="1"/>
  <c r="D68" i="46"/>
  <c r="E68" i="46" s="1"/>
  <c r="D67" i="46"/>
  <c r="E67" i="46" s="1"/>
  <c r="D66" i="46"/>
  <c r="E66" i="46" s="1"/>
  <c r="D65" i="46"/>
  <c r="E65" i="46" s="1"/>
  <c r="D64" i="46"/>
  <c r="E64" i="46" s="1"/>
  <c r="D63" i="46"/>
  <c r="E63" i="46" s="1"/>
  <c r="D62" i="46"/>
  <c r="E62" i="46" s="1"/>
  <c r="AE20" i="28"/>
  <c r="V98" i="93" l="1"/>
  <c r="V99" i="93" s="1"/>
  <c r="Y98" i="89"/>
  <c r="Y99" i="89" s="1"/>
  <c r="Z98" i="91"/>
  <c r="Z99" i="91" s="1"/>
  <c r="U98" i="89"/>
  <c r="U99" i="89" s="1"/>
  <c r="X98" i="89"/>
  <c r="X99" i="89" s="1"/>
  <c r="X98" i="93"/>
  <c r="X99" i="93" s="1"/>
  <c r="V98" i="91"/>
  <c r="V99" i="91" s="1"/>
  <c r="T98" i="89"/>
  <c r="T99" i="89" s="1"/>
  <c r="Z98" i="89"/>
  <c r="Z99" i="89" s="1"/>
  <c r="T98" i="91"/>
  <c r="T99" i="91" s="1"/>
  <c r="T98" i="93"/>
  <c r="T99" i="93" s="1"/>
  <c r="W98" i="89"/>
  <c r="W99" i="89" s="1"/>
  <c r="Z98" i="93"/>
  <c r="Z99" i="93" s="1"/>
  <c r="Y98" i="93"/>
  <c r="Y99" i="93" s="1"/>
  <c r="V98" i="89"/>
  <c r="V99" i="89" s="1"/>
  <c r="U98" i="93"/>
  <c r="U99" i="93" s="1"/>
  <c r="U98" i="91"/>
  <c r="U99" i="91" s="1"/>
  <c r="W98" i="93"/>
  <c r="W99" i="93" s="1"/>
  <c r="Y98" i="91"/>
  <c r="Y99" i="91" s="1"/>
  <c r="X98" i="91"/>
  <c r="X99" i="91" s="1"/>
  <c r="W98" i="91"/>
  <c r="W99" i="91" s="1"/>
  <c r="AC95" i="89"/>
  <c r="R95" i="89" s="1"/>
  <c r="AC95" i="91"/>
  <c r="R95" i="91" s="1"/>
  <c r="AC95" i="93"/>
  <c r="R95" i="93" s="1"/>
  <c r="S96" i="89"/>
  <c r="AT43" i="110" s="1"/>
  <c r="BD43" i="110" s="1"/>
  <c r="S96" i="91"/>
  <c r="BH43" i="110" s="1"/>
  <c r="BR43" i="110" s="1"/>
  <c r="S96" i="93"/>
  <c r="BV43" i="110" s="1"/>
  <c r="CF43" i="110" s="1"/>
  <c r="F70" i="46"/>
  <c r="F69" i="46"/>
  <c r="F68" i="46"/>
  <c r="F67" i="46"/>
  <c r="F66" i="46"/>
  <c r="F65" i="46"/>
  <c r="F64" i="46"/>
  <c r="F63" i="46"/>
  <c r="F62" i="46"/>
  <c r="BK46" i="110" l="1"/>
  <c r="BK45" i="110"/>
  <c r="CB46" i="110"/>
  <c r="CB45" i="110"/>
  <c r="CA46" i="110"/>
  <c r="CA45" i="110"/>
  <c r="AY46" i="110"/>
  <c r="AY45" i="110"/>
  <c r="AX46" i="110"/>
  <c r="AX45" i="110"/>
  <c r="AW46" i="110"/>
  <c r="AW45" i="110"/>
  <c r="BW46" i="110"/>
  <c r="BW45" i="110"/>
  <c r="BL46" i="110"/>
  <c r="BL45" i="110"/>
  <c r="CC46" i="110"/>
  <c r="CC45" i="110"/>
  <c r="BO46" i="110"/>
  <c r="BO45" i="110"/>
  <c r="BZ46" i="110"/>
  <c r="BZ45" i="110"/>
  <c r="BI46" i="110"/>
  <c r="BI45" i="110"/>
  <c r="AZ46" i="110"/>
  <c r="AZ45" i="110"/>
  <c r="BM46" i="110"/>
  <c r="BM45" i="110"/>
  <c r="BY46" i="110"/>
  <c r="BY45" i="110"/>
  <c r="AV46" i="110"/>
  <c r="AV45" i="110"/>
  <c r="BN46" i="110"/>
  <c r="BN45" i="110"/>
  <c r="BJ46" i="110"/>
  <c r="BJ45" i="110"/>
  <c r="BA46" i="110"/>
  <c r="BA45" i="110"/>
  <c r="BX46" i="110"/>
  <c r="BX45" i="110"/>
  <c r="AU46" i="110"/>
  <c r="AU45" i="110"/>
  <c r="X102" i="93"/>
  <c r="CA49" i="110" s="1"/>
  <c r="V102" i="93"/>
  <c r="BY49" i="110" s="1"/>
  <c r="T102" i="93"/>
  <c r="BW49" i="110" s="1"/>
  <c r="Y102" i="93"/>
  <c r="CB49" i="110" s="1"/>
  <c r="S98" i="93"/>
  <c r="S99" i="93" s="1"/>
  <c r="AC96" i="93"/>
  <c r="R96" i="93" s="1"/>
  <c r="S98" i="91"/>
  <c r="S99" i="91" s="1"/>
  <c r="AC96" i="91"/>
  <c r="R96" i="91" s="1"/>
  <c r="S98" i="89"/>
  <c r="S99" i="89" s="1"/>
  <c r="AC96" i="89"/>
  <c r="R96" i="89" s="1"/>
  <c r="G70" i="46"/>
  <c r="G69" i="46"/>
  <c r="G68" i="46"/>
  <c r="G67" i="46"/>
  <c r="G66" i="46"/>
  <c r="G65" i="46"/>
  <c r="G64" i="46"/>
  <c r="G63" i="46"/>
  <c r="G62" i="46"/>
  <c r="C5" i="102"/>
  <c r="V103" i="91" l="1"/>
  <c r="Z103" i="89"/>
  <c r="AT46" i="110"/>
  <c r="BD46" i="110" s="1"/>
  <c r="AT45" i="110"/>
  <c r="BD45" i="110" s="1"/>
  <c r="BH46" i="110"/>
  <c r="BR46" i="110" s="1"/>
  <c r="BH45" i="110"/>
  <c r="BR45" i="110" s="1"/>
  <c r="BV46" i="110"/>
  <c r="CF46" i="110" s="1"/>
  <c r="BV45" i="110"/>
  <c r="CF45" i="110" s="1"/>
  <c r="AY50" i="110"/>
  <c r="AZ50" i="110"/>
  <c r="AX50" i="110"/>
  <c r="BY50" i="110"/>
  <c r="G2" i="107"/>
  <c r="Y103" i="89"/>
  <c r="W103" i="89"/>
  <c r="X103" i="89"/>
  <c r="Z102" i="93"/>
  <c r="CA50" i="110"/>
  <c r="X103" i="93"/>
  <c r="V103" i="93"/>
  <c r="U102" i="93"/>
  <c r="W102" i="93"/>
  <c r="CB50" i="110"/>
  <c r="BW50" i="110"/>
  <c r="AU50" i="110"/>
  <c r="BA50" i="110"/>
  <c r="BI50" i="110"/>
  <c r="BO50" i="110"/>
  <c r="BK50" i="110"/>
  <c r="AW50" i="110"/>
  <c r="BL50" i="110"/>
  <c r="AV50" i="110"/>
  <c r="V103" i="89"/>
  <c r="T103" i="91"/>
  <c r="U103" i="89"/>
  <c r="Z103" i="91"/>
  <c r="Y103" i="93"/>
  <c r="T103" i="89"/>
  <c r="W103" i="91"/>
  <c r="T103" i="93"/>
  <c r="BJ50" i="110"/>
  <c r="U103" i="91"/>
  <c r="BM50" i="110"/>
  <c r="Y103" i="91"/>
  <c r="BN50" i="110"/>
  <c r="X103" i="91"/>
  <c r="AC98" i="91"/>
  <c r="R98" i="91" s="1"/>
  <c r="AC98" i="93"/>
  <c r="R98" i="93" s="1"/>
  <c r="AC98" i="89"/>
  <c r="R98" i="89" s="1"/>
  <c r="H70" i="46"/>
  <c r="H69" i="46"/>
  <c r="H68" i="46"/>
  <c r="H67" i="46"/>
  <c r="H66" i="46"/>
  <c r="H65" i="46"/>
  <c r="H64" i="46"/>
  <c r="H63" i="46"/>
  <c r="H62" i="46"/>
  <c r="BZ49" i="110" l="1"/>
  <c r="BZ50" i="110" s="1"/>
  <c r="BX49" i="110"/>
  <c r="BX50" i="110" s="1"/>
  <c r="CC49" i="110"/>
  <c r="CC50" i="110" s="1"/>
  <c r="U103" i="93"/>
  <c r="Z103" i="93"/>
  <c r="W103" i="93"/>
  <c r="S102" i="93"/>
  <c r="AC99" i="93"/>
  <c r="R99" i="93" s="1"/>
  <c r="AC99" i="89"/>
  <c r="R99" i="89" s="1"/>
  <c r="AC99" i="91"/>
  <c r="R99" i="91" s="1"/>
  <c r="S103" i="91"/>
  <c r="AC103" i="91" s="1"/>
  <c r="S103" i="89"/>
  <c r="AC103" i="89" s="1"/>
  <c r="I70" i="46"/>
  <c r="I69" i="46"/>
  <c r="I68" i="46"/>
  <c r="I67" i="46"/>
  <c r="I66" i="46"/>
  <c r="I65" i="46"/>
  <c r="I64" i="46"/>
  <c r="I63" i="46"/>
  <c r="I62" i="46"/>
  <c r="S103" i="93" l="1"/>
  <c r="AC103" i="93" s="1"/>
  <c r="BV49" i="110"/>
  <c r="CF49" i="110" s="1"/>
  <c r="AC102" i="93"/>
  <c r="R102" i="93" s="1"/>
  <c r="R103" i="89"/>
  <c r="R103" i="91"/>
  <c r="AT50" i="110"/>
  <c r="BD50" i="110" s="1"/>
  <c r="BH50" i="110"/>
  <c r="BR50" i="110" s="1"/>
  <c r="J70" i="46"/>
  <c r="K70" i="46" s="1"/>
  <c r="J69" i="46"/>
  <c r="K69" i="46" s="1"/>
  <c r="J68" i="46"/>
  <c r="K68" i="46" s="1"/>
  <c r="J67" i="46"/>
  <c r="K67" i="46" s="1"/>
  <c r="J66" i="46"/>
  <c r="K66" i="46" s="1"/>
  <c r="J65" i="46"/>
  <c r="K65" i="46" s="1"/>
  <c r="J64" i="46"/>
  <c r="K64" i="46" s="1"/>
  <c r="J63" i="46"/>
  <c r="K63" i="46" s="1"/>
  <c r="J62" i="46"/>
  <c r="K62" i="46" s="1"/>
  <c r="AE29" i="28"/>
  <c r="D58" i="46"/>
  <c r="AE20" i="87"/>
  <c r="AE20" i="89"/>
  <c r="AE20" i="91"/>
  <c r="AE20" i="93"/>
  <c r="D84" i="46"/>
  <c r="E84" i="46" s="1"/>
  <c r="F84" i="46" s="1"/>
  <c r="G84" i="46" s="1"/>
  <c r="H84" i="46" s="1"/>
  <c r="I84" i="46" s="1"/>
  <c r="J84" i="46" s="1"/>
  <c r="K84" i="46" s="1"/>
  <c r="L84" i="46" s="1"/>
  <c r="B52" i="93"/>
  <c r="B51" i="93"/>
  <c r="B50" i="93"/>
  <c r="B49" i="93"/>
  <c r="B48" i="93"/>
  <c r="B47" i="93"/>
  <c r="B46" i="93"/>
  <c r="B45" i="93"/>
  <c r="B44" i="93"/>
  <c r="B43" i="93"/>
  <c r="B52" i="91"/>
  <c r="B51" i="91"/>
  <c r="B50" i="91"/>
  <c r="B49" i="91"/>
  <c r="B48" i="91"/>
  <c r="B47" i="91"/>
  <c r="B46" i="91"/>
  <c r="B45" i="91"/>
  <c r="B44" i="91"/>
  <c r="B43" i="91"/>
  <c r="B52" i="89"/>
  <c r="B51" i="89"/>
  <c r="B50" i="89"/>
  <c r="B49" i="89"/>
  <c r="B48" i="89"/>
  <c r="B47" i="89"/>
  <c r="B46" i="89"/>
  <c r="B45" i="89"/>
  <c r="B44" i="89"/>
  <c r="B43" i="89"/>
  <c r="B52" i="87"/>
  <c r="B51" i="87"/>
  <c r="B50" i="87"/>
  <c r="B49" i="87"/>
  <c r="B48" i="87"/>
  <c r="B47" i="87"/>
  <c r="B46" i="87"/>
  <c r="B45" i="87"/>
  <c r="B44" i="87"/>
  <c r="B43" i="87"/>
  <c r="B45" i="28"/>
  <c r="B44" i="28"/>
  <c r="B46" i="28"/>
  <c r="D61" i="46"/>
  <c r="E61" i="46" s="1"/>
  <c r="D60" i="46"/>
  <c r="E60" i="46" s="1"/>
  <c r="D74" i="46"/>
  <c r="E74" i="46" s="1"/>
  <c r="F74" i="46" s="1"/>
  <c r="G74" i="46" s="1"/>
  <c r="H74" i="46" s="1"/>
  <c r="I74" i="46" s="1"/>
  <c r="J74" i="46" s="1"/>
  <c r="K74" i="46" s="1"/>
  <c r="L74" i="46" s="1"/>
  <c r="D59" i="46"/>
  <c r="E59" i="46" s="1"/>
  <c r="C4" i="87"/>
  <c r="C4" i="89"/>
  <c r="C3" i="89"/>
  <c r="C4" i="91"/>
  <c r="C3" i="91"/>
  <c r="C4" i="93"/>
  <c r="C3" i="93"/>
  <c r="S55" i="87"/>
  <c r="C19" i="93"/>
  <c r="S19" i="93" s="1"/>
  <c r="C19" i="91"/>
  <c r="C61" i="91" s="1"/>
  <c r="C19" i="89"/>
  <c r="C42" i="89" s="1"/>
  <c r="C19" i="87"/>
  <c r="S42" i="87" s="1"/>
  <c r="B24" i="87"/>
  <c r="C19" i="28"/>
  <c r="D19" i="28" s="1"/>
  <c r="T19" i="28" s="1"/>
  <c r="D36" i="46"/>
  <c r="E36" i="46" s="1"/>
  <c r="D38" i="46"/>
  <c r="E38" i="46" s="1"/>
  <c r="F38" i="46" s="1"/>
  <c r="G38" i="46" s="1"/>
  <c r="D52" i="46"/>
  <c r="E52" i="46" s="1"/>
  <c r="F52" i="46" s="1"/>
  <c r="B52" i="28"/>
  <c r="B51" i="28"/>
  <c r="B50" i="28"/>
  <c r="B49" i="28"/>
  <c r="B48" i="28"/>
  <c r="D43" i="46"/>
  <c r="E43" i="46" s="1"/>
  <c r="D57" i="46"/>
  <c r="D47" i="46"/>
  <c r="E47" i="46" s="1"/>
  <c r="D48" i="46"/>
  <c r="E48" i="46" s="1"/>
  <c r="F48" i="46" s="1"/>
  <c r="D42" i="46"/>
  <c r="E42" i="46" s="1"/>
  <c r="D41" i="46"/>
  <c r="E41" i="46" s="1"/>
  <c r="N3" i="46"/>
  <c r="D3" i="46"/>
  <c r="O3" i="46" s="1"/>
  <c r="Z5" i="46"/>
  <c r="D73" i="46"/>
  <c r="E73" i="46" s="1"/>
  <c r="F73" i="46" s="1"/>
  <c r="G73" i="46" s="1"/>
  <c r="H73" i="46" s="1"/>
  <c r="I73" i="46" s="1"/>
  <c r="J73" i="46" s="1"/>
  <c r="K73" i="46" s="1"/>
  <c r="L73" i="46" s="1"/>
  <c r="D72" i="46"/>
  <c r="D54" i="46"/>
  <c r="E54" i="46" s="1"/>
  <c r="D53" i="46"/>
  <c r="E53" i="46" s="1"/>
  <c r="D51" i="46"/>
  <c r="E51" i="46" s="1"/>
  <c r="D50" i="46"/>
  <c r="E50" i="46" s="1"/>
  <c r="D49" i="46"/>
  <c r="E49" i="46" s="1"/>
  <c r="D45" i="46"/>
  <c r="E45" i="46" s="1"/>
  <c r="D44" i="46"/>
  <c r="E44" i="46" s="1"/>
  <c r="D39" i="46"/>
  <c r="E39" i="46" s="1"/>
  <c r="D35" i="46"/>
  <c r="D34" i="46"/>
  <c r="E34" i="46" s="1"/>
  <c r="N37" i="46" l="1"/>
  <c r="N40" i="46"/>
  <c r="O37" i="46"/>
  <c r="V37" i="46"/>
  <c r="P37" i="46"/>
  <c r="R37" i="46"/>
  <c r="S37" i="46"/>
  <c r="T37" i="46"/>
  <c r="U37" i="46"/>
  <c r="W37" i="46"/>
  <c r="Q37" i="46"/>
  <c r="O40" i="46"/>
  <c r="P40" i="46"/>
  <c r="Q40" i="46"/>
  <c r="R40" i="46"/>
  <c r="S40" i="46"/>
  <c r="T40" i="46"/>
  <c r="U40" i="46"/>
  <c r="V40" i="46"/>
  <c r="W40" i="46"/>
  <c r="E58" i="46"/>
  <c r="D54" i="87"/>
  <c r="D54" i="93"/>
  <c r="D54" i="91"/>
  <c r="D54" i="89"/>
  <c r="S31" i="93"/>
  <c r="S38" i="93"/>
  <c r="S34" i="93"/>
  <c r="S37" i="93"/>
  <c r="S30" i="93"/>
  <c r="S39" i="93"/>
  <c r="S35" i="93"/>
  <c r="S33" i="93"/>
  <c r="S36" i="93"/>
  <c r="S32" i="93"/>
  <c r="T36" i="28"/>
  <c r="AL36" i="28" s="1"/>
  <c r="T32" i="28"/>
  <c r="AL32" i="28" s="1"/>
  <c r="T30" i="28"/>
  <c r="AL30" i="28" s="1"/>
  <c r="T33" i="28"/>
  <c r="AL33" i="28" s="1"/>
  <c r="T37" i="28"/>
  <c r="AL37" i="28" s="1"/>
  <c r="T31" i="28"/>
  <c r="AL31" i="28" s="1"/>
  <c r="T38" i="28"/>
  <c r="AL38" i="28" s="1"/>
  <c r="T34" i="28"/>
  <c r="AL34" i="28" s="1"/>
  <c r="T39" i="28"/>
  <c r="AL39" i="28" s="1"/>
  <c r="T35" i="28"/>
  <c r="AL35" i="28" s="1"/>
  <c r="R103" i="93"/>
  <c r="N18" i="46"/>
  <c r="N19" i="46"/>
  <c r="O20" i="46"/>
  <c r="O19" i="46"/>
  <c r="P19" i="46"/>
  <c r="Q19" i="46"/>
  <c r="R19" i="46"/>
  <c r="S19" i="46"/>
  <c r="T19" i="46"/>
  <c r="U19" i="46"/>
  <c r="V19" i="46"/>
  <c r="W19" i="46"/>
  <c r="T51" i="28"/>
  <c r="T47" i="28"/>
  <c r="T49" i="28"/>
  <c r="T45" i="28"/>
  <c r="T50" i="28"/>
  <c r="T48" i="28"/>
  <c r="T52" i="28"/>
  <c r="T20" i="28"/>
  <c r="T46" i="28"/>
  <c r="T44" i="28"/>
  <c r="T43" i="28"/>
  <c r="T29" i="28"/>
  <c r="T28" i="28"/>
  <c r="T27" i="28"/>
  <c r="T26" i="28"/>
  <c r="T25" i="28"/>
  <c r="T24" i="28"/>
  <c r="T23" i="28"/>
  <c r="T22" i="28"/>
  <c r="T21" i="28"/>
  <c r="S43" i="93"/>
  <c r="S51" i="93"/>
  <c r="S47" i="93"/>
  <c r="S29" i="93"/>
  <c r="S28" i="93"/>
  <c r="S27" i="93"/>
  <c r="S26" i="93"/>
  <c r="S25" i="93"/>
  <c r="S24" i="93"/>
  <c r="S23" i="93"/>
  <c r="S22" i="93"/>
  <c r="S21" i="93"/>
  <c r="S45" i="93"/>
  <c r="S49" i="93"/>
  <c r="S44" i="93"/>
  <c r="S48" i="93"/>
  <c r="S46" i="93"/>
  <c r="S20" i="93"/>
  <c r="S52" i="93"/>
  <c r="S50" i="93"/>
  <c r="E72" i="46"/>
  <c r="F72" i="46" s="1"/>
  <c r="G72" i="46" s="1"/>
  <c r="H72" i="46" s="1"/>
  <c r="I72" i="46" s="1"/>
  <c r="J72" i="46" s="1"/>
  <c r="K72" i="46" s="1"/>
  <c r="L72" i="46" s="1"/>
  <c r="N23" i="46"/>
  <c r="N10" i="46"/>
  <c r="N9" i="46"/>
  <c r="O9" i="46"/>
  <c r="O10" i="46"/>
  <c r="P10" i="46"/>
  <c r="P9" i="46"/>
  <c r="Q9" i="46"/>
  <c r="Q10" i="46"/>
  <c r="R10" i="46"/>
  <c r="R9" i="46"/>
  <c r="S10" i="46"/>
  <c r="S9" i="46"/>
  <c r="T10" i="46"/>
  <c r="T9" i="46"/>
  <c r="U10" i="46"/>
  <c r="U9" i="46"/>
  <c r="V10" i="46"/>
  <c r="V9" i="46"/>
  <c r="W9" i="46"/>
  <c r="W10" i="46"/>
  <c r="BV50" i="110"/>
  <c r="CF50" i="110" s="1"/>
  <c r="L68" i="46"/>
  <c r="W68" i="46" s="1"/>
  <c r="V68" i="46"/>
  <c r="L69" i="46"/>
  <c r="W69" i="46" s="1"/>
  <c r="V69" i="46"/>
  <c r="L67" i="46"/>
  <c r="W67" i="46" s="1"/>
  <c r="V67" i="46"/>
  <c r="L62" i="46"/>
  <c r="W62" i="46" s="1"/>
  <c r="V62" i="46"/>
  <c r="L70" i="46"/>
  <c r="W70" i="46" s="1"/>
  <c r="V70" i="46"/>
  <c r="L63" i="46"/>
  <c r="W63" i="46" s="1"/>
  <c r="V63" i="46"/>
  <c r="L64" i="46"/>
  <c r="W64" i="46" s="1"/>
  <c r="V64" i="46"/>
  <c r="L65" i="46"/>
  <c r="W65" i="46" s="1"/>
  <c r="V65" i="46"/>
  <c r="E57" i="46"/>
  <c r="L66" i="46"/>
  <c r="W66" i="46" s="1"/>
  <c r="V66" i="46"/>
  <c r="C77" i="87"/>
  <c r="C73" i="87" s="1"/>
  <c r="C75" i="87" s="1"/>
  <c r="H77" i="87"/>
  <c r="H73" i="87" s="1"/>
  <c r="G77" i="87"/>
  <c r="G73" i="87" s="1"/>
  <c r="I77" i="87"/>
  <c r="I73" i="87" s="1"/>
  <c r="F77" i="87"/>
  <c r="F73" i="87" s="1"/>
  <c r="E77" i="87"/>
  <c r="E73" i="87" s="1"/>
  <c r="L77" i="87"/>
  <c r="L73" i="87" s="1"/>
  <c r="D77" i="87"/>
  <c r="D73" i="87" s="1"/>
  <c r="K77" i="87"/>
  <c r="K73" i="87" s="1"/>
  <c r="J77" i="87"/>
  <c r="J73" i="87" s="1"/>
  <c r="C77" i="89"/>
  <c r="C73" i="89" s="1"/>
  <c r="C75" i="89" s="1"/>
  <c r="J77" i="89"/>
  <c r="J73" i="89" s="1"/>
  <c r="I77" i="89"/>
  <c r="I73" i="89" s="1"/>
  <c r="H77" i="89"/>
  <c r="H73" i="89" s="1"/>
  <c r="G77" i="89"/>
  <c r="G73" i="89" s="1"/>
  <c r="F77" i="89"/>
  <c r="F73" i="89" s="1"/>
  <c r="E77" i="89"/>
  <c r="E73" i="89" s="1"/>
  <c r="K77" i="89"/>
  <c r="K73" i="89" s="1"/>
  <c r="L77" i="89"/>
  <c r="L73" i="89" s="1"/>
  <c r="D77" i="89"/>
  <c r="D73" i="89" s="1"/>
  <c r="C77" i="91"/>
  <c r="C73" i="91" s="1"/>
  <c r="C75" i="91" s="1"/>
  <c r="L77" i="91"/>
  <c r="L73" i="91" s="1"/>
  <c r="D77" i="91"/>
  <c r="D73" i="91" s="1"/>
  <c r="K77" i="91"/>
  <c r="K73" i="91" s="1"/>
  <c r="J77" i="91"/>
  <c r="J73" i="91" s="1"/>
  <c r="I77" i="91"/>
  <c r="I73" i="91" s="1"/>
  <c r="H77" i="91"/>
  <c r="H73" i="91" s="1"/>
  <c r="E77" i="91"/>
  <c r="E73" i="91" s="1"/>
  <c r="G77" i="91"/>
  <c r="G73" i="91" s="1"/>
  <c r="F77" i="91"/>
  <c r="F73" i="91" s="1"/>
  <c r="C77" i="93"/>
  <c r="C73" i="93" s="1"/>
  <c r="C75" i="93" s="1"/>
  <c r="F77" i="93"/>
  <c r="F73" i="93" s="1"/>
  <c r="E77" i="93"/>
  <c r="E73" i="93" s="1"/>
  <c r="L77" i="93"/>
  <c r="L73" i="93" s="1"/>
  <c r="D77" i="93"/>
  <c r="D73" i="93" s="1"/>
  <c r="K77" i="93"/>
  <c r="K73" i="93" s="1"/>
  <c r="G77" i="93"/>
  <c r="G73" i="93" s="1"/>
  <c r="J77" i="93"/>
  <c r="J73" i="93" s="1"/>
  <c r="I77" i="93"/>
  <c r="I73" i="93" s="1"/>
  <c r="H77" i="93"/>
  <c r="H73" i="93" s="1"/>
  <c r="T62" i="46"/>
  <c r="N22" i="46"/>
  <c r="S63" i="93"/>
  <c r="D30" i="102"/>
  <c r="D30" i="104"/>
  <c r="AQ55" i="93"/>
  <c r="B47" i="28"/>
  <c r="U63" i="46"/>
  <c r="U67" i="46"/>
  <c r="T63" i="46"/>
  <c r="T67" i="46"/>
  <c r="T64" i="46"/>
  <c r="U68" i="46"/>
  <c r="U64" i="46"/>
  <c r="T68" i="46"/>
  <c r="T65" i="46"/>
  <c r="U69" i="46"/>
  <c r="U65" i="46"/>
  <c r="T69" i="46"/>
  <c r="U66" i="46"/>
  <c r="U70" i="46"/>
  <c r="N64" i="46"/>
  <c r="N62" i="46"/>
  <c r="N63" i="46"/>
  <c r="N70" i="46"/>
  <c r="N69" i="46"/>
  <c r="N68" i="46"/>
  <c r="N67" i="46"/>
  <c r="N66" i="46"/>
  <c r="N65" i="46"/>
  <c r="O68" i="46"/>
  <c r="P70" i="46"/>
  <c r="P64" i="46"/>
  <c r="O64" i="46"/>
  <c r="O62" i="46"/>
  <c r="P67" i="46"/>
  <c r="O65" i="46"/>
  <c r="P62" i="46"/>
  <c r="O70" i="46"/>
  <c r="O67" i="46"/>
  <c r="P69" i="46"/>
  <c r="P66" i="46"/>
  <c r="P65" i="46"/>
  <c r="O69" i="46"/>
  <c r="O66" i="46"/>
  <c r="P63" i="46"/>
  <c r="O63" i="46"/>
  <c r="P68" i="46"/>
  <c r="Q70" i="46"/>
  <c r="Q66" i="46"/>
  <c r="Q62" i="46"/>
  <c r="Q69" i="46"/>
  <c r="Q65" i="46"/>
  <c r="Q64" i="46"/>
  <c r="Q68" i="46"/>
  <c r="Q67" i="46"/>
  <c r="Q63" i="46"/>
  <c r="R70" i="46"/>
  <c r="R66" i="46"/>
  <c r="R62" i="46"/>
  <c r="R69" i="46"/>
  <c r="R65" i="46"/>
  <c r="R64" i="46"/>
  <c r="R68" i="46"/>
  <c r="R67" i="46"/>
  <c r="R63" i="46"/>
  <c r="S70" i="46"/>
  <c r="S66" i="46"/>
  <c r="S62" i="46"/>
  <c r="S69" i="46"/>
  <c r="S65" i="46"/>
  <c r="S68" i="46"/>
  <c r="S64" i="46"/>
  <c r="S67" i="46"/>
  <c r="S63" i="46"/>
  <c r="U62" i="46"/>
  <c r="T66" i="46"/>
  <c r="T70" i="46"/>
  <c r="I30" i="104"/>
  <c r="B23" i="28"/>
  <c r="O59" i="46"/>
  <c r="N25" i="46"/>
  <c r="C61" i="87"/>
  <c r="O27" i="46"/>
  <c r="C42" i="93"/>
  <c r="N24" i="46"/>
  <c r="N34" i="46"/>
  <c r="C61" i="93"/>
  <c r="N53" i="46"/>
  <c r="P11" i="46"/>
  <c r="Q11" i="46"/>
  <c r="N54" i="46"/>
  <c r="O23" i="46"/>
  <c r="N52" i="46"/>
  <c r="N21" i="46"/>
  <c r="N17" i="46"/>
  <c r="N13" i="46"/>
  <c r="N45" i="46"/>
  <c r="N49" i="46"/>
  <c r="N6" i="46"/>
  <c r="N39" i="46"/>
  <c r="N38" i="46"/>
  <c r="O35" i="46"/>
  <c r="N26" i="46"/>
  <c r="N41" i="46"/>
  <c r="N27" i="46"/>
  <c r="N35" i="46"/>
  <c r="N42" i="46"/>
  <c r="N50" i="46"/>
  <c r="O11" i="46"/>
  <c r="N11" i="46"/>
  <c r="O21" i="46"/>
  <c r="O52" i="46"/>
  <c r="O60" i="46"/>
  <c r="O6" i="46"/>
  <c r="O43" i="46"/>
  <c r="O51" i="46"/>
  <c r="O29" i="46"/>
  <c r="O44" i="46"/>
  <c r="N47" i="46"/>
  <c r="O22" i="46"/>
  <c r="O17" i="46"/>
  <c r="O30" i="46"/>
  <c r="N28" i="46"/>
  <c r="N29" i="46"/>
  <c r="N43" i="46"/>
  <c r="N51" i="46"/>
  <c r="N48" i="46"/>
  <c r="F51" i="46"/>
  <c r="Q51" i="46" s="1"/>
  <c r="P51" i="46"/>
  <c r="N59" i="46"/>
  <c r="P38" i="46"/>
  <c r="N58" i="46"/>
  <c r="O15" i="46"/>
  <c r="O61" i="46"/>
  <c r="N61" i="46"/>
  <c r="O48" i="46"/>
  <c r="O26" i="46"/>
  <c r="O38" i="46"/>
  <c r="B24" i="91"/>
  <c r="O18" i="46"/>
  <c r="P50" i="46"/>
  <c r="F50" i="46"/>
  <c r="N20" i="46"/>
  <c r="N15" i="46"/>
  <c r="O34" i="46"/>
  <c r="O53" i="46"/>
  <c r="N44" i="46"/>
  <c r="O24" i="46"/>
  <c r="N16" i="46"/>
  <c r="E35" i="46"/>
  <c r="P35" i="46" s="1"/>
  <c r="N60" i="46"/>
  <c r="O16" i="46"/>
  <c r="S42" i="93"/>
  <c r="O39" i="46"/>
  <c r="B43" i="28"/>
  <c r="O36" i="46"/>
  <c r="N36" i="46"/>
  <c r="O7" i="46"/>
  <c r="N30" i="46"/>
  <c r="O45" i="46"/>
  <c r="O28" i="46"/>
  <c r="E3" i="46"/>
  <c r="P3" i="46" s="1"/>
  <c r="N7" i="46"/>
  <c r="N14" i="46"/>
  <c r="N12" i="46"/>
  <c r="O54" i="46"/>
  <c r="O14" i="46"/>
  <c r="N8" i="46"/>
  <c r="O8" i="46"/>
  <c r="O50" i="46"/>
  <c r="O49" i="46"/>
  <c r="O25" i="46"/>
  <c r="P15" i="46"/>
  <c r="I30" i="102"/>
  <c r="BC48" i="28"/>
  <c r="S19" i="89"/>
  <c r="AH50" i="28"/>
  <c r="AT55" i="28"/>
  <c r="AW55" i="28"/>
  <c r="AK49" i="28"/>
  <c r="AZ22" i="28"/>
  <c r="AW47" i="28"/>
  <c r="BC26" i="28"/>
  <c r="AQ46" i="28"/>
  <c r="AZ55" i="28"/>
  <c r="AZ52" i="28"/>
  <c r="AH55" i="28"/>
  <c r="AI55" i="28" s="1"/>
  <c r="AQ43" i="28"/>
  <c r="AK55" i="28"/>
  <c r="BC55" i="28"/>
  <c r="AK52" i="28"/>
  <c r="AN55" i="28"/>
  <c r="AK51" i="28"/>
  <c r="AE28" i="28"/>
  <c r="AE45" i="28"/>
  <c r="AH24" i="28"/>
  <c r="AQ55" i="28"/>
  <c r="C61" i="89"/>
  <c r="C61" i="28"/>
  <c r="S42" i="89"/>
  <c r="D19" i="89"/>
  <c r="D61" i="89" s="1"/>
  <c r="S42" i="28"/>
  <c r="C42" i="28"/>
  <c r="C42" i="87"/>
  <c r="S19" i="87"/>
  <c r="AE47" i="28"/>
  <c r="AH27" i="28"/>
  <c r="AK26" i="28"/>
  <c r="AN29" i="28"/>
  <c r="AN49" i="28"/>
  <c r="BC22" i="28"/>
  <c r="AN26" i="28"/>
  <c r="AW22" i="28"/>
  <c r="AT28" i="28"/>
  <c r="AT48" i="28"/>
  <c r="AZ49" i="28"/>
  <c r="AE50" i="28"/>
  <c r="AW49" i="28"/>
  <c r="AN48" i="28"/>
  <c r="AW48" i="28"/>
  <c r="AQ26" i="28"/>
  <c r="AZ43" i="28"/>
  <c r="AQ48" i="28"/>
  <c r="AH47" i="28"/>
  <c r="AW46" i="28"/>
  <c r="AW25" i="28"/>
  <c r="AZ50" i="28"/>
  <c r="AE26" i="28"/>
  <c r="AE52" i="28"/>
  <c r="AK22" i="28"/>
  <c r="AQ25" i="28"/>
  <c r="AK46" i="28"/>
  <c r="BC47" i="28"/>
  <c r="AE49" i="28"/>
  <c r="AE51" i="28"/>
  <c r="AE27" i="28"/>
  <c r="AT52" i="28"/>
  <c r="AK24" i="28"/>
  <c r="AT43" i="28"/>
  <c r="BC49" i="28"/>
  <c r="BC29" i="28"/>
  <c r="B25" i="91"/>
  <c r="B24" i="89"/>
  <c r="B28" i="89"/>
  <c r="B21" i="89"/>
  <c r="B24" i="28"/>
  <c r="B22" i="87"/>
  <c r="AE44" i="28"/>
  <c r="B25" i="28"/>
  <c r="B24" i="93"/>
  <c r="B27" i="89"/>
  <c r="B28" i="91"/>
  <c r="B21" i="91"/>
  <c r="B22" i="89"/>
  <c r="AT46" i="28"/>
  <c r="AH25" i="28"/>
  <c r="AK47" i="28"/>
  <c r="AQ28" i="28"/>
  <c r="AW45" i="28"/>
  <c r="AQ21" i="28"/>
  <c r="AN46" i="28"/>
  <c r="AN23" i="28"/>
  <c r="AQ51" i="28"/>
  <c r="AN27" i="28"/>
  <c r="AW52" i="28"/>
  <c r="AK29" i="28"/>
  <c r="AQ45" i="28"/>
  <c r="AN47" i="28"/>
  <c r="AQ24" i="28"/>
  <c r="AZ23" i="28"/>
  <c r="AZ45" i="28"/>
  <c r="BC45" i="28"/>
  <c r="BC46" i="28"/>
  <c r="AZ48" i="28"/>
  <c r="B25" i="93"/>
  <c r="AE22" i="28"/>
  <c r="AE23" i="28"/>
  <c r="AE46" i="28"/>
  <c r="B26" i="28"/>
  <c r="B26" i="87"/>
  <c r="B27" i="91"/>
  <c r="B20" i="93"/>
  <c r="B29" i="91"/>
  <c r="B22" i="91"/>
  <c r="AN45" i="28"/>
  <c r="AT23" i="28"/>
  <c r="AK45" i="28"/>
  <c r="AW23" i="28"/>
  <c r="AQ44" i="28"/>
  <c r="AK20" i="28"/>
  <c r="AH45" i="28"/>
  <c r="AH22" i="28"/>
  <c r="AK50" i="28"/>
  <c r="AH26" i="28"/>
  <c r="AH52" i="28"/>
  <c r="AT26" i="28"/>
  <c r="AW29" i="28"/>
  <c r="AH46" i="28"/>
  <c r="AH23" i="28"/>
  <c r="AQ52" i="28"/>
  <c r="BC20" i="28"/>
  <c r="AZ24" i="28"/>
  <c r="BC21" i="28"/>
  <c r="AZ21" i="28"/>
  <c r="B29" i="89"/>
  <c r="B27" i="28"/>
  <c r="B26" i="89"/>
  <c r="B27" i="93"/>
  <c r="B28" i="93"/>
  <c r="B21" i="93"/>
  <c r="B22" i="93"/>
  <c r="AT44" i="28"/>
  <c r="AT21" i="28"/>
  <c r="AT27" i="28"/>
  <c r="AN52" i="28"/>
  <c r="AK43" i="28"/>
  <c r="AK44" i="28"/>
  <c r="AW43" i="28"/>
  <c r="AW20" i="28"/>
  <c r="AT47" i="28"/>
  <c r="AW24" i="28"/>
  <c r="AW50" i="28"/>
  <c r="AN25" i="28"/>
  <c r="AK27" i="28"/>
  <c r="AW44" i="28"/>
  <c r="AN22" i="28"/>
  <c r="BC27" i="28"/>
  <c r="BC28" i="28"/>
  <c r="BC52" i="28"/>
  <c r="BC44" i="28"/>
  <c r="AZ29" i="28"/>
  <c r="AE21" i="28"/>
  <c r="AE25" i="28"/>
  <c r="AE48" i="28"/>
  <c r="B20" i="28"/>
  <c r="B28" i="28"/>
  <c r="B23" i="89"/>
  <c r="B26" i="91"/>
  <c r="B20" i="87"/>
  <c r="B23" i="91"/>
  <c r="B29" i="93"/>
  <c r="AN43" i="28"/>
  <c r="AN20" i="28"/>
  <c r="AT25" i="28"/>
  <c r="AH51" i="28"/>
  <c r="AQ29" i="28"/>
  <c r="AQ22" i="28"/>
  <c r="AW28" i="28"/>
  <c r="AH20" i="28"/>
  <c r="AT45" i="28"/>
  <c r="AT22" i="28"/>
  <c r="AQ49" i="28"/>
  <c r="AT24" i="28"/>
  <c r="AK25" i="28"/>
  <c r="AH44" i="28"/>
  <c r="AH21" i="28"/>
  <c r="AZ46" i="28"/>
  <c r="AZ47" i="28"/>
  <c r="AZ20" i="28"/>
  <c r="AZ28" i="28"/>
  <c r="BC25" i="28"/>
  <c r="B27" i="87"/>
  <c r="B21" i="28"/>
  <c r="B25" i="87"/>
  <c r="B26" i="93"/>
  <c r="B28" i="87"/>
  <c r="B21" i="87"/>
  <c r="B23" i="93"/>
  <c r="AT29" i="28"/>
  <c r="AW51" i="28"/>
  <c r="AN24" i="28"/>
  <c r="AN50" i="28"/>
  <c r="AK28" i="28"/>
  <c r="AT51" i="28"/>
  <c r="AH28" i="28"/>
  <c r="AN51" i="28"/>
  <c r="AN44" i="28"/>
  <c r="AN21" i="28"/>
  <c r="AK48" i="28"/>
  <c r="AK23" i="28"/>
  <c r="AW21" i="28"/>
  <c r="AH29" i="28"/>
  <c r="AQ20" i="28"/>
  <c r="BC43" i="28"/>
  <c r="BC51" i="28"/>
  <c r="AZ27" i="28"/>
  <c r="BC24" i="28"/>
  <c r="AZ44" i="28"/>
  <c r="B20" i="91"/>
  <c r="B29" i="28"/>
  <c r="B22" i="28"/>
  <c r="B25" i="89"/>
  <c r="B23" i="87"/>
  <c r="B20" i="89"/>
  <c r="B29" i="87"/>
  <c r="AN28" i="28"/>
  <c r="AQ50" i="28"/>
  <c r="AQ23" i="28"/>
  <c r="AH49" i="28"/>
  <c r="AQ27" i="28"/>
  <c r="AT49" i="28"/>
  <c r="AW26" i="28"/>
  <c r="AH48" i="28"/>
  <c r="AH43" i="28"/>
  <c r="AT20" i="28"/>
  <c r="AQ47" i="28"/>
  <c r="AK21" i="28"/>
  <c r="AT50" i="28"/>
  <c r="AW27" i="28"/>
  <c r="BC50" i="28"/>
  <c r="AZ26" i="28"/>
  <c r="BC23" i="28"/>
  <c r="AZ51" i="28"/>
  <c r="AE43" i="28"/>
  <c r="D19" i="93"/>
  <c r="P7" i="46"/>
  <c r="O58" i="46"/>
  <c r="D61" i="28"/>
  <c r="S19" i="28"/>
  <c r="AH19" i="93"/>
  <c r="AH42" i="93" s="1"/>
  <c r="P27" i="46"/>
  <c r="P28" i="46"/>
  <c r="P29" i="46"/>
  <c r="G52" i="46"/>
  <c r="Q52" i="46"/>
  <c r="F58" i="46"/>
  <c r="P58" i="46"/>
  <c r="P21" i="46"/>
  <c r="P30" i="46"/>
  <c r="F59" i="46"/>
  <c r="Q59" i="46" s="1"/>
  <c r="P59" i="46"/>
  <c r="P14" i="46"/>
  <c r="F53" i="46"/>
  <c r="P53" i="46"/>
  <c r="F45" i="46"/>
  <c r="P45" i="46"/>
  <c r="P17" i="46"/>
  <c r="F44" i="46"/>
  <c r="P44" i="46"/>
  <c r="G48" i="46"/>
  <c r="Q48" i="46"/>
  <c r="P25" i="46"/>
  <c r="F49" i="46"/>
  <c r="P49" i="46"/>
  <c r="P23" i="46"/>
  <c r="P24" i="46"/>
  <c r="P54" i="46"/>
  <c r="F54" i="46"/>
  <c r="P26" i="46"/>
  <c r="P47" i="46"/>
  <c r="F47" i="46"/>
  <c r="O41" i="46"/>
  <c r="P52" i="46"/>
  <c r="O47" i="46"/>
  <c r="O12" i="46"/>
  <c r="P48" i="46"/>
  <c r="O13" i="46"/>
  <c r="P60" i="46"/>
  <c r="F60" i="46"/>
  <c r="P61" i="46"/>
  <c r="F61" i="46"/>
  <c r="F57" i="46"/>
  <c r="H38" i="46"/>
  <c r="R38" i="46"/>
  <c r="P34" i="46"/>
  <c r="F34" i="46"/>
  <c r="F43" i="46"/>
  <c r="P43" i="46"/>
  <c r="F39" i="46"/>
  <c r="P39" i="46"/>
  <c r="U55" i="87"/>
  <c r="P36" i="46"/>
  <c r="F36" i="46"/>
  <c r="F41" i="46"/>
  <c r="P41" i="46"/>
  <c r="P42" i="46"/>
  <c r="F42" i="46"/>
  <c r="O42" i="46"/>
  <c r="T55" i="87"/>
  <c r="Q38" i="46"/>
  <c r="P12" i="46"/>
  <c r="P13" i="46"/>
  <c r="T42" i="28"/>
  <c r="D42" i="28"/>
  <c r="E19" i="28"/>
  <c r="AK19" i="28"/>
  <c r="AK42" i="28" s="1"/>
  <c r="S19" i="91"/>
  <c r="C42" i="91"/>
  <c r="S42" i="91"/>
  <c r="D19" i="91"/>
  <c r="D19" i="87"/>
  <c r="T55" i="28"/>
  <c r="U55" i="91"/>
  <c r="U55" i="28"/>
  <c r="S55" i="93"/>
  <c r="S55" i="89"/>
  <c r="AE55" i="28"/>
  <c r="S55" i="91"/>
  <c r="T108" i="28" l="1"/>
  <c r="S55" i="110" s="1"/>
  <c r="G59" i="28"/>
  <c r="C59" i="28"/>
  <c r="S54" i="28" s="1"/>
  <c r="C54" i="28" s="1"/>
  <c r="F59" i="28"/>
  <c r="V54" i="28" s="1"/>
  <c r="F54" i="28" s="1"/>
  <c r="E59" i="28"/>
  <c r="U54" i="28" s="1"/>
  <c r="E54" i="28" s="1"/>
  <c r="I59" i="28"/>
  <c r="H59" i="28"/>
  <c r="D59" i="28"/>
  <c r="T54" i="28" s="1"/>
  <c r="D54" i="28" s="1"/>
  <c r="L59" i="28"/>
  <c r="K59" i="28"/>
  <c r="J59" i="28"/>
  <c r="T122" i="28"/>
  <c r="T94" i="28"/>
  <c r="E58" i="89"/>
  <c r="U53" i="89" s="1"/>
  <c r="E53" i="89" s="1"/>
  <c r="L58" i="89"/>
  <c r="AB53" i="89" s="1"/>
  <c r="L53" i="89" s="1"/>
  <c r="K58" i="89"/>
  <c r="AA53" i="89" s="1"/>
  <c r="K53" i="89" s="1"/>
  <c r="H58" i="89"/>
  <c r="X53" i="89" s="1"/>
  <c r="J58" i="89"/>
  <c r="Z53" i="89" s="1"/>
  <c r="J53" i="89" s="1"/>
  <c r="I58" i="89"/>
  <c r="Y53" i="89" s="1"/>
  <c r="I53" i="89" s="1"/>
  <c r="F58" i="89"/>
  <c r="V53" i="89" s="1"/>
  <c r="F53" i="89" s="1"/>
  <c r="G58" i="89"/>
  <c r="W53" i="89" s="1"/>
  <c r="D58" i="89"/>
  <c r="T53" i="89" s="1"/>
  <c r="D53" i="89" s="1"/>
  <c r="J58" i="93"/>
  <c r="Z53" i="93" s="1"/>
  <c r="J53" i="93" s="1"/>
  <c r="G58" i="93"/>
  <c r="W53" i="93" s="1"/>
  <c r="I58" i="93"/>
  <c r="Y53" i="93" s="1"/>
  <c r="I53" i="93" s="1"/>
  <c r="F58" i="93"/>
  <c r="V53" i="93" s="1"/>
  <c r="F53" i="93" s="1"/>
  <c r="E58" i="93"/>
  <c r="U53" i="93" s="1"/>
  <c r="E53" i="93" s="1"/>
  <c r="D58" i="93"/>
  <c r="T53" i="93" s="1"/>
  <c r="D53" i="93" s="1"/>
  <c r="H58" i="93"/>
  <c r="X53" i="93" s="1"/>
  <c r="L58" i="93"/>
  <c r="AB53" i="93" s="1"/>
  <c r="L53" i="93" s="1"/>
  <c r="K58" i="93"/>
  <c r="AA53" i="93" s="1"/>
  <c r="K53" i="93" s="1"/>
  <c r="G58" i="91"/>
  <c r="W53" i="91" s="1"/>
  <c r="L58" i="91"/>
  <c r="AB53" i="91" s="1"/>
  <c r="L53" i="91" s="1"/>
  <c r="K58" i="91"/>
  <c r="AA53" i="91" s="1"/>
  <c r="K53" i="91" s="1"/>
  <c r="E58" i="91"/>
  <c r="U53" i="91" s="1"/>
  <c r="E53" i="91" s="1"/>
  <c r="J58" i="91"/>
  <c r="Z53" i="91" s="1"/>
  <c r="J53" i="91" s="1"/>
  <c r="I58" i="91"/>
  <c r="Y53" i="91" s="1"/>
  <c r="I53" i="91" s="1"/>
  <c r="F58" i="91"/>
  <c r="V53" i="91" s="1"/>
  <c r="F53" i="91" s="1"/>
  <c r="H58" i="91"/>
  <c r="X53" i="91" s="1"/>
  <c r="D58" i="91"/>
  <c r="T53" i="91" s="1"/>
  <c r="D53" i="91" s="1"/>
  <c r="Y83" i="91"/>
  <c r="BN30" i="110" s="1"/>
  <c r="I75" i="91"/>
  <c r="X83" i="93"/>
  <c r="CA30" i="110" s="1"/>
  <c r="H75" i="93"/>
  <c r="X67" i="93" s="1"/>
  <c r="CA16" i="110" s="1"/>
  <c r="V83" i="93"/>
  <c r="BY30" i="110" s="1"/>
  <c r="F75" i="93"/>
  <c r="AA83" i="91"/>
  <c r="BP30" i="110" s="1"/>
  <c r="K75" i="91"/>
  <c r="AA67" i="91" s="1"/>
  <c r="BP16" i="110" s="1"/>
  <c r="V83" i="89"/>
  <c r="AW30" i="110" s="1"/>
  <c r="F75" i="89"/>
  <c r="V67" i="89" s="1"/>
  <c r="AW16" i="110" s="1"/>
  <c r="T83" i="87"/>
  <c r="AG30" i="110" s="1"/>
  <c r="D75" i="87"/>
  <c r="T67" i="87" s="1"/>
  <c r="AG16" i="110" s="1"/>
  <c r="X83" i="87"/>
  <c r="AK30" i="110" s="1"/>
  <c r="H75" i="87"/>
  <c r="X67" i="87" s="1"/>
  <c r="AK16" i="110" s="1"/>
  <c r="Z83" i="91"/>
  <c r="BO30" i="110" s="1"/>
  <c r="J75" i="91"/>
  <c r="Z67" i="91" s="1"/>
  <c r="BO16" i="110" s="1"/>
  <c r="Y83" i="93"/>
  <c r="CB30" i="110" s="1"/>
  <c r="I75" i="93"/>
  <c r="T83" i="91"/>
  <c r="BI30" i="110" s="1"/>
  <c r="D75" i="91"/>
  <c r="T67" i="91" s="1"/>
  <c r="BI16" i="110" s="1"/>
  <c r="W83" i="89"/>
  <c r="AX30" i="110" s="1"/>
  <c r="G75" i="89"/>
  <c r="W67" i="89" s="1"/>
  <c r="AX16" i="110" s="1"/>
  <c r="AB83" i="87"/>
  <c r="AO30" i="110" s="1"/>
  <c r="L75" i="87"/>
  <c r="AB67" i="87" s="1"/>
  <c r="AO16" i="110" s="1"/>
  <c r="AA83" i="89"/>
  <c r="BB30" i="110" s="1"/>
  <c r="K75" i="89"/>
  <c r="AA67" i="89" s="1"/>
  <c r="BB16" i="110" s="1"/>
  <c r="U83" i="89"/>
  <c r="AV30" i="110" s="1"/>
  <c r="E75" i="89"/>
  <c r="U67" i="89" s="1"/>
  <c r="AV16" i="110" s="1"/>
  <c r="Z83" i="93"/>
  <c r="CC30" i="110" s="1"/>
  <c r="J75" i="93"/>
  <c r="Z67" i="93" s="1"/>
  <c r="CC16" i="110" s="1"/>
  <c r="V83" i="91"/>
  <c r="BK30" i="110" s="1"/>
  <c r="F75" i="91"/>
  <c r="AB83" i="91"/>
  <c r="BQ30" i="110" s="1"/>
  <c r="L75" i="91"/>
  <c r="AB67" i="91" s="1"/>
  <c r="BQ16" i="110" s="1"/>
  <c r="X83" i="89"/>
  <c r="AY30" i="110" s="1"/>
  <c r="H75" i="89"/>
  <c r="X67" i="89" s="1"/>
  <c r="AY16" i="110" s="1"/>
  <c r="U83" i="87"/>
  <c r="AH30" i="110" s="1"/>
  <c r="E75" i="87"/>
  <c r="U67" i="87" s="1"/>
  <c r="AH16" i="110" s="1"/>
  <c r="Z83" i="87"/>
  <c r="AM30" i="110" s="1"/>
  <c r="J75" i="87"/>
  <c r="Z67" i="87" s="1"/>
  <c r="AM16" i="110" s="1"/>
  <c r="U83" i="93"/>
  <c r="BX30" i="110" s="1"/>
  <c r="E75" i="93"/>
  <c r="U67" i="93" s="1"/>
  <c r="BX16" i="110" s="1"/>
  <c r="W83" i="93"/>
  <c r="BZ30" i="110" s="1"/>
  <c r="G75" i="93"/>
  <c r="W67" i="93" s="1"/>
  <c r="BZ16" i="110" s="1"/>
  <c r="W83" i="91"/>
  <c r="BL30" i="110" s="1"/>
  <c r="G75" i="91"/>
  <c r="Y83" i="89"/>
  <c r="AZ30" i="110" s="1"/>
  <c r="I75" i="89"/>
  <c r="Y67" i="89" s="1"/>
  <c r="AZ16" i="110" s="1"/>
  <c r="V83" i="87"/>
  <c r="AI30" i="110" s="1"/>
  <c r="F75" i="87"/>
  <c r="V67" i="87" s="1"/>
  <c r="AI16" i="110" s="1"/>
  <c r="AA83" i="93"/>
  <c r="CD30" i="110" s="1"/>
  <c r="K75" i="93"/>
  <c r="AA67" i="93" s="1"/>
  <c r="CD16" i="110" s="1"/>
  <c r="U83" i="91"/>
  <c r="BJ30" i="110" s="1"/>
  <c r="E75" i="91"/>
  <c r="T83" i="89"/>
  <c r="AU30" i="110" s="1"/>
  <c r="D75" i="89"/>
  <c r="T67" i="89" s="1"/>
  <c r="AU16" i="110" s="1"/>
  <c r="Z83" i="89"/>
  <c r="BA30" i="110" s="1"/>
  <c r="J75" i="89"/>
  <c r="Z67" i="89" s="1"/>
  <c r="BA16" i="110" s="1"/>
  <c r="Y83" i="87"/>
  <c r="AL30" i="110" s="1"/>
  <c r="I75" i="87"/>
  <c r="Y67" i="87" s="1"/>
  <c r="AL16" i="110" s="1"/>
  <c r="AB83" i="93"/>
  <c r="CE30" i="110" s="1"/>
  <c r="L75" i="93"/>
  <c r="AB67" i="93" s="1"/>
  <c r="CE16" i="110" s="1"/>
  <c r="AA83" i="87"/>
  <c r="AN30" i="110" s="1"/>
  <c r="K75" i="87"/>
  <c r="AA67" i="87" s="1"/>
  <c r="AN16" i="110" s="1"/>
  <c r="T83" i="93"/>
  <c r="BW30" i="110" s="1"/>
  <c r="D75" i="93"/>
  <c r="T67" i="93" s="1"/>
  <c r="BW16" i="110" s="1"/>
  <c r="X83" i="91"/>
  <c r="BM30" i="110" s="1"/>
  <c r="H75" i="91"/>
  <c r="AB83" i="89"/>
  <c r="BC30" i="110" s="1"/>
  <c r="L75" i="89"/>
  <c r="AB67" i="89" s="1"/>
  <c r="BC16" i="110" s="1"/>
  <c r="W83" i="87"/>
  <c r="AJ30" i="110" s="1"/>
  <c r="G75" i="87"/>
  <c r="W67" i="87" s="1"/>
  <c r="AJ16" i="110" s="1"/>
  <c r="F54" i="93"/>
  <c r="F54" i="87"/>
  <c r="F54" i="89"/>
  <c r="F54" i="91"/>
  <c r="E54" i="89"/>
  <c r="E54" i="87"/>
  <c r="E54" i="93"/>
  <c r="E54" i="91"/>
  <c r="S31" i="89"/>
  <c r="S30" i="89"/>
  <c r="S38" i="89"/>
  <c r="S34" i="89"/>
  <c r="S39" i="89"/>
  <c r="S35" i="89"/>
  <c r="S37" i="89"/>
  <c r="S36" i="89"/>
  <c r="S32" i="89"/>
  <c r="S33" i="89"/>
  <c r="AI33" i="93"/>
  <c r="AI35" i="93"/>
  <c r="AI39" i="93"/>
  <c r="S30" i="87"/>
  <c r="S39" i="87"/>
  <c r="S36" i="87"/>
  <c r="S32" i="87"/>
  <c r="S33" i="87"/>
  <c r="S31" i="87"/>
  <c r="S37" i="87"/>
  <c r="S35" i="87"/>
  <c r="S38" i="87"/>
  <c r="S34" i="87"/>
  <c r="AI30" i="93"/>
  <c r="S33" i="28"/>
  <c r="S36" i="28"/>
  <c r="S32" i="28"/>
  <c r="S31" i="28"/>
  <c r="S39" i="28"/>
  <c r="S35" i="28"/>
  <c r="S37" i="28"/>
  <c r="S30" i="28"/>
  <c r="S38" i="28"/>
  <c r="S34" i="28"/>
  <c r="AI37" i="93"/>
  <c r="AI34" i="93"/>
  <c r="AI32" i="93"/>
  <c r="AI38" i="93"/>
  <c r="S33" i="91"/>
  <c r="S36" i="91"/>
  <c r="S32" i="91"/>
  <c r="S30" i="91"/>
  <c r="S37" i="91"/>
  <c r="S35" i="91"/>
  <c r="S31" i="91"/>
  <c r="S38" i="91"/>
  <c r="S34" i="91"/>
  <c r="S39" i="91"/>
  <c r="AI36" i="93"/>
  <c r="AI31" i="93"/>
  <c r="S40" i="93"/>
  <c r="S64" i="93" s="1"/>
  <c r="BV13" i="110" s="1"/>
  <c r="S80" i="93"/>
  <c r="BV27" i="110" s="1"/>
  <c r="AQ40" i="28"/>
  <c r="K58" i="87"/>
  <c r="AA53" i="87" s="1"/>
  <c r="K53" i="87" s="1"/>
  <c r="I58" i="87"/>
  <c r="Y53" i="87" s="1"/>
  <c r="I53" i="87" s="1"/>
  <c r="J58" i="87"/>
  <c r="Z53" i="87" s="1"/>
  <c r="J53" i="87" s="1"/>
  <c r="G58" i="87"/>
  <c r="W53" i="87" s="1"/>
  <c r="E58" i="87"/>
  <c r="U53" i="87" s="1"/>
  <c r="E53" i="87" s="1"/>
  <c r="D58" i="87"/>
  <c r="T53" i="87" s="1"/>
  <c r="D53" i="87" s="1"/>
  <c r="H58" i="87"/>
  <c r="X53" i="87" s="1"/>
  <c r="L58" i="87"/>
  <c r="AB53" i="87" s="1"/>
  <c r="L53" i="87" s="1"/>
  <c r="F58" i="87"/>
  <c r="V53" i="87" s="1"/>
  <c r="F53" i="87" s="1"/>
  <c r="T40" i="28"/>
  <c r="T64" i="28" s="1"/>
  <c r="T80" i="28"/>
  <c r="L58" i="28"/>
  <c r="D58" i="28"/>
  <c r="T53" i="28" s="1"/>
  <c r="D53" i="28" s="1"/>
  <c r="C58" i="28"/>
  <c r="S53" i="28" s="1"/>
  <c r="C53" i="28" s="1"/>
  <c r="E58" i="28"/>
  <c r="U53" i="28" s="1"/>
  <c r="E53" i="28" s="1"/>
  <c r="H58" i="28"/>
  <c r="J58" i="28"/>
  <c r="K58" i="28"/>
  <c r="F58" i="28"/>
  <c r="V53" i="28" s="1"/>
  <c r="F53" i="28" s="1"/>
  <c r="I58" i="28"/>
  <c r="G58" i="28"/>
  <c r="AH40" i="28"/>
  <c r="AW40" i="28"/>
  <c r="AE40" i="28"/>
  <c r="AK40" i="28"/>
  <c r="AT40" i="28"/>
  <c r="AN40" i="28"/>
  <c r="BC40" i="28"/>
  <c r="AZ40" i="28"/>
  <c r="S49" i="89"/>
  <c r="S45" i="89"/>
  <c r="S51" i="89"/>
  <c r="S24" i="89"/>
  <c r="S43" i="89"/>
  <c r="S27" i="89"/>
  <c r="S46" i="89"/>
  <c r="S44" i="89"/>
  <c r="S22" i="89"/>
  <c r="S50" i="89"/>
  <c r="S48" i="89"/>
  <c r="S25" i="89"/>
  <c r="S28" i="89"/>
  <c r="S52" i="89"/>
  <c r="S26" i="89"/>
  <c r="S47" i="89"/>
  <c r="S29" i="89"/>
  <c r="S21" i="89"/>
  <c r="S20" i="89"/>
  <c r="S23" i="89"/>
  <c r="S52" i="87"/>
  <c r="S48" i="87"/>
  <c r="S44" i="87"/>
  <c r="S27" i="87"/>
  <c r="S47" i="87"/>
  <c r="S43" i="87"/>
  <c r="S23" i="87"/>
  <c r="S26" i="87"/>
  <c r="S28" i="87"/>
  <c r="S49" i="87"/>
  <c r="S21" i="87"/>
  <c r="S46" i="87"/>
  <c r="S24" i="87"/>
  <c r="S51" i="87"/>
  <c r="S22" i="87"/>
  <c r="S45" i="87"/>
  <c r="S29" i="87"/>
  <c r="S25" i="87"/>
  <c r="S50" i="87"/>
  <c r="S20" i="87"/>
  <c r="S52" i="28"/>
  <c r="S48" i="28"/>
  <c r="S44" i="28"/>
  <c r="S46" i="28"/>
  <c r="S29" i="28"/>
  <c r="S28" i="28"/>
  <c r="S27" i="28"/>
  <c r="S26" i="28"/>
  <c r="S25" i="28"/>
  <c r="S24" i="28"/>
  <c r="S23" i="28"/>
  <c r="S22" i="28"/>
  <c r="S21" i="28"/>
  <c r="S20" i="28"/>
  <c r="S50" i="28"/>
  <c r="S43" i="28"/>
  <c r="S49" i="28"/>
  <c r="S45" i="28"/>
  <c r="S47" i="28"/>
  <c r="S51" i="28"/>
  <c r="S43" i="91"/>
  <c r="S50" i="91"/>
  <c r="S46" i="91"/>
  <c r="S47" i="91"/>
  <c r="S45" i="91"/>
  <c r="S25" i="91"/>
  <c r="S22" i="91"/>
  <c r="S21" i="91"/>
  <c r="S28" i="91"/>
  <c r="S51" i="91"/>
  <c r="S49" i="91"/>
  <c r="S23" i="91"/>
  <c r="S26" i="91"/>
  <c r="S29" i="91"/>
  <c r="S44" i="91"/>
  <c r="S48" i="91"/>
  <c r="S52" i="91"/>
  <c r="S27" i="91"/>
  <c r="S20" i="91"/>
  <c r="S24" i="91"/>
  <c r="C58" i="89"/>
  <c r="S53" i="89" s="1"/>
  <c r="C53" i="89" s="1"/>
  <c r="C58" i="91"/>
  <c r="S53" i="91" s="1"/>
  <c r="C53" i="91" s="1"/>
  <c r="C58" i="93"/>
  <c r="S53" i="93" s="1"/>
  <c r="C53" i="93" s="1"/>
  <c r="C58" i="87"/>
  <c r="S53" i="87" s="1"/>
  <c r="C53" i="87" s="1"/>
  <c r="P22" i="46"/>
  <c r="S111" i="93"/>
  <c r="BV58" i="110" s="1"/>
  <c r="S67" i="93"/>
  <c r="BV16" i="110" s="1"/>
  <c r="S83" i="93"/>
  <c r="BV30" i="110" s="1"/>
  <c r="S67" i="87"/>
  <c r="AF16" i="110" s="1"/>
  <c r="S83" i="87"/>
  <c r="AF30" i="110" s="1"/>
  <c r="S111" i="87"/>
  <c r="AF58" i="110" s="1"/>
  <c r="S67" i="91"/>
  <c r="BH16" i="110" s="1"/>
  <c r="S83" i="91"/>
  <c r="BH30" i="110" s="1"/>
  <c r="S111" i="91"/>
  <c r="BH58" i="110" s="1"/>
  <c r="S83" i="89"/>
  <c r="AT30" i="110" s="1"/>
  <c r="S111" i="89"/>
  <c r="AT58" i="110" s="1"/>
  <c r="S67" i="89"/>
  <c r="AT16" i="110" s="1"/>
  <c r="U111" i="93"/>
  <c r="BX58" i="110" s="1"/>
  <c r="Z111" i="91"/>
  <c r="BO58" i="110" s="1"/>
  <c r="U111" i="89"/>
  <c r="AV58" i="110" s="1"/>
  <c r="M73" i="93"/>
  <c r="V111" i="91"/>
  <c r="BK58" i="110" s="1"/>
  <c r="X111" i="93"/>
  <c r="CA58" i="110" s="1"/>
  <c r="V111" i="93"/>
  <c r="BY58" i="110" s="1"/>
  <c r="AA111" i="91"/>
  <c r="BP58" i="110" s="1"/>
  <c r="V111" i="89"/>
  <c r="AW58" i="110" s="1"/>
  <c r="Y111" i="93"/>
  <c r="CB58" i="110" s="1"/>
  <c r="Z111" i="93"/>
  <c r="CC58" i="110" s="1"/>
  <c r="W111" i="93"/>
  <c r="BZ58" i="110" s="1"/>
  <c r="W111" i="91"/>
  <c r="BL58" i="110" s="1"/>
  <c r="M73" i="91"/>
  <c r="Y111" i="89"/>
  <c r="AZ58" i="110" s="1"/>
  <c r="AA111" i="93"/>
  <c r="CD58" i="110" s="1"/>
  <c r="U111" i="91"/>
  <c r="BJ58" i="110" s="1"/>
  <c r="T111" i="89"/>
  <c r="AU58" i="110" s="1"/>
  <c r="Z111" i="89"/>
  <c r="BA58" i="110" s="1"/>
  <c r="W111" i="89"/>
  <c r="AX58" i="110" s="1"/>
  <c r="X111" i="89"/>
  <c r="AY58" i="110" s="1"/>
  <c r="T111" i="93"/>
  <c r="BW58" i="110" s="1"/>
  <c r="X111" i="91"/>
  <c r="BM58" i="110" s="1"/>
  <c r="AB111" i="89"/>
  <c r="BC58" i="110" s="1"/>
  <c r="M73" i="89"/>
  <c r="T111" i="91"/>
  <c r="BI58" i="110" s="1"/>
  <c r="AB111" i="91"/>
  <c r="BQ58" i="110" s="1"/>
  <c r="AB111" i="93"/>
  <c r="CE58" i="110" s="1"/>
  <c r="Y111" i="91"/>
  <c r="BN58" i="110" s="1"/>
  <c r="AA111" i="89"/>
  <c r="BB58" i="110" s="1"/>
  <c r="U111" i="87"/>
  <c r="AH58" i="110" s="1"/>
  <c r="V111" i="87"/>
  <c r="AI58" i="110" s="1"/>
  <c r="Y111" i="87"/>
  <c r="AL58" i="110" s="1"/>
  <c r="W111" i="87"/>
  <c r="AJ58" i="110" s="1"/>
  <c r="C78" i="28"/>
  <c r="C74" i="28" s="1"/>
  <c r="S97" i="28" s="1"/>
  <c r="C77" i="28"/>
  <c r="C73" i="28" s="1"/>
  <c r="Z111" i="87"/>
  <c r="AM58" i="110" s="1"/>
  <c r="X111" i="87"/>
  <c r="AK58" i="110" s="1"/>
  <c r="AA111" i="87"/>
  <c r="AN58" i="110" s="1"/>
  <c r="M73" i="87"/>
  <c r="T111" i="87"/>
  <c r="AG58" i="110" s="1"/>
  <c r="AB111" i="87"/>
  <c r="AO58" i="110" s="1"/>
  <c r="S63" i="89"/>
  <c r="T63" i="89" s="1"/>
  <c r="D78" i="28"/>
  <c r="D74" i="28" s="1"/>
  <c r="T97" i="28" s="1"/>
  <c r="S63" i="28"/>
  <c r="T63" i="28" s="1"/>
  <c r="S63" i="91"/>
  <c r="S79" i="91" s="1"/>
  <c r="S93" i="91" s="1"/>
  <c r="S107" i="91" s="1"/>
  <c r="S121" i="91" s="1"/>
  <c r="F78" i="28"/>
  <c r="F74" i="28" s="1"/>
  <c r="V97" i="28" s="1"/>
  <c r="G78" i="28"/>
  <c r="G74" i="28" s="1"/>
  <c r="W97" i="28" s="1"/>
  <c r="E78" i="28"/>
  <c r="E74" i="28" s="1"/>
  <c r="U97" i="28" s="1"/>
  <c r="H78" i="28"/>
  <c r="H74" i="28" s="1"/>
  <c r="X97" i="28" s="1"/>
  <c r="L78" i="28"/>
  <c r="L74" i="28" s="1"/>
  <c r="AB97" i="28" s="1"/>
  <c r="K78" i="28"/>
  <c r="K74" i="28" s="1"/>
  <c r="AA97" i="28" s="1"/>
  <c r="J78" i="28"/>
  <c r="J74" i="28" s="1"/>
  <c r="Z97" i="28" s="1"/>
  <c r="I78" i="28"/>
  <c r="I74" i="28" s="1"/>
  <c r="Y97" i="28" s="1"/>
  <c r="G77" i="28"/>
  <c r="G73" i="28" s="1"/>
  <c r="F77" i="28"/>
  <c r="F73" i="28" s="1"/>
  <c r="E77" i="28"/>
  <c r="E73" i="28" s="1"/>
  <c r="L77" i="28"/>
  <c r="L73" i="28" s="1"/>
  <c r="D77" i="28"/>
  <c r="D73" i="28" s="1"/>
  <c r="K77" i="28"/>
  <c r="K73" i="28" s="1"/>
  <c r="J77" i="28"/>
  <c r="J73" i="28" s="1"/>
  <c r="I77" i="28"/>
  <c r="I73" i="28" s="1"/>
  <c r="H77" i="28"/>
  <c r="H73" i="28" s="1"/>
  <c r="S63" i="87"/>
  <c r="T63" i="93"/>
  <c r="S79" i="93"/>
  <c r="S93" i="93" s="1"/>
  <c r="S107" i="93" s="1"/>
  <c r="S121" i="93" s="1"/>
  <c r="U95" i="87"/>
  <c r="AH42" i="110" s="1"/>
  <c r="X95" i="87"/>
  <c r="AK42" i="110" s="1"/>
  <c r="T95" i="87"/>
  <c r="AG42" i="110" s="1"/>
  <c r="W95" i="87"/>
  <c r="AJ42" i="110" s="1"/>
  <c r="Z95" i="87"/>
  <c r="AM42" i="110" s="1"/>
  <c r="Y95" i="87"/>
  <c r="AL42" i="110" s="1"/>
  <c r="V95" i="87"/>
  <c r="AI42" i="110" s="1"/>
  <c r="AK46" i="93"/>
  <c r="AZ47" i="93"/>
  <c r="AK49" i="93"/>
  <c r="AK47" i="93"/>
  <c r="AZ27" i="93"/>
  <c r="BC50" i="93"/>
  <c r="BC55" i="93"/>
  <c r="AW51" i="93"/>
  <c r="AH43" i="93"/>
  <c r="AI43" i="93" s="1"/>
  <c r="AH20" i="93"/>
  <c r="AQ23" i="93"/>
  <c r="AZ46" i="93"/>
  <c r="AQ25" i="93"/>
  <c r="AT26" i="93"/>
  <c r="AT20" i="93"/>
  <c r="AW46" i="93"/>
  <c r="AK20" i="93"/>
  <c r="AE45" i="93"/>
  <c r="AK29" i="93"/>
  <c r="BC22" i="93"/>
  <c r="AZ23" i="93"/>
  <c r="AN26" i="93"/>
  <c r="AE29" i="93"/>
  <c r="AW49" i="93"/>
  <c r="AH52" i="93"/>
  <c r="AI52" i="93" s="1"/>
  <c r="AN28" i="93"/>
  <c r="AQ20" i="93"/>
  <c r="AH21" i="93"/>
  <c r="AI21" i="93" s="1"/>
  <c r="AN55" i="93"/>
  <c r="BC48" i="93"/>
  <c r="BC20" i="93"/>
  <c r="AZ49" i="93"/>
  <c r="AQ21" i="93"/>
  <c r="BC21" i="93"/>
  <c r="AK25" i="93"/>
  <c r="BC24" i="93"/>
  <c r="AN24" i="93"/>
  <c r="AT29" i="93"/>
  <c r="AH28" i="93"/>
  <c r="AI28" i="93" s="1"/>
  <c r="AT43" i="93"/>
  <c r="AK43" i="93"/>
  <c r="AH29" i="93"/>
  <c r="AI29" i="93" s="1"/>
  <c r="AE26" i="93"/>
  <c r="AN45" i="93"/>
  <c r="BC27" i="93"/>
  <c r="BC47" i="93"/>
  <c r="AW21" i="93"/>
  <c r="AK50" i="93"/>
  <c r="AE22" i="93"/>
  <c r="AT48" i="93"/>
  <c r="BC25" i="93"/>
  <c r="AH48" i="93"/>
  <c r="AI48" i="93" s="1"/>
  <c r="AW52" i="93"/>
  <c r="AK45" i="93"/>
  <c r="AE44" i="93"/>
  <c r="AN52" i="93"/>
  <c r="AH50" i="93"/>
  <c r="AI50" i="93" s="1"/>
  <c r="AN27" i="93"/>
  <c r="BC49" i="93"/>
  <c r="AT25" i="93"/>
  <c r="AN49" i="93"/>
  <c r="AK24" i="93"/>
  <c r="AK28" i="93"/>
  <c r="AQ52" i="93"/>
  <c r="AK48" i="93"/>
  <c r="AT55" i="93"/>
  <c r="AT50" i="93"/>
  <c r="AW44" i="93"/>
  <c r="BC28" i="93"/>
  <c r="AZ48" i="93"/>
  <c r="AQ47" i="93"/>
  <c r="AQ22" i="93"/>
  <c r="AE52" i="93"/>
  <c r="AZ24" i="93"/>
  <c r="AN44" i="93"/>
  <c r="AT52" i="93"/>
  <c r="AK22" i="93"/>
  <c r="AE46" i="93"/>
  <c r="AW25" i="93"/>
  <c r="AW22" i="93"/>
  <c r="AQ43" i="93"/>
  <c r="AE28" i="93"/>
  <c r="BC52" i="93"/>
  <c r="AN47" i="93"/>
  <c r="AQ51" i="93"/>
  <c r="AH49" i="93"/>
  <c r="AI49" i="93" s="1"/>
  <c r="AH45" i="93"/>
  <c r="AI45" i="93" s="1"/>
  <c r="AW20" i="93"/>
  <c r="AZ50" i="93"/>
  <c r="AQ44" i="93"/>
  <c r="AZ44" i="93"/>
  <c r="BC29" i="93"/>
  <c r="BC45" i="93"/>
  <c r="AZ52" i="93"/>
  <c r="AQ50" i="93"/>
  <c r="AW27" i="93"/>
  <c r="AK27" i="93"/>
  <c r="AZ45" i="93"/>
  <c r="AW28" i="93"/>
  <c r="AH46" i="93"/>
  <c r="AI46" i="93" s="1"/>
  <c r="AE21" i="93"/>
  <c r="AZ20" i="93"/>
  <c r="AT49" i="93"/>
  <c r="AK44" i="93"/>
  <c r="AH25" i="93"/>
  <c r="AI25" i="93" s="1"/>
  <c r="AH47" i="93"/>
  <c r="AI47" i="93" s="1"/>
  <c r="AQ46" i="93"/>
  <c r="AN25" i="93"/>
  <c r="AE49" i="93"/>
  <c r="AN29" i="93"/>
  <c r="AW55" i="93"/>
  <c r="AK26" i="93"/>
  <c r="AK21" i="93"/>
  <c r="AZ29" i="93"/>
  <c r="BC46" i="93"/>
  <c r="AZ51" i="93"/>
  <c r="AN22" i="93"/>
  <c r="AN50" i="93"/>
  <c r="AK52" i="93"/>
  <c r="AH27" i="93"/>
  <c r="AI27" i="93" s="1"/>
  <c r="AQ48" i="93"/>
  <c r="AQ49" i="93"/>
  <c r="BC23" i="93"/>
  <c r="AK51" i="93"/>
  <c r="AW26" i="93"/>
  <c r="AK23" i="93"/>
  <c r="AN23" i="93"/>
  <c r="AE50" i="93"/>
  <c r="AZ21" i="93"/>
  <c r="AW48" i="93"/>
  <c r="AT27" i="93"/>
  <c r="AH44" i="93"/>
  <c r="AI44" i="93" s="1"/>
  <c r="AW45" i="93"/>
  <c r="AQ28" i="93"/>
  <c r="AH26" i="93"/>
  <c r="AI26" i="93" s="1"/>
  <c r="AW50" i="93"/>
  <c r="AT46" i="93"/>
  <c r="BC26" i="93"/>
  <c r="AZ26" i="93"/>
  <c r="AT51" i="93"/>
  <c r="BC51" i="93"/>
  <c r="AW47" i="93"/>
  <c r="AN43" i="93"/>
  <c r="AE43" i="93"/>
  <c r="AQ24" i="93"/>
  <c r="AE48" i="93"/>
  <c r="AT47" i="93"/>
  <c r="AW24" i="93"/>
  <c r="AZ22" i="93"/>
  <c r="AQ26" i="93"/>
  <c r="AQ45" i="93"/>
  <c r="AN46" i="93"/>
  <c r="AT21" i="93"/>
  <c r="AT22" i="93"/>
  <c r="AQ27" i="93"/>
  <c r="AT23" i="93"/>
  <c r="AN20" i="93"/>
  <c r="AH22" i="93"/>
  <c r="AI22" i="93" s="1"/>
  <c r="AT28" i="93"/>
  <c r="AH54" i="93"/>
  <c r="AI54" i="93" s="1"/>
  <c r="AZ55" i="93"/>
  <c r="AK55" i="93"/>
  <c r="AW43" i="93"/>
  <c r="AH51" i="93"/>
  <c r="AI51" i="93" s="1"/>
  <c r="BC43" i="93"/>
  <c r="AZ43" i="93"/>
  <c r="AZ28" i="93"/>
  <c r="BC44" i="93"/>
  <c r="AH23" i="93"/>
  <c r="AI23" i="93" s="1"/>
  <c r="AQ29" i="93"/>
  <c r="AE27" i="93"/>
  <c r="AN48" i="93"/>
  <c r="AE23" i="93"/>
  <c r="AW23" i="93"/>
  <c r="AE47" i="93"/>
  <c r="AT24" i="93"/>
  <c r="AH24" i="93"/>
  <c r="AI24" i="93" s="1"/>
  <c r="AW29" i="93"/>
  <c r="AN21" i="93"/>
  <c r="AT44" i="93"/>
  <c r="AT45" i="93"/>
  <c r="AN51" i="93"/>
  <c r="AE51" i="93"/>
  <c r="AE25" i="93"/>
  <c r="G51" i="46"/>
  <c r="H51" i="46" s="1"/>
  <c r="Q20" i="46"/>
  <c r="F3" i="46"/>
  <c r="G3" i="46" s="1"/>
  <c r="F35" i="46"/>
  <c r="G35" i="46" s="1"/>
  <c r="P20" i="46"/>
  <c r="AL51" i="28"/>
  <c r="E19" i="89"/>
  <c r="E42" i="89" s="1"/>
  <c r="D42" i="89"/>
  <c r="P6" i="46"/>
  <c r="T19" i="89"/>
  <c r="T42" i="89"/>
  <c r="G50" i="46"/>
  <c r="Q50" i="46"/>
  <c r="AL47" i="28"/>
  <c r="AL22" i="28"/>
  <c r="AL55" i="28"/>
  <c r="AL26" i="28"/>
  <c r="AL24" i="28"/>
  <c r="AH55" i="93"/>
  <c r="AI55" i="93" s="1"/>
  <c r="AL52" i="28"/>
  <c r="AL49" i="28"/>
  <c r="AO55" i="28"/>
  <c r="AL45" i="28"/>
  <c r="AH19" i="89"/>
  <c r="AH42" i="89" s="1"/>
  <c r="AL46" i="28"/>
  <c r="AN55" i="89"/>
  <c r="AZ55" i="89"/>
  <c r="AW55" i="89"/>
  <c r="AK55" i="89"/>
  <c r="AT55" i="89"/>
  <c r="AH55" i="89"/>
  <c r="AI55" i="89" s="1"/>
  <c r="AH54" i="89"/>
  <c r="BC55" i="89"/>
  <c r="AQ55" i="89"/>
  <c r="AE25" i="91"/>
  <c r="AH54" i="91"/>
  <c r="BC55" i="91"/>
  <c r="AQ55" i="91"/>
  <c r="AZ55" i="91"/>
  <c r="AN55" i="91"/>
  <c r="AO55" i="91" s="1"/>
  <c r="AW55" i="91"/>
  <c r="AK55" i="91"/>
  <c r="AH55" i="91"/>
  <c r="AI55" i="91" s="1"/>
  <c r="AT55" i="91"/>
  <c r="AW55" i="87"/>
  <c r="AK55" i="87"/>
  <c r="AL55" i="87" s="1"/>
  <c r="BC55" i="87"/>
  <c r="AT55" i="87"/>
  <c r="AH55" i="87"/>
  <c r="AI55" i="87" s="1"/>
  <c r="AE55" i="87"/>
  <c r="AQ55" i="87"/>
  <c r="AN55" i="87"/>
  <c r="AO55" i="87" s="1"/>
  <c r="AZ55" i="87"/>
  <c r="AL44" i="28"/>
  <c r="AL20" i="28"/>
  <c r="AL50" i="28"/>
  <c r="AL25" i="28"/>
  <c r="AL43" i="28"/>
  <c r="AL27" i="28"/>
  <c r="AH19" i="87"/>
  <c r="AH42" i="87" s="1"/>
  <c r="AL28" i="28"/>
  <c r="AL23" i="28"/>
  <c r="AL29" i="28"/>
  <c r="AL48" i="28"/>
  <c r="AL21" i="28"/>
  <c r="AE43" i="87"/>
  <c r="AE46" i="87"/>
  <c r="E19" i="93"/>
  <c r="D61" i="93"/>
  <c r="D42" i="93"/>
  <c r="T42" i="93"/>
  <c r="T19" i="93"/>
  <c r="Q7" i="46"/>
  <c r="AE46" i="89"/>
  <c r="AH19" i="28"/>
  <c r="AH42" i="28" s="1"/>
  <c r="AZ46" i="89"/>
  <c r="BC26" i="89"/>
  <c r="BC25" i="89"/>
  <c r="BC45" i="89"/>
  <c r="AZ48" i="89"/>
  <c r="AN52" i="89"/>
  <c r="AW27" i="89"/>
  <c r="AQ46" i="89"/>
  <c r="AH52" i="89"/>
  <c r="AT28" i="89"/>
  <c r="AK46" i="89"/>
  <c r="AW51" i="89"/>
  <c r="AN28" i="89"/>
  <c r="AH47" i="89"/>
  <c r="AQ51" i="89"/>
  <c r="AH28" i="89"/>
  <c r="AN20" i="89"/>
  <c r="AQ23" i="89"/>
  <c r="AW20" i="89"/>
  <c r="AT21" i="89"/>
  <c r="AE50" i="89"/>
  <c r="AE25" i="89"/>
  <c r="BC27" i="89"/>
  <c r="AZ22" i="89"/>
  <c r="AZ29" i="89"/>
  <c r="AZ49" i="89"/>
  <c r="BC29" i="89"/>
  <c r="AK51" i="89"/>
  <c r="AT26" i="89"/>
  <c r="AN45" i="89"/>
  <c r="AW49" i="89"/>
  <c r="AQ27" i="89"/>
  <c r="AH45" i="89"/>
  <c r="AT50" i="89"/>
  <c r="AK27" i="89"/>
  <c r="AW44" i="89"/>
  <c r="AN50" i="89"/>
  <c r="AW25" i="89"/>
  <c r="AK50" i="89"/>
  <c r="AN22" i="89"/>
  <c r="AW46" i="89"/>
  <c r="AQ44" i="89"/>
  <c r="AQ20" i="89"/>
  <c r="AE49" i="89"/>
  <c r="BC20" i="89"/>
  <c r="AZ50" i="89"/>
  <c r="AZ21" i="89"/>
  <c r="BC22" i="89"/>
  <c r="BC21" i="89"/>
  <c r="AH50" i="89"/>
  <c r="AQ25" i="89"/>
  <c r="AK44" i="89"/>
  <c r="AT48" i="89"/>
  <c r="AN26" i="89"/>
  <c r="AW43" i="89"/>
  <c r="AQ49" i="89"/>
  <c r="AH26" i="89"/>
  <c r="AQ43" i="89"/>
  <c r="AK49" i="89"/>
  <c r="AT24" i="89"/>
  <c r="AT23" i="89"/>
  <c r="AK21" i="89"/>
  <c r="AQ24" i="89"/>
  <c r="AH24" i="89"/>
  <c r="AE48" i="89"/>
  <c r="AE23" i="89"/>
  <c r="AZ20" i="89"/>
  <c r="BC48" i="89"/>
  <c r="AZ51" i="89"/>
  <c r="AZ47" i="89"/>
  <c r="AZ24" i="89"/>
  <c r="AQ45" i="89"/>
  <c r="AH51" i="89"/>
  <c r="AT27" i="89"/>
  <c r="AK45" i="89"/>
  <c r="AT49" i="89"/>
  <c r="AN27" i="89"/>
  <c r="AH46" i="89"/>
  <c r="AQ50" i="89"/>
  <c r="AH27" i="89"/>
  <c r="AT44" i="89"/>
  <c r="AW23" i="89"/>
  <c r="AK20" i="89"/>
  <c r="AN23" i="89"/>
  <c r="AT45" i="89"/>
  <c r="AQ52" i="89"/>
  <c r="AE44" i="89"/>
  <c r="AE28" i="89"/>
  <c r="BC50" i="89"/>
  <c r="BC49" i="89"/>
  <c r="AZ52" i="89"/>
  <c r="BC24" i="89"/>
  <c r="BC52" i="89"/>
  <c r="AN44" i="89"/>
  <c r="AW48" i="89"/>
  <c r="AQ26" i="89"/>
  <c r="AH44" i="89"/>
  <c r="AQ48" i="89"/>
  <c r="AK26" i="89"/>
  <c r="AT43" i="89"/>
  <c r="AN49" i="89"/>
  <c r="AW24" i="89"/>
  <c r="AN43" i="89"/>
  <c r="AT22" i="89"/>
  <c r="AH49" i="89"/>
  <c r="AK22" i="89"/>
  <c r="AK24" i="89"/>
  <c r="AK43" i="89"/>
  <c r="AE52" i="89"/>
  <c r="AE27" i="89"/>
  <c r="BC43" i="89"/>
  <c r="AZ45" i="89"/>
  <c r="AZ44" i="89"/>
  <c r="AZ28" i="89"/>
  <c r="BC44" i="89"/>
  <c r="AH43" i="89"/>
  <c r="AT47" i="89"/>
  <c r="AN25" i="89"/>
  <c r="AW29" i="89"/>
  <c r="AN47" i="89"/>
  <c r="AH25" i="89"/>
  <c r="AQ29" i="89"/>
  <c r="AK48" i="89"/>
  <c r="AT52" i="89"/>
  <c r="AK29" i="89"/>
  <c r="AQ21" i="89"/>
  <c r="AW26" i="89"/>
  <c r="AH21" i="89"/>
  <c r="AH23" i="89"/>
  <c r="AW22" i="89"/>
  <c r="AE51" i="89"/>
  <c r="AE26" i="89"/>
  <c r="AZ43" i="89"/>
  <c r="AQ47" i="89"/>
  <c r="AW52" i="89"/>
  <c r="AQ22" i="89"/>
  <c r="AZ27" i="89"/>
  <c r="AN46" i="89"/>
  <c r="AT51" i="89"/>
  <c r="AN21" i="89"/>
  <c r="BC46" i="89"/>
  <c r="AW47" i="89"/>
  <c r="AK25" i="89"/>
  <c r="AN29" i="89"/>
  <c r="AH20" i="89"/>
  <c r="BC47" i="89"/>
  <c r="AT46" i="89"/>
  <c r="AW50" i="89"/>
  <c r="AK28" i="89"/>
  <c r="AT25" i="89"/>
  <c r="AZ26" i="89"/>
  <c r="AN24" i="89"/>
  <c r="AT29" i="89"/>
  <c r="AH48" i="89"/>
  <c r="AK23" i="89"/>
  <c r="BC51" i="89"/>
  <c r="AK52" i="89"/>
  <c r="AQ28" i="89"/>
  <c r="AW45" i="89"/>
  <c r="AH22" i="89"/>
  <c r="AE47" i="89"/>
  <c r="AE29" i="89"/>
  <c r="AZ23" i="89"/>
  <c r="AE43" i="89"/>
  <c r="AN48" i="89"/>
  <c r="AN51" i="89"/>
  <c r="AW21" i="89"/>
  <c r="AE45" i="89"/>
  <c r="AE22" i="89"/>
  <c r="BC23" i="89"/>
  <c r="BC28" i="89"/>
  <c r="AW28" i="89"/>
  <c r="AK47" i="89"/>
  <c r="AH29" i="89"/>
  <c r="AT20" i="89"/>
  <c r="AE21" i="89"/>
  <c r="AE46" i="91"/>
  <c r="AE51" i="91"/>
  <c r="AZ50" i="87"/>
  <c r="BC50" i="87"/>
  <c r="AZ46" i="87"/>
  <c r="BC45" i="87"/>
  <c r="BC20" i="87"/>
  <c r="AT51" i="87"/>
  <c r="AK45" i="87"/>
  <c r="AQ28" i="87"/>
  <c r="AW22" i="87"/>
  <c r="AW50" i="87"/>
  <c r="AQ44" i="87"/>
  <c r="AT26" i="87"/>
  <c r="AQ21" i="87"/>
  <c r="AN48" i="87"/>
  <c r="AQ43" i="87"/>
  <c r="AN25" i="87"/>
  <c r="AK20" i="87"/>
  <c r="AH47" i="87"/>
  <c r="AN43" i="87"/>
  <c r="AK25" i="87"/>
  <c r="AH20" i="87"/>
  <c r="AZ43" i="87"/>
  <c r="BC43" i="87"/>
  <c r="AZ26" i="87"/>
  <c r="BC46" i="87"/>
  <c r="AZ47" i="87"/>
  <c r="AK50" i="87"/>
  <c r="AT44" i="87"/>
  <c r="AN27" i="87"/>
  <c r="AK22" i="87"/>
  <c r="AK49" i="87"/>
  <c r="AT50" i="87"/>
  <c r="AH26" i="87"/>
  <c r="AN20" i="87"/>
  <c r="AW47" i="87"/>
  <c r="AW24" i="87"/>
  <c r="AT52" i="87"/>
  <c r="AQ46" i="87"/>
  <c r="AW29" i="87"/>
  <c r="AT24" i="87"/>
  <c r="AZ27" i="87"/>
  <c r="BC27" i="87"/>
  <c r="BC23" i="87"/>
  <c r="BC44" i="87"/>
  <c r="AZ20" i="87"/>
  <c r="AN49" i="87"/>
  <c r="AN52" i="87"/>
  <c r="AW26" i="87"/>
  <c r="AT21" i="87"/>
  <c r="AQ48" i="87"/>
  <c r="AT43" i="87"/>
  <c r="AQ25" i="87"/>
  <c r="AW52" i="87"/>
  <c r="AK47" i="87"/>
  <c r="AN29" i="87"/>
  <c r="AK24" i="87"/>
  <c r="AH51" i="87"/>
  <c r="AN45" i="87"/>
  <c r="AK29" i="87"/>
  <c r="AH24" i="87"/>
  <c r="BC52" i="87"/>
  <c r="AZ23" i="87"/>
  <c r="BC47" i="87"/>
  <c r="AZ45" i="87"/>
  <c r="BC24" i="87"/>
  <c r="BC48" i="87"/>
  <c r="AZ49" i="87"/>
  <c r="AZ22" i="87"/>
  <c r="AZ52" i="87"/>
  <c r="AZ24" i="87"/>
  <c r="AH48" i="87"/>
  <c r="AW43" i="87"/>
  <c r="AT25" i="87"/>
  <c r="AQ20" i="87"/>
  <c r="AW46" i="87"/>
  <c r="AQ29" i="87"/>
  <c r="AW23" i="87"/>
  <c r="AN51" i="87"/>
  <c r="AH46" i="87"/>
  <c r="AK28" i="87"/>
  <c r="AH23" i="87"/>
  <c r="AT49" i="87"/>
  <c r="AK44" i="87"/>
  <c r="AH28" i="87"/>
  <c r="AN22" i="87"/>
  <c r="AZ29" i="87"/>
  <c r="BC51" i="87"/>
  <c r="AZ28" i="87"/>
  <c r="BC26" i="87"/>
  <c r="BC21" i="87"/>
  <c r="AN46" i="87"/>
  <c r="AT29" i="87"/>
  <c r="AQ24" i="87"/>
  <c r="AK52" i="87"/>
  <c r="AT45" i="87"/>
  <c r="AW27" i="87"/>
  <c r="AT22" i="87"/>
  <c r="AW49" i="87"/>
  <c r="AN44" i="87"/>
  <c r="BC28" i="87"/>
  <c r="AZ21" i="87"/>
  <c r="AT48" i="87"/>
  <c r="AN23" i="87"/>
  <c r="AN28" i="87"/>
  <c r="AT46" i="87"/>
  <c r="AQ22" i="87"/>
  <c r="AW51" i="87"/>
  <c r="AW21" i="87"/>
  <c r="AW45" i="87"/>
  <c r="AN24" i="87"/>
  <c r="AK51" i="87"/>
  <c r="AW20" i="87"/>
  <c r="AH44" i="87"/>
  <c r="AT20" i="87"/>
  <c r="AH50" i="87"/>
  <c r="AQ51" i="87"/>
  <c r="AK23" i="87"/>
  <c r="AW28" i="87"/>
  <c r="AN50" i="87"/>
  <c r="AT28" i="87"/>
  <c r="AK43" i="87"/>
  <c r="AN47" i="87"/>
  <c r="AH22" i="87"/>
  <c r="AT27" i="87"/>
  <c r="AW48" i="87"/>
  <c r="AQ27" i="87"/>
  <c r="AZ44" i="87"/>
  <c r="BC29" i="87"/>
  <c r="AH21" i="87"/>
  <c r="AQ45" i="87"/>
  <c r="AQ49" i="87"/>
  <c r="AZ51" i="87"/>
  <c r="AK46" i="87"/>
  <c r="AH27" i="87"/>
  <c r="AN26" i="87"/>
  <c r="AE52" i="87"/>
  <c r="AE44" i="87"/>
  <c r="AE28" i="87"/>
  <c r="BC22" i="87"/>
  <c r="AH45" i="87"/>
  <c r="AQ26" i="87"/>
  <c r="AW25" i="87"/>
  <c r="AE51" i="87"/>
  <c r="AE27" i="87"/>
  <c r="AQ52" i="87"/>
  <c r="AH43" i="87"/>
  <c r="AT23" i="87"/>
  <c r="AQ23" i="87"/>
  <c r="AE50" i="87"/>
  <c r="AE26" i="87"/>
  <c r="AK26" i="87"/>
  <c r="AQ50" i="87"/>
  <c r="AT47" i="87"/>
  <c r="AE47" i="87"/>
  <c r="AE23" i="87"/>
  <c r="AH25" i="87"/>
  <c r="AH49" i="87"/>
  <c r="AW44" i="87"/>
  <c r="AE22" i="87"/>
  <c r="AK21" i="87"/>
  <c r="AE48" i="87"/>
  <c r="AE29" i="87"/>
  <c r="BC49" i="87"/>
  <c r="AE45" i="87"/>
  <c r="AE25" i="87"/>
  <c r="AZ48" i="87"/>
  <c r="AQ47" i="87"/>
  <c r="BC25" i="87"/>
  <c r="AH29" i="87"/>
  <c r="AE21" i="87"/>
  <c r="AK27" i="87"/>
  <c r="AH52" i="87"/>
  <c r="AN21" i="87"/>
  <c r="AK48" i="87"/>
  <c r="AE49" i="87"/>
  <c r="BC51" i="91"/>
  <c r="BC27" i="91"/>
  <c r="AZ45" i="91"/>
  <c r="BC22" i="91"/>
  <c r="AZ26" i="91"/>
  <c r="BC52" i="91"/>
  <c r="AZ47" i="91"/>
  <c r="BC20" i="91"/>
  <c r="BC26" i="91"/>
  <c r="BC46" i="91"/>
  <c r="BC44" i="91"/>
  <c r="BC28" i="91"/>
  <c r="AZ23" i="91"/>
  <c r="AZ22" i="91"/>
  <c r="AZ50" i="91"/>
  <c r="BC29" i="91"/>
  <c r="AZ21" i="91"/>
  <c r="AZ52" i="91"/>
  <c r="AZ51" i="91"/>
  <c r="BC23" i="91"/>
  <c r="BC43" i="91"/>
  <c r="AZ29" i="91"/>
  <c r="AZ28" i="91"/>
  <c r="AZ20" i="91"/>
  <c r="AZ46" i="91"/>
  <c r="AZ27" i="91"/>
  <c r="AQ44" i="91"/>
  <c r="AH21" i="91"/>
  <c r="AN44" i="91"/>
  <c r="AK52" i="91"/>
  <c r="AW28" i="91"/>
  <c r="AW49" i="91"/>
  <c r="AQ27" i="91"/>
  <c r="AQ48" i="91"/>
  <c r="AK26" i="91"/>
  <c r="AN48" i="91"/>
  <c r="AW23" i="91"/>
  <c r="AK48" i="91"/>
  <c r="AT23" i="91"/>
  <c r="AT52" i="91"/>
  <c r="AK49" i="91"/>
  <c r="BC25" i="91"/>
  <c r="AZ48" i="91"/>
  <c r="BC49" i="91"/>
  <c r="AN51" i="91"/>
  <c r="AW26" i="91"/>
  <c r="AK51" i="91"/>
  <c r="AT26" i="91"/>
  <c r="AT47" i="91"/>
  <c r="AN25" i="91"/>
  <c r="AN46" i="91"/>
  <c r="AH24" i="91"/>
  <c r="AH45" i="91"/>
  <c r="AT21" i="91"/>
  <c r="AT43" i="91"/>
  <c r="AN20" i="91"/>
  <c r="AQ43" i="91"/>
  <c r="AK20" i="91"/>
  <c r="AQ51" i="91"/>
  <c r="AT24" i="91"/>
  <c r="BC21" i="91"/>
  <c r="BC47" i="91"/>
  <c r="AK50" i="91"/>
  <c r="AT25" i="91"/>
  <c r="AH50" i="91"/>
  <c r="AQ25" i="91"/>
  <c r="AQ46" i="91"/>
  <c r="AK24" i="91"/>
  <c r="AK45" i="91"/>
  <c r="AW21" i="91"/>
  <c r="AW43" i="91"/>
  <c r="AQ20" i="91"/>
  <c r="AQ29" i="91"/>
  <c r="AW52" i="91"/>
  <c r="AN29" i="91"/>
  <c r="AW45" i="91"/>
  <c r="AK29" i="91"/>
  <c r="AZ49" i="91"/>
  <c r="AQ24" i="91"/>
  <c r="AH43" i="91"/>
  <c r="AK44" i="91"/>
  <c r="AQ47" i="91"/>
  <c r="AT49" i="91"/>
  <c r="AW51" i="91"/>
  <c r="AT22" i="91"/>
  <c r="AH27" i="91"/>
  <c r="AK21" i="91"/>
  <c r="AE49" i="91"/>
  <c r="AZ43" i="91"/>
  <c r="AN23" i="91"/>
  <c r="AW27" i="91"/>
  <c r="AE43" i="91"/>
  <c r="AH44" i="91"/>
  <c r="AN47" i="91"/>
  <c r="AT50" i="91"/>
  <c r="AQ21" i="91"/>
  <c r="AW24" i="91"/>
  <c r="AH20" i="91"/>
  <c r="AE48" i="91"/>
  <c r="BC45" i="91"/>
  <c r="AQ52" i="91"/>
  <c r="AK22" i="91"/>
  <c r="AN24" i="91"/>
  <c r="AT27" i="91"/>
  <c r="AW29" i="91"/>
  <c r="AK46" i="91"/>
  <c r="AQ49" i="91"/>
  <c r="AT51" i="91"/>
  <c r="AQ22" i="91"/>
  <c r="AN50" i="91"/>
  <c r="AE47" i="91"/>
  <c r="AE23" i="91"/>
  <c r="AZ44" i="91"/>
  <c r="AH49" i="91"/>
  <c r="AK23" i="91"/>
  <c r="AQ26" i="91"/>
  <c r="AT28" i="91"/>
  <c r="AT29" i="91"/>
  <c r="AK47" i="91"/>
  <c r="AQ50" i="91"/>
  <c r="AN21" i="91"/>
  <c r="AH28" i="91"/>
  <c r="AE22" i="91"/>
  <c r="BC48" i="91"/>
  <c r="AK43" i="91"/>
  <c r="AT46" i="91"/>
  <c r="AW48" i="91"/>
  <c r="AH52" i="91"/>
  <c r="AT20" i="91"/>
  <c r="AH25" i="91"/>
  <c r="AK27" i="91"/>
  <c r="AW44" i="91"/>
  <c r="AN22" i="91"/>
  <c r="AE27" i="91"/>
  <c r="BC24" i="91"/>
  <c r="AH29" i="91"/>
  <c r="AQ45" i="91"/>
  <c r="AN45" i="91"/>
  <c r="AT48" i="91"/>
  <c r="AW50" i="91"/>
  <c r="AW22" i="91"/>
  <c r="AH26" i="91"/>
  <c r="AK28" i="91"/>
  <c r="AN43" i="91"/>
  <c r="AE50" i="91"/>
  <c r="AE26" i="91"/>
  <c r="AW47" i="91"/>
  <c r="AN27" i="91"/>
  <c r="AW25" i="91"/>
  <c r="AH22" i="91"/>
  <c r="AH46" i="91"/>
  <c r="AZ24" i="91"/>
  <c r="AH51" i="91"/>
  <c r="AN28" i="91"/>
  <c r="BC50" i="91"/>
  <c r="AH23" i="91"/>
  <c r="AN49" i="91"/>
  <c r="AE52" i="91"/>
  <c r="AW20" i="91"/>
  <c r="AH47" i="91"/>
  <c r="AE45" i="91"/>
  <c r="AE29" i="91"/>
  <c r="AW46" i="91"/>
  <c r="AN26" i="91"/>
  <c r="AQ23" i="91"/>
  <c r="AE44" i="91"/>
  <c r="AE28" i="91"/>
  <c r="AT45" i="91"/>
  <c r="AK25" i="91"/>
  <c r="AT44" i="91"/>
  <c r="AE21" i="91"/>
  <c r="AN52" i="91"/>
  <c r="AQ28" i="91"/>
  <c r="AH48" i="91"/>
  <c r="Q26" i="46"/>
  <c r="G49" i="46"/>
  <c r="Q49" i="46"/>
  <c r="G58" i="46"/>
  <c r="Q58" i="46"/>
  <c r="Q29" i="46"/>
  <c r="G59" i="46"/>
  <c r="R59" i="46" s="1"/>
  <c r="G54" i="46"/>
  <c r="Q54" i="46"/>
  <c r="Q30" i="46"/>
  <c r="Q25" i="46"/>
  <c r="G45" i="46"/>
  <c r="Q45" i="46"/>
  <c r="Q17" i="46"/>
  <c r="V55" i="28"/>
  <c r="G47" i="46"/>
  <c r="Q47" i="46"/>
  <c r="R17" i="46"/>
  <c r="Q24" i="46"/>
  <c r="H48" i="46"/>
  <c r="R48" i="46"/>
  <c r="G53" i="46"/>
  <c r="Q53" i="46"/>
  <c r="Q22" i="46"/>
  <c r="R52" i="46"/>
  <c r="H52" i="46"/>
  <c r="Q28" i="46"/>
  <c r="Q14" i="46"/>
  <c r="Q21" i="46"/>
  <c r="R51" i="46"/>
  <c r="Q23" i="46"/>
  <c r="G44" i="46"/>
  <c r="Q44" i="46"/>
  <c r="Q27" i="46"/>
  <c r="G57" i="46"/>
  <c r="G61" i="46"/>
  <c r="Q61" i="46"/>
  <c r="G60" i="46"/>
  <c r="Q60" i="46"/>
  <c r="Q42" i="46"/>
  <c r="G42" i="46"/>
  <c r="G39" i="46"/>
  <c r="W55" i="89" s="1"/>
  <c r="V55" i="87"/>
  <c r="V55" i="89"/>
  <c r="V55" i="93"/>
  <c r="Q39" i="46"/>
  <c r="Q41" i="46"/>
  <c r="G41" i="46"/>
  <c r="Q43" i="46"/>
  <c r="G43" i="46"/>
  <c r="Q36" i="46"/>
  <c r="G36" i="46"/>
  <c r="Q34" i="46"/>
  <c r="G34" i="46"/>
  <c r="I38" i="46"/>
  <c r="S38" i="46"/>
  <c r="Q12" i="46"/>
  <c r="P16" i="46"/>
  <c r="Q13" i="46"/>
  <c r="P8" i="46"/>
  <c r="S17" i="46"/>
  <c r="P18" i="46"/>
  <c r="Q15" i="46"/>
  <c r="AH19" i="91"/>
  <c r="AH42" i="91" s="1"/>
  <c r="D61" i="87"/>
  <c r="T42" i="87"/>
  <c r="D42" i="87"/>
  <c r="E19" i="87"/>
  <c r="T19" i="87"/>
  <c r="T19" i="91"/>
  <c r="T42" i="91"/>
  <c r="E19" i="91"/>
  <c r="D42" i="91"/>
  <c r="D61" i="91"/>
  <c r="E61" i="28"/>
  <c r="U42" i="28"/>
  <c r="F19" i="28"/>
  <c r="U19" i="28"/>
  <c r="E42" i="28"/>
  <c r="U55" i="89"/>
  <c r="T55" i="93"/>
  <c r="AE55" i="93"/>
  <c r="T55" i="91"/>
  <c r="U55" i="93"/>
  <c r="AE55" i="91"/>
  <c r="AE55" i="89"/>
  <c r="V55" i="91"/>
  <c r="T55" i="89"/>
  <c r="E48" i="106" l="1"/>
  <c r="E55" i="110" s="1"/>
  <c r="S108" i="28"/>
  <c r="W54" i="28"/>
  <c r="G54" i="28" s="1"/>
  <c r="S122" i="28"/>
  <c r="S94" i="28"/>
  <c r="S41" i="110"/>
  <c r="E34" i="106"/>
  <c r="E62" i="106"/>
  <c r="S69" i="110"/>
  <c r="AN40" i="87"/>
  <c r="AQ40" i="89"/>
  <c r="AZ40" i="91"/>
  <c r="AN40" i="91"/>
  <c r="AN40" i="89"/>
  <c r="AQ40" i="93"/>
  <c r="AH40" i="87"/>
  <c r="BR30" i="110"/>
  <c r="U109" i="91"/>
  <c r="BJ56" i="110" s="1"/>
  <c r="W53" i="28"/>
  <c r="G53" i="28" s="1"/>
  <c r="AP30" i="110"/>
  <c r="CF30" i="110"/>
  <c r="BD30" i="110"/>
  <c r="Y83" i="28"/>
  <c r="X30" i="110" s="1"/>
  <c r="I75" i="28"/>
  <c r="AB83" i="28"/>
  <c r="AA30" i="110" s="1"/>
  <c r="L75" i="28"/>
  <c r="AB67" i="28" s="1"/>
  <c r="Z83" i="28"/>
  <c r="Y30" i="110" s="1"/>
  <c r="J75" i="28"/>
  <c r="Z67" i="28" s="1"/>
  <c r="U83" i="28"/>
  <c r="T30" i="110" s="1"/>
  <c r="E75" i="28"/>
  <c r="AA83" i="28"/>
  <c r="L23" i="106" s="1"/>
  <c r="L30" i="110" s="1"/>
  <c r="K75" i="28"/>
  <c r="AA67" i="28" s="1"/>
  <c r="V83" i="28"/>
  <c r="G23" i="106" s="1"/>
  <c r="G30" i="110" s="1"/>
  <c r="F75" i="28"/>
  <c r="X83" i="28"/>
  <c r="W30" i="110" s="1"/>
  <c r="H75" i="28"/>
  <c r="X67" i="28" s="1"/>
  <c r="W83" i="28"/>
  <c r="V30" i="110" s="1"/>
  <c r="G75" i="28"/>
  <c r="T83" i="28"/>
  <c r="E23" i="106" s="1"/>
  <c r="E30" i="110" s="1"/>
  <c r="D75" i="28"/>
  <c r="C75" i="28"/>
  <c r="S67" i="28" s="1"/>
  <c r="G53" i="93"/>
  <c r="G53" i="89"/>
  <c r="G54" i="87"/>
  <c r="G54" i="89"/>
  <c r="G53" i="87"/>
  <c r="G54" i="93"/>
  <c r="G54" i="91"/>
  <c r="G53" i="91"/>
  <c r="AI39" i="91"/>
  <c r="AI36" i="91"/>
  <c r="AI31" i="28"/>
  <c r="AI35" i="87"/>
  <c r="AI36" i="89"/>
  <c r="AI34" i="91"/>
  <c r="AI33" i="91"/>
  <c r="AI32" i="28"/>
  <c r="AI37" i="87"/>
  <c r="AI37" i="89"/>
  <c r="U34" i="28"/>
  <c r="AO34" i="28" s="1"/>
  <c r="U37" i="28"/>
  <c r="AO37" i="28" s="1"/>
  <c r="U33" i="28"/>
  <c r="AO33" i="28" s="1"/>
  <c r="U31" i="28"/>
  <c r="AO31" i="28" s="1"/>
  <c r="U38" i="28"/>
  <c r="AO38" i="28" s="1"/>
  <c r="U30" i="28"/>
  <c r="AO30" i="28" s="1"/>
  <c r="U39" i="28"/>
  <c r="AO39" i="28" s="1"/>
  <c r="U35" i="28"/>
  <c r="AO35" i="28" s="1"/>
  <c r="U32" i="28"/>
  <c r="AO32" i="28" s="1"/>
  <c r="U36" i="28"/>
  <c r="AO36" i="28" s="1"/>
  <c r="T36" i="91"/>
  <c r="AL36" i="91" s="1"/>
  <c r="T32" i="91"/>
  <c r="AL32" i="91" s="1"/>
  <c r="T33" i="91"/>
  <c r="AL33" i="91" s="1"/>
  <c r="T30" i="91"/>
  <c r="AL30" i="91" s="1"/>
  <c r="T37" i="91"/>
  <c r="AL37" i="91" s="1"/>
  <c r="T38" i="91"/>
  <c r="AL38" i="91" s="1"/>
  <c r="T34" i="91"/>
  <c r="AL34" i="91" s="1"/>
  <c r="T31" i="91"/>
  <c r="AL31" i="91" s="1"/>
  <c r="T39" i="91"/>
  <c r="AL39" i="91" s="1"/>
  <c r="T35" i="91"/>
  <c r="AL35" i="91" s="1"/>
  <c r="AI38" i="91"/>
  <c r="AI34" i="28"/>
  <c r="AI36" i="28"/>
  <c r="AI31" i="87"/>
  <c r="AI35" i="89"/>
  <c r="T36" i="87"/>
  <c r="AL36" i="87" s="1"/>
  <c r="T32" i="87"/>
  <c r="AL32" i="87" s="1"/>
  <c r="T33" i="87"/>
  <c r="AL33" i="87" s="1"/>
  <c r="T37" i="87"/>
  <c r="AL37" i="87" s="1"/>
  <c r="T38" i="87"/>
  <c r="AL38" i="87" s="1"/>
  <c r="T34" i="87"/>
  <c r="AL34" i="87" s="1"/>
  <c r="T30" i="87"/>
  <c r="AL30" i="87" s="1"/>
  <c r="T39" i="87"/>
  <c r="AL39" i="87" s="1"/>
  <c r="T35" i="87"/>
  <c r="AL35" i="87" s="1"/>
  <c r="T31" i="87"/>
  <c r="AL31" i="87" s="1"/>
  <c r="T38" i="89"/>
  <c r="AL38" i="89" s="1"/>
  <c r="T34" i="89"/>
  <c r="AL34" i="89" s="1"/>
  <c r="T31" i="89"/>
  <c r="AL31" i="89" s="1"/>
  <c r="T39" i="89"/>
  <c r="AL39" i="89" s="1"/>
  <c r="T35" i="89"/>
  <c r="AL35" i="89" s="1"/>
  <c r="T30" i="89"/>
  <c r="AL30" i="89" s="1"/>
  <c r="T36" i="89"/>
  <c r="AL36" i="89" s="1"/>
  <c r="T32" i="89"/>
  <c r="AL32" i="89" s="1"/>
  <c r="T37" i="89"/>
  <c r="AL37" i="89" s="1"/>
  <c r="T33" i="89"/>
  <c r="AL33" i="89" s="1"/>
  <c r="AI31" i="91"/>
  <c r="AI38" i="28"/>
  <c r="AI33" i="28"/>
  <c r="AI33" i="87"/>
  <c r="AI39" i="89"/>
  <c r="AI35" i="91"/>
  <c r="AI30" i="28"/>
  <c r="AI32" i="87"/>
  <c r="AI34" i="89"/>
  <c r="T38" i="93"/>
  <c r="T34" i="93"/>
  <c r="T39" i="93"/>
  <c r="T31" i="93"/>
  <c r="T36" i="93"/>
  <c r="T32" i="93"/>
  <c r="T30" i="93"/>
  <c r="T37" i="93"/>
  <c r="T33" i="93"/>
  <c r="T35" i="93"/>
  <c r="AI37" i="91"/>
  <c r="AI37" i="28"/>
  <c r="AI36" i="87"/>
  <c r="AI38" i="89"/>
  <c r="AI30" i="91"/>
  <c r="AI35" i="28"/>
  <c r="AI34" i="87"/>
  <c r="AI39" i="87"/>
  <c r="AI33" i="89"/>
  <c r="AI30" i="89"/>
  <c r="AI32" i="91"/>
  <c r="AI39" i="28"/>
  <c r="AI38" i="87"/>
  <c r="AI30" i="87"/>
  <c r="AI32" i="89"/>
  <c r="AI31" i="89"/>
  <c r="BD58" i="110"/>
  <c r="BR58" i="110"/>
  <c r="CF58" i="110"/>
  <c r="AP58" i="110"/>
  <c r="BD16" i="110"/>
  <c r="AP16" i="110"/>
  <c r="G37" i="106"/>
  <c r="G44" i="110" s="1"/>
  <c r="U44" i="110"/>
  <c r="H37" i="106"/>
  <c r="H44" i="110" s="1"/>
  <c r="V44" i="110"/>
  <c r="X44" i="110"/>
  <c r="J37" i="106"/>
  <c r="J44" i="110" s="1"/>
  <c r="D37" i="106"/>
  <c r="R44" i="110"/>
  <c r="K37" i="106"/>
  <c r="K44" i="110" s="1"/>
  <c r="Y44" i="110"/>
  <c r="L37" i="106"/>
  <c r="L44" i="110" s="1"/>
  <c r="Z44" i="110"/>
  <c r="E37" i="106"/>
  <c r="E44" i="110" s="1"/>
  <c r="S44" i="110"/>
  <c r="M37" i="106"/>
  <c r="M44" i="110" s="1"/>
  <c r="AA44" i="110"/>
  <c r="I37" i="106"/>
  <c r="I44" i="110" s="1"/>
  <c r="W44" i="110"/>
  <c r="F37" i="106"/>
  <c r="F44" i="110" s="1"/>
  <c r="T44" i="110"/>
  <c r="S27" i="110"/>
  <c r="S13" i="110"/>
  <c r="S40" i="89"/>
  <c r="S80" i="89"/>
  <c r="AT27" i="110" s="1"/>
  <c r="S40" i="91"/>
  <c r="S80" i="91"/>
  <c r="BH27" i="110" s="1"/>
  <c r="S40" i="87"/>
  <c r="S80" i="87"/>
  <c r="AF27" i="110" s="1"/>
  <c r="S80" i="28"/>
  <c r="S40" i="28"/>
  <c r="AI20" i="93"/>
  <c r="AH40" i="93"/>
  <c r="BC40" i="89"/>
  <c r="BC40" i="87"/>
  <c r="AK40" i="89"/>
  <c r="AE40" i="87"/>
  <c r="AT40" i="87"/>
  <c r="AZ40" i="89"/>
  <c r="BC40" i="91"/>
  <c r="AW40" i="87"/>
  <c r="AH40" i="91"/>
  <c r="AW40" i="91"/>
  <c r="AE40" i="89"/>
  <c r="AK40" i="87"/>
  <c r="AT40" i="89"/>
  <c r="AZ40" i="93"/>
  <c r="AW40" i="93"/>
  <c r="AZ40" i="87"/>
  <c r="AE40" i="91"/>
  <c r="AT40" i="91"/>
  <c r="AN40" i="93"/>
  <c r="AE40" i="93"/>
  <c r="AQ40" i="91"/>
  <c r="AK40" i="91"/>
  <c r="AH40" i="89"/>
  <c r="AW40" i="89"/>
  <c r="AQ40" i="87"/>
  <c r="BC40" i="93"/>
  <c r="AK40" i="93"/>
  <c r="AT40" i="93"/>
  <c r="S79" i="28"/>
  <c r="S93" i="28" s="1"/>
  <c r="S107" i="28" s="1"/>
  <c r="S121" i="28" s="1"/>
  <c r="S79" i="89"/>
  <c r="S93" i="89" s="1"/>
  <c r="S107" i="89" s="1"/>
  <c r="S121" i="89" s="1"/>
  <c r="T63" i="91"/>
  <c r="U63" i="91" s="1"/>
  <c r="T52" i="89"/>
  <c r="AL52" i="89" s="1"/>
  <c r="T48" i="89"/>
  <c r="AL48" i="89" s="1"/>
  <c r="T44" i="89"/>
  <c r="AL44" i="89" s="1"/>
  <c r="T29" i="89"/>
  <c r="AL29" i="89" s="1"/>
  <c r="T28" i="89"/>
  <c r="AL28" i="89" s="1"/>
  <c r="T27" i="89"/>
  <c r="AL27" i="89" s="1"/>
  <c r="T26" i="89"/>
  <c r="AL26" i="89" s="1"/>
  <c r="T25" i="89"/>
  <c r="AL25" i="89" s="1"/>
  <c r="T24" i="89"/>
  <c r="AL24" i="89" s="1"/>
  <c r="T23" i="89"/>
  <c r="AL23" i="89" s="1"/>
  <c r="T22" i="89"/>
  <c r="AL22" i="89" s="1"/>
  <c r="T21" i="89"/>
  <c r="AL21" i="89" s="1"/>
  <c r="T43" i="89"/>
  <c r="T50" i="89"/>
  <c r="AL50" i="89" s="1"/>
  <c r="T46" i="89"/>
  <c r="AL46" i="89" s="1"/>
  <c r="T20" i="89"/>
  <c r="T47" i="89"/>
  <c r="AL47" i="89" s="1"/>
  <c r="T45" i="89"/>
  <c r="AL45" i="89" s="1"/>
  <c r="T51" i="89"/>
  <c r="AL51" i="89" s="1"/>
  <c r="T49" i="89"/>
  <c r="AL49" i="89" s="1"/>
  <c r="T43" i="93"/>
  <c r="T50" i="93"/>
  <c r="T46" i="93"/>
  <c r="T52" i="93"/>
  <c r="T48" i="93"/>
  <c r="T44" i="93"/>
  <c r="T45" i="93"/>
  <c r="T49" i="93"/>
  <c r="T47" i="93"/>
  <c r="T20" i="93"/>
  <c r="T51" i="93"/>
  <c r="T29" i="93"/>
  <c r="T28" i="93"/>
  <c r="T27" i="93"/>
  <c r="T26" i="93"/>
  <c r="T25" i="93"/>
  <c r="T24" i="93"/>
  <c r="T23" i="93"/>
  <c r="T22" i="93"/>
  <c r="T21" i="93"/>
  <c r="U52" i="28"/>
  <c r="U51" i="28"/>
  <c r="U50" i="28"/>
  <c r="U49" i="28"/>
  <c r="U48" i="28"/>
  <c r="U47" i="28"/>
  <c r="U46" i="28"/>
  <c r="U45" i="28"/>
  <c r="U44" i="28"/>
  <c r="U43" i="28"/>
  <c r="U29" i="28"/>
  <c r="U28" i="28"/>
  <c r="U27" i="28"/>
  <c r="U26" i="28"/>
  <c r="U25" i="28"/>
  <c r="U24" i="28"/>
  <c r="U23" i="28"/>
  <c r="U22" i="28"/>
  <c r="U21" i="28"/>
  <c r="U20" i="28"/>
  <c r="T51" i="87"/>
  <c r="T47" i="87"/>
  <c r="AL47" i="87" s="1"/>
  <c r="T26" i="87"/>
  <c r="T25" i="87"/>
  <c r="T24" i="87"/>
  <c r="T23" i="87"/>
  <c r="T22" i="87"/>
  <c r="T21" i="87"/>
  <c r="T49" i="87"/>
  <c r="T45" i="87"/>
  <c r="T28" i="87"/>
  <c r="T50" i="87"/>
  <c r="T46" i="87"/>
  <c r="T52" i="87"/>
  <c r="T44" i="87"/>
  <c r="T48" i="87"/>
  <c r="T29" i="87"/>
  <c r="T27" i="87"/>
  <c r="T43" i="87"/>
  <c r="T20" i="87"/>
  <c r="T49" i="91"/>
  <c r="AL49" i="91" s="1"/>
  <c r="T45" i="91"/>
  <c r="AL45" i="91" s="1"/>
  <c r="T29" i="91"/>
  <c r="AL29" i="91" s="1"/>
  <c r="T28" i="91"/>
  <c r="AL28" i="91" s="1"/>
  <c r="T27" i="91"/>
  <c r="AL27" i="91" s="1"/>
  <c r="T26" i="91"/>
  <c r="AL26" i="91" s="1"/>
  <c r="T25" i="91"/>
  <c r="AL25" i="91" s="1"/>
  <c r="T24" i="91"/>
  <c r="AL24" i="91" s="1"/>
  <c r="T23" i="91"/>
  <c r="AL23" i="91" s="1"/>
  <c r="T51" i="91"/>
  <c r="AL51" i="91" s="1"/>
  <c r="T47" i="91"/>
  <c r="AL47" i="91" s="1"/>
  <c r="T43" i="91"/>
  <c r="T44" i="91"/>
  <c r="AL44" i="91" s="1"/>
  <c r="T48" i="91"/>
  <c r="AL48" i="91" s="1"/>
  <c r="T46" i="91"/>
  <c r="AL46" i="91" s="1"/>
  <c r="T52" i="91"/>
  <c r="AL52" i="91" s="1"/>
  <c r="T50" i="91"/>
  <c r="AL50" i="91" s="1"/>
  <c r="T22" i="91"/>
  <c r="AL22" i="91" s="1"/>
  <c r="T21" i="91"/>
  <c r="AL21" i="91" s="1"/>
  <c r="T20" i="91"/>
  <c r="S111" i="28"/>
  <c r="S83" i="28"/>
  <c r="AC53" i="93"/>
  <c r="R53" i="93" s="1"/>
  <c r="T109" i="93"/>
  <c r="BW56" i="110" s="1"/>
  <c r="U109" i="93"/>
  <c r="BX56" i="110" s="1"/>
  <c r="W109" i="89"/>
  <c r="AX56" i="110" s="1"/>
  <c r="AC83" i="89"/>
  <c r="R83" i="89" s="1"/>
  <c r="AC83" i="91"/>
  <c r="R83" i="91" s="1"/>
  <c r="AC111" i="93"/>
  <c r="R111" i="93" s="1"/>
  <c r="AC111" i="89"/>
  <c r="R111" i="89" s="1"/>
  <c r="M75" i="91"/>
  <c r="AC83" i="93"/>
  <c r="R83" i="93" s="1"/>
  <c r="M75" i="89"/>
  <c r="AC111" i="91"/>
  <c r="R111" i="91" s="1"/>
  <c r="M75" i="93"/>
  <c r="AC53" i="91"/>
  <c r="R53" i="91" s="1"/>
  <c r="Y125" i="28"/>
  <c r="X125" i="28"/>
  <c r="V125" i="28"/>
  <c r="W125" i="28"/>
  <c r="T125" i="28"/>
  <c r="T109" i="89"/>
  <c r="AU56" i="110" s="1"/>
  <c r="U109" i="89"/>
  <c r="AV56" i="110" s="1"/>
  <c r="V109" i="89"/>
  <c r="AW56" i="110" s="1"/>
  <c r="T109" i="91"/>
  <c r="BI56" i="110" s="1"/>
  <c r="V109" i="91"/>
  <c r="BK56" i="110" s="1"/>
  <c r="U110" i="91"/>
  <c r="BJ57" i="110" s="1"/>
  <c r="AC111" i="87"/>
  <c r="R111" i="87" s="1"/>
  <c r="M75" i="87"/>
  <c r="AC83" i="87"/>
  <c r="R83" i="87" s="1"/>
  <c r="V109" i="87"/>
  <c r="AI56" i="110" s="1"/>
  <c r="T109" i="87"/>
  <c r="AG56" i="110" s="1"/>
  <c r="U109" i="87"/>
  <c r="AH56" i="110" s="1"/>
  <c r="AK54" i="28"/>
  <c r="AI49" i="28"/>
  <c r="AI29" i="28"/>
  <c r="AI50" i="28"/>
  <c r="AI51" i="28"/>
  <c r="AI44" i="28"/>
  <c r="AI27" i="28"/>
  <c r="AI48" i="28"/>
  <c r="AI28" i="28"/>
  <c r="AI24" i="28"/>
  <c r="AI47" i="87"/>
  <c r="AI52" i="28"/>
  <c r="AI47" i="28"/>
  <c r="AI46" i="28"/>
  <c r="AI23" i="28"/>
  <c r="AI22" i="28"/>
  <c r="T111" i="28"/>
  <c r="T123" i="28"/>
  <c r="AA125" i="28"/>
  <c r="S125" i="28"/>
  <c r="AB125" i="28"/>
  <c r="AA111" i="28"/>
  <c r="AB111" i="28"/>
  <c r="T109" i="28"/>
  <c r="Q3" i="46"/>
  <c r="AI50" i="89"/>
  <c r="AR55" i="28"/>
  <c r="AR55" i="93"/>
  <c r="V109" i="93"/>
  <c r="BY56" i="110" s="1"/>
  <c r="T79" i="93"/>
  <c r="T93" i="93" s="1"/>
  <c r="T107" i="93" s="1"/>
  <c r="T121" i="93" s="1"/>
  <c r="U63" i="93"/>
  <c r="S79" i="87"/>
  <c r="S93" i="87" s="1"/>
  <c r="S107" i="87" s="1"/>
  <c r="S121" i="87" s="1"/>
  <c r="T63" i="87"/>
  <c r="T79" i="89"/>
  <c r="T93" i="89" s="1"/>
  <c r="T107" i="89" s="1"/>
  <c r="T121" i="89" s="1"/>
  <c r="U63" i="89"/>
  <c r="T79" i="28"/>
  <c r="T93" i="28" s="1"/>
  <c r="T107" i="28" s="1"/>
  <c r="T121" i="28" s="1"/>
  <c r="U63" i="28"/>
  <c r="W111" i="28"/>
  <c r="V111" i="28"/>
  <c r="X111" i="28"/>
  <c r="Z111" i="28"/>
  <c r="U111" i="28"/>
  <c r="F19" i="89"/>
  <c r="V42" i="89" s="1"/>
  <c r="S95" i="87"/>
  <c r="AF42" i="110" s="1"/>
  <c r="AP42" i="110" s="1"/>
  <c r="AI21" i="28"/>
  <c r="T95" i="28"/>
  <c r="AI25" i="89"/>
  <c r="W67" i="91"/>
  <c r="BL16" i="110" s="1"/>
  <c r="V67" i="91"/>
  <c r="BK16" i="110" s="1"/>
  <c r="U67" i="91"/>
  <c r="BJ16" i="110" s="1"/>
  <c r="V67" i="93"/>
  <c r="BY16" i="110" s="1"/>
  <c r="Y67" i="91"/>
  <c r="BN16" i="110" s="1"/>
  <c r="X67" i="91"/>
  <c r="BM16" i="110" s="1"/>
  <c r="Y67" i="93"/>
  <c r="CB16" i="110" s="1"/>
  <c r="U19" i="89"/>
  <c r="U42" i="89"/>
  <c r="E61" i="89"/>
  <c r="AO55" i="93"/>
  <c r="AL55" i="93"/>
  <c r="AI40" i="93"/>
  <c r="AI49" i="89"/>
  <c r="AI44" i="89"/>
  <c r="AI23" i="89"/>
  <c r="AI21" i="89"/>
  <c r="AI24" i="89"/>
  <c r="AI48" i="89"/>
  <c r="AI43" i="87"/>
  <c r="R11" i="46"/>
  <c r="AI28" i="89"/>
  <c r="AI29" i="89"/>
  <c r="AI47" i="89"/>
  <c r="AI46" i="87"/>
  <c r="AI52" i="89"/>
  <c r="AI46" i="89"/>
  <c r="AI27" i="87"/>
  <c r="Q35" i="46"/>
  <c r="AI44" i="87"/>
  <c r="AI26" i="89"/>
  <c r="AI45" i="89"/>
  <c r="AI22" i="87"/>
  <c r="AI51" i="89"/>
  <c r="AI20" i="89"/>
  <c r="W55" i="93"/>
  <c r="W55" i="91"/>
  <c r="AI22" i="89"/>
  <c r="AI48" i="87"/>
  <c r="AK19" i="89"/>
  <c r="AK42" i="89" s="1"/>
  <c r="AI24" i="87"/>
  <c r="AI43" i="89"/>
  <c r="Q6" i="46"/>
  <c r="AI28" i="87"/>
  <c r="H50" i="46"/>
  <c r="R50" i="46"/>
  <c r="AI51" i="87"/>
  <c r="AI45" i="28"/>
  <c r="AR55" i="87"/>
  <c r="AL55" i="91"/>
  <c r="AR55" i="91"/>
  <c r="AI54" i="89"/>
  <c r="AL55" i="89"/>
  <c r="AI54" i="91"/>
  <c r="AR55" i="89"/>
  <c r="AU55" i="89"/>
  <c r="AO55" i="89"/>
  <c r="AI52" i="87"/>
  <c r="AI25" i="28"/>
  <c r="AI25" i="87"/>
  <c r="AI45" i="87"/>
  <c r="AI26" i="28"/>
  <c r="AI23" i="87"/>
  <c r="AI26" i="87"/>
  <c r="AI50" i="87"/>
  <c r="AI21" i="87"/>
  <c r="AI49" i="87"/>
  <c r="AI29" i="87"/>
  <c r="AL40" i="28"/>
  <c r="AI24" i="91"/>
  <c r="U42" i="93"/>
  <c r="U19" i="93"/>
  <c r="F19" i="93"/>
  <c r="E61" i="93"/>
  <c r="E42" i="93"/>
  <c r="AK19" i="93"/>
  <c r="AK42" i="93" s="1"/>
  <c r="H59" i="46"/>
  <c r="S59" i="46" s="1"/>
  <c r="R7" i="46"/>
  <c r="AI20" i="28"/>
  <c r="AI43" i="28"/>
  <c r="AI27" i="89"/>
  <c r="AI27" i="91"/>
  <c r="AI20" i="87"/>
  <c r="R27" i="46"/>
  <c r="I51" i="46"/>
  <c r="S51" i="46"/>
  <c r="S52" i="46"/>
  <c r="I52" i="46"/>
  <c r="R25" i="46"/>
  <c r="R29" i="46"/>
  <c r="R24" i="46"/>
  <c r="H44" i="46"/>
  <c r="R44" i="46"/>
  <c r="R21" i="46"/>
  <c r="H58" i="46"/>
  <c r="X54" i="28" s="1"/>
  <c r="R58" i="46"/>
  <c r="I48" i="46"/>
  <c r="S48" i="46"/>
  <c r="R22" i="46"/>
  <c r="R30" i="46"/>
  <c r="R23" i="46"/>
  <c r="R14" i="46"/>
  <c r="R49" i="46"/>
  <c r="H49" i="46"/>
  <c r="R28" i="46"/>
  <c r="H53" i="46"/>
  <c r="R53" i="46"/>
  <c r="H54" i="46"/>
  <c r="R54" i="46"/>
  <c r="R26" i="46"/>
  <c r="R47" i="46"/>
  <c r="H47" i="46"/>
  <c r="R45" i="46"/>
  <c r="H45" i="46"/>
  <c r="H60" i="46"/>
  <c r="R60" i="46"/>
  <c r="H57" i="46"/>
  <c r="R61" i="46"/>
  <c r="H61" i="46"/>
  <c r="H36" i="46"/>
  <c r="R36" i="46"/>
  <c r="J38" i="46"/>
  <c r="T38" i="46"/>
  <c r="R43" i="46"/>
  <c r="H43" i="46"/>
  <c r="H35" i="46"/>
  <c r="R35" i="46"/>
  <c r="H41" i="46"/>
  <c r="R41" i="46"/>
  <c r="R39" i="46"/>
  <c r="H39" i="46"/>
  <c r="W55" i="87"/>
  <c r="W109" i="87" s="1"/>
  <c r="AJ56" i="110" s="1"/>
  <c r="W55" i="28"/>
  <c r="H34" i="46"/>
  <c r="R34" i="46"/>
  <c r="R42" i="46"/>
  <c r="H42" i="46"/>
  <c r="Q16" i="46"/>
  <c r="R15" i="46"/>
  <c r="R12" i="46"/>
  <c r="Q18" i="46"/>
  <c r="T17" i="46"/>
  <c r="R13" i="46"/>
  <c r="Q8" i="46"/>
  <c r="U19" i="91"/>
  <c r="F19" i="91"/>
  <c r="E42" i="91"/>
  <c r="U42" i="91"/>
  <c r="E61" i="91"/>
  <c r="AI50" i="91"/>
  <c r="AI51" i="91"/>
  <c r="AI52" i="91"/>
  <c r="AI44" i="91"/>
  <c r="AI45" i="91"/>
  <c r="AK19" i="91"/>
  <c r="AK42" i="91" s="1"/>
  <c r="AK19" i="87"/>
  <c r="AK42" i="87" s="1"/>
  <c r="AI20" i="91"/>
  <c r="AI49" i="91"/>
  <c r="AI26" i="91"/>
  <c r="U19" i="87"/>
  <c r="F19" i="87"/>
  <c r="U42" i="87"/>
  <c r="E61" i="87"/>
  <c r="E42" i="87"/>
  <c r="AI43" i="91"/>
  <c r="AI29" i="91"/>
  <c r="AI21" i="91"/>
  <c r="AI47" i="91"/>
  <c r="AI48" i="91"/>
  <c r="AI28" i="91"/>
  <c r="H3" i="46"/>
  <c r="R3" i="46"/>
  <c r="AN19" i="28"/>
  <c r="AN42" i="28" s="1"/>
  <c r="AI22" i="91"/>
  <c r="AI23" i="91"/>
  <c r="V19" i="28"/>
  <c r="F42" i="28"/>
  <c r="F61" i="28"/>
  <c r="G19" i="28"/>
  <c r="V42" i="28"/>
  <c r="AI46" i="91"/>
  <c r="AI25" i="91"/>
  <c r="T79" i="91" l="1"/>
  <c r="T93" i="91" s="1"/>
  <c r="T107" i="91" s="1"/>
  <c r="T121" i="91" s="1"/>
  <c r="R55" i="110"/>
  <c r="D48" i="106"/>
  <c r="D55" i="110" s="1"/>
  <c r="U108" i="28"/>
  <c r="R41" i="110"/>
  <c r="D34" i="106"/>
  <c r="D41" i="110" s="1"/>
  <c r="D62" i="106"/>
  <c r="D69" i="110" s="1"/>
  <c r="R69" i="110"/>
  <c r="U94" i="28"/>
  <c r="U122" i="28"/>
  <c r="E69" i="110"/>
  <c r="E41" i="110"/>
  <c r="J23" i="106"/>
  <c r="J30" i="110" s="1"/>
  <c r="M23" i="106"/>
  <c r="M30" i="110" s="1"/>
  <c r="K23" i="106"/>
  <c r="K30" i="110" s="1"/>
  <c r="X53" i="28"/>
  <c r="H53" i="28" s="1"/>
  <c r="I23" i="106"/>
  <c r="I30" i="110" s="1"/>
  <c r="U30" i="110"/>
  <c r="S30" i="110"/>
  <c r="Z30" i="110"/>
  <c r="F23" i="106"/>
  <c r="F30" i="110" s="1"/>
  <c r="H23" i="106"/>
  <c r="H30" i="110" s="1"/>
  <c r="H53" i="89"/>
  <c r="H54" i="93"/>
  <c r="H53" i="87"/>
  <c r="H54" i="89"/>
  <c r="H53" i="91"/>
  <c r="H54" i="28"/>
  <c r="H53" i="93"/>
  <c r="H54" i="87"/>
  <c r="H54" i="91"/>
  <c r="AL37" i="93"/>
  <c r="V37" i="28"/>
  <c r="V33" i="28"/>
  <c r="V31" i="28"/>
  <c r="AR31" i="28" s="1"/>
  <c r="V38" i="28"/>
  <c r="V34" i="28"/>
  <c r="V39" i="28"/>
  <c r="V35" i="28"/>
  <c r="V30" i="28"/>
  <c r="V36" i="28"/>
  <c r="V32" i="28"/>
  <c r="AR32" i="28" s="1"/>
  <c r="U37" i="87"/>
  <c r="AO37" i="87" s="1"/>
  <c r="U33" i="87"/>
  <c r="U36" i="87"/>
  <c r="U32" i="87"/>
  <c r="U38" i="87"/>
  <c r="U34" i="87"/>
  <c r="U30" i="87"/>
  <c r="U31" i="87"/>
  <c r="U39" i="87"/>
  <c r="U35" i="87"/>
  <c r="AO35" i="87" s="1"/>
  <c r="AL30" i="93"/>
  <c r="U31" i="91"/>
  <c r="U37" i="91"/>
  <c r="U33" i="91"/>
  <c r="AO33" i="91" s="1"/>
  <c r="U30" i="91"/>
  <c r="U38" i="91"/>
  <c r="AO38" i="91" s="1"/>
  <c r="U34" i="91"/>
  <c r="AO34" i="91" s="1"/>
  <c r="U32" i="91"/>
  <c r="U39" i="91"/>
  <c r="AO39" i="91" s="1"/>
  <c r="U35" i="91"/>
  <c r="AO35" i="91" s="1"/>
  <c r="U36" i="91"/>
  <c r="AO36" i="91" s="1"/>
  <c r="U31" i="89"/>
  <c r="U32" i="89"/>
  <c r="U39" i="89"/>
  <c r="AO39" i="89" s="1"/>
  <c r="U35" i="89"/>
  <c r="AO35" i="89" s="1"/>
  <c r="U36" i="89"/>
  <c r="AO36" i="89" s="1"/>
  <c r="U30" i="89"/>
  <c r="U37" i="89"/>
  <c r="AO37" i="89" s="1"/>
  <c r="U33" i="89"/>
  <c r="U38" i="89"/>
  <c r="AO38" i="89" s="1"/>
  <c r="U34" i="89"/>
  <c r="AL32" i="93"/>
  <c r="AL36" i="93"/>
  <c r="AL31" i="93"/>
  <c r="AL39" i="93"/>
  <c r="AL35" i="93"/>
  <c r="AL34" i="93"/>
  <c r="U39" i="93"/>
  <c r="AO39" i="93" s="1"/>
  <c r="U35" i="93"/>
  <c r="AO35" i="93" s="1"/>
  <c r="U36" i="93"/>
  <c r="AO36" i="93" s="1"/>
  <c r="U32" i="93"/>
  <c r="AO32" i="93" s="1"/>
  <c r="U30" i="93"/>
  <c r="AO30" i="93" s="1"/>
  <c r="U37" i="93"/>
  <c r="AO37" i="93" s="1"/>
  <c r="U33" i="93"/>
  <c r="AO33" i="93" s="1"/>
  <c r="U31" i="93"/>
  <c r="AO31" i="93" s="1"/>
  <c r="U38" i="93"/>
  <c r="AO38" i="93" s="1"/>
  <c r="U34" i="93"/>
  <c r="AO34" i="93" s="1"/>
  <c r="AL33" i="93"/>
  <c r="AL38" i="93"/>
  <c r="CF16" i="110"/>
  <c r="BR16" i="110"/>
  <c r="AB44" i="110"/>
  <c r="D65" i="106"/>
  <c r="R72" i="110"/>
  <c r="H51" i="106"/>
  <c r="H58" i="110" s="1"/>
  <c r="V58" i="110"/>
  <c r="H65" i="106"/>
  <c r="H72" i="110" s="1"/>
  <c r="V72" i="110"/>
  <c r="M9" i="106"/>
  <c r="M16" i="110" s="1"/>
  <c r="AA16" i="110"/>
  <c r="I9" i="106"/>
  <c r="I16" i="110" s="1"/>
  <c r="W16" i="110"/>
  <c r="K9" i="106"/>
  <c r="K16" i="110" s="1"/>
  <c r="Y16" i="110"/>
  <c r="AA58" i="110"/>
  <c r="M51" i="106"/>
  <c r="M58" i="110" s="1"/>
  <c r="S58" i="110"/>
  <c r="E51" i="106"/>
  <c r="E58" i="110" s="1"/>
  <c r="U72" i="110"/>
  <c r="G65" i="106"/>
  <c r="G72" i="110" s="1"/>
  <c r="G51" i="106"/>
  <c r="G58" i="110" s="1"/>
  <c r="U58" i="110"/>
  <c r="D23" i="106"/>
  <c r="R30" i="110"/>
  <c r="L65" i="106"/>
  <c r="L72" i="110" s="1"/>
  <c r="Z72" i="110"/>
  <c r="L9" i="106"/>
  <c r="L16" i="110" s="1"/>
  <c r="Z16" i="110"/>
  <c r="F51" i="106"/>
  <c r="F58" i="110" s="1"/>
  <c r="T58" i="110"/>
  <c r="Z58" i="110"/>
  <c r="L51" i="106"/>
  <c r="L58" i="110" s="1"/>
  <c r="J65" i="106"/>
  <c r="J72" i="110" s="1"/>
  <c r="X72" i="110"/>
  <c r="R58" i="110"/>
  <c r="D51" i="106"/>
  <c r="I51" i="106"/>
  <c r="I58" i="110" s="1"/>
  <c r="W58" i="110"/>
  <c r="E65" i="106"/>
  <c r="E72" i="110" s="1"/>
  <c r="S72" i="110"/>
  <c r="D44" i="110"/>
  <c r="N44" i="110" s="1"/>
  <c r="N37" i="106"/>
  <c r="I65" i="106"/>
  <c r="I72" i="110" s="1"/>
  <c r="W72" i="110"/>
  <c r="K51" i="106"/>
  <c r="K58" i="110" s="1"/>
  <c r="Y58" i="110"/>
  <c r="M65" i="106"/>
  <c r="M72" i="110" s="1"/>
  <c r="AA72" i="110"/>
  <c r="D9" i="106"/>
  <c r="R16" i="110"/>
  <c r="R27" i="110"/>
  <c r="D20" i="106"/>
  <c r="S42" i="110"/>
  <c r="E35" i="106"/>
  <c r="E42" i="110" s="1"/>
  <c r="S70" i="110"/>
  <c r="E63" i="106"/>
  <c r="E70" i="110" s="1"/>
  <c r="S56" i="110"/>
  <c r="E49" i="106"/>
  <c r="E56" i="110" s="1"/>
  <c r="T40" i="91"/>
  <c r="T64" i="91" s="1"/>
  <c r="BI13" i="110" s="1"/>
  <c r="T80" i="91"/>
  <c r="BI27" i="110" s="1"/>
  <c r="S64" i="91"/>
  <c r="BH13" i="110" s="1"/>
  <c r="T40" i="93"/>
  <c r="T80" i="93"/>
  <c r="BW27" i="110" s="1"/>
  <c r="T80" i="89"/>
  <c r="AU27" i="110" s="1"/>
  <c r="T40" i="89"/>
  <c r="S64" i="89"/>
  <c r="AT13" i="110" s="1"/>
  <c r="T80" i="87"/>
  <c r="T40" i="87"/>
  <c r="T64" i="87" s="1"/>
  <c r="S64" i="87"/>
  <c r="AF13" i="110" s="1"/>
  <c r="U80" i="28"/>
  <c r="U40" i="28"/>
  <c r="U64" i="28" s="1"/>
  <c r="S64" i="28"/>
  <c r="V49" i="28"/>
  <c r="AR49" i="28" s="1"/>
  <c r="V45" i="28"/>
  <c r="AR45" i="28" s="1"/>
  <c r="V52" i="28"/>
  <c r="AR52" i="28" s="1"/>
  <c r="V47" i="28"/>
  <c r="AR47" i="28" s="1"/>
  <c r="V43" i="28"/>
  <c r="V51" i="28"/>
  <c r="AR51" i="28" s="1"/>
  <c r="V46" i="28"/>
  <c r="AR46" i="28" s="1"/>
  <c r="V44" i="28"/>
  <c r="V20" i="28"/>
  <c r="V50" i="28"/>
  <c r="AR50" i="28" s="1"/>
  <c r="V48" i="28"/>
  <c r="AR48" i="28" s="1"/>
  <c r="V28" i="28"/>
  <c r="AR28" i="28" s="1"/>
  <c r="V24" i="28"/>
  <c r="AR24" i="28" s="1"/>
  <c r="V23" i="28"/>
  <c r="V26" i="28"/>
  <c r="V22" i="28"/>
  <c r="V27" i="28"/>
  <c r="AR27" i="28" s="1"/>
  <c r="V25" i="28"/>
  <c r="V21" i="28"/>
  <c r="V29" i="28"/>
  <c r="AR29" i="28" s="1"/>
  <c r="U43" i="87"/>
  <c r="U52" i="87"/>
  <c r="AO52" i="87" s="1"/>
  <c r="U51" i="87"/>
  <c r="AO51" i="87" s="1"/>
  <c r="U50" i="87"/>
  <c r="AO50" i="87" s="1"/>
  <c r="U49" i="87"/>
  <c r="AO49" i="87" s="1"/>
  <c r="U48" i="87"/>
  <c r="U47" i="87"/>
  <c r="U46" i="87"/>
  <c r="AO46" i="87" s="1"/>
  <c r="U45" i="87"/>
  <c r="AO45" i="87" s="1"/>
  <c r="U44" i="87"/>
  <c r="AO44" i="87" s="1"/>
  <c r="U29" i="87"/>
  <c r="AO29" i="87" s="1"/>
  <c r="U28" i="87"/>
  <c r="AO28" i="87" s="1"/>
  <c r="U27" i="87"/>
  <c r="U26" i="87"/>
  <c r="AO26" i="87" s="1"/>
  <c r="U21" i="87"/>
  <c r="U24" i="87"/>
  <c r="AO24" i="87" s="1"/>
  <c r="U20" i="87"/>
  <c r="U22" i="87"/>
  <c r="AO22" i="87" s="1"/>
  <c r="U25" i="87"/>
  <c r="AO25" i="87" s="1"/>
  <c r="U23" i="87"/>
  <c r="U52" i="89"/>
  <c r="AO52" i="89" s="1"/>
  <c r="U51" i="89"/>
  <c r="AO51" i="89" s="1"/>
  <c r="U50" i="89"/>
  <c r="U49" i="89"/>
  <c r="AO49" i="89" s="1"/>
  <c r="U48" i="89"/>
  <c r="U47" i="89"/>
  <c r="AO47" i="89" s="1"/>
  <c r="U46" i="89"/>
  <c r="AO46" i="89" s="1"/>
  <c r="U45" i="89"/>
  <c r="AO45" i="89" s="1"/>
  <c r="U44" i="89"/>
  <c r="AO44" i="89" s="1"/>
  <c r="U27" i="89"/>
  <c r="AO27" i="89" s="1"/>
  <c r="U22" i="89"/>
  <c r="AO22" i="89" s="1"/>
  <c r="U25" i="89"/>
  <c r="AO25" i="89" s="1"/>
  <c r="U28" i="89"/>
  <c r="AO28" i="89" s="1"/>
  <c r="U20" i="89"/>
  <c r="U43" i="89"/>
  <c r="U23" i="89"/>
  <c r="AO23" i="89" s="1"/>
  <c r="U29" i="89"/>
  <c r="U21" i="89"/>
  <c r="AO21" i="89" s="1"/>
  <c r="U24" i="89"/>
  <c r="AO24" i="89" s="1"/>
  <c r="U26" i="89"/>
  <c r="AO26" i="89" s="1"/>
  <c r="U52" i="91"/>
  <c r="AO52" i="91" s="1"/>
  <c r="U51" i="91"/>
  <c r="U50" i="91"/>
  <c r="AO50" i="91" s="1"/>
  <c r="U49" i="91"/>
  <c r="U48" i="91"/>
  <c r="U47" i="91"/>
  <c r="U46" i="91"/>
  <c r="U45" i="91"/>
  <c r="AO45" i="91" s="1"/>
  <c r="U44" i="91"/>
  <c r="AO44" i="91" s="1"/>
  <c r="U43" i="91"/>
  <c r="U28" i="91"/>
  <c r="U23" i="91"/>
  <c r="U26" i="91"/>
  <c r="AO26" i="91" s="1"/>
  <c r="U29" i="91"/>
  <c r="U24" i="91"/>
  <c r="AO24" i="91" s="1"/>
  <c r="U22" i="91"/>
  <c r="U21" i="91"/>
  <c r="AO21" i="91" s="1"/>
  <c r="U25" i="91"/>
  <c r="U27" i="91"/>
  <c r="AO27" i="91" s="1"/>
  <c r="U20" i="91"/>
  <c r="U52" i="93"/>
  <c r="AO52" i="93" s="1"/>
  <c r="U51" i="93"/>
  <c r="AO51" i="93" s="1"/>
  <c r="U50" i="93"/>
  <c r="AO50" i="93" s="1"/>
  <c r="U49" i="93"/>
  <c r="AO49" i="93" s="1"/>
  <c r="U48" i="93"/>
  <c r="AO48" i="93" s="1"/>
  <c r="U47" i="93"/>
  <c r="AO47" i="93" s="1"/>
  <c r="U46" i="93"/>
  <c r="AO46" i="93" s="1"/>
  <c r="U45" i="93"/>
  <c r="AO45" i="93" s="1"/>
  <c r="U44" i="93"/>
  <c r="AO44" i="93" s="1"/>
  <c r="U43" i="93"/>
  <c r="U29" i="93"/>
  <c r="AO29" i="93" s="1"/>
  <c r="U28" i="93"/>
  <c r="AO28" i="93" s="1"/>
  <c r="U27" i="93"/>
  <c r="AO27" i="93" s="1"/>
  <c r="U26" i="93"/>
  <c r="AO26" i="93" s="1"/>
  <c r="U25" i="93"/>
  <c r="AO25" i="93" s="1"/>
  <c r="U24" i="93"/>
  <c r="AO24" i="93" s="1"/>
  <c r="U23" i="93"/>
  <c r="AO23" i="93" s="1"/>
  <c r="U22" i="93"/>
  <c r="AO22" i="93" s="1"/>
  <c r="U21" i="93"/>
  <c r="AO21" i="93" s="1"/>
  <c r="U20" i="93"/>
  <c r="S81" i="93"/>
  <c r="BV28" i="110" s="1"/>
  <c r="S109" i="93"/>
  <c r="BV56" i="110" s="1"/>
  <c r="T110" i="93"/>
  <c r="BW57" i="110" s="1"/>
  <c r="U110" i="93"/>
  <c r="BX57" i="110" s="1"/>
  <c r="S81" i="89"/>
  <c r="AT28" i="110" s="1"/>
  <c r="U110" i="89"/>
  <c r="AV57" i="110" s="1"/>
  <c r="S109" i="89"/>
  <c r="AT56" i="110" s="1"/>
  <c r="V110" i="89"/>
  <c r="AW57" i="110" s="1"/>
  <c r="W110" i="89"/>
  <c r="AX57" i="110" s="1"/>
  <c r="AC53" i="89"/>
  <c r="R53" i="89" s="1"/>
  <c r="AC53" i="87"/>
  <c r="R53" i="87" s="1"/>
  <c r="S81" i="87"/>
  <c r="AF28" i="110" s="1"/>
  <c r="V67" i="28"/>
  <c r="W67" i="28"/>
  <c r="AC67" i="89"/>
  <c r="R67" i="89" s="1"/>
  <c r="S109" i="91"/>
  <c r="BH56" i="110" s="1"/>
  <c r="S81" i="91"/>
  <c r="BH28" i="110" s="1"/>
  <c r="AH53" i="91"/>
  <c r="AH56" i="91" s="1"/>
  <c r="S109" i="87"/>
  <c r="S109" i="28"/>
  <c r="T67" i="28"/>
  <c r="U125" i="28"/>
  <c r="U67" i="28"/>
  <c r="Z125" i="28"/>
  <c r="M74" i="28"/>
  <c r="D27" i="102" s="1"/>
  <c r="T110" i="89"/>
  <c r="AU57" i="110" s="1"/>
  <c r="T110" i="91"/>
  <c r="BI57" i="110" s="1"/>
  <c r="U123" i="28"/>
  <c r="U112" i="91"/>
  <c r="U113" i="91" s="1"/>
  <c r="V110" i="87"/>
  <c r="AI57" i="110" s="1"/>
  <c r="V110" i="91"/>
  <c r="BK57" i="110" s="1"/>
  <c r="AC67" i="87"/>
  <c r="R67" i="87" s="1"/>
  <c r="U110" i="87"/>
  <c r="AH57" i="110" s="1"/>
  <c r="T110" i="87"/>
  <c r="AG57" i="110" s="1"/>
  <c r="S123" i="28"/>
  <c r="M73" i="28"/>
  <c r="D25" i="102" s="1"/>
  <c r="Y111" i="28"/>
  <c r="Y67" i="28"/>
  <c r="U38" i="46"/>
  <c r="K38" i="46"/>
  <c r="V19" i="89"/>
  <c r="AQ19" i="89" s="1"/>
  <c r="AQ42" i="89" s="1"/>
  <c r="V110" i="93"/>
  <c r="BY57" i="110" s="1"/>
  <c r="W110" i="87"/>
  <c r="AJ57" i="110" s="1"/>
  <c r="AC95" i="87"/>
  <c r="R95" i="87" s="1"/>
  <c r="AL22" i="93"/>
  <c r="AL46" i="93"/>
  <c r="AL49" i="93"/>
  <c r="AL47" i="93"/>
  <c r="AL45" i="93"/>
  <c r="AL28" i="93"/>
  <c r="AL23" i="93"/>
  <c r="AL29" i="93"/>
  <c r="AL44" i="93"/>
  <c r="AL26" i="93"/>
  <c r="AL21" i="93"/>
  <c r="AL51" i="93"/>
  <c r="AL24" i="93"/>
  <c r="AL52" i="93"/>
  <c r="AL50" i="93"/>
  <c r="AL25" i="93"/>
  <c r="AL48" i="93"/>
  <c r="AL27" i="93"/>
  <c r="T110" i="28"/>
  <c r="T124" i="28"/>
  <c r="U109" i="28"/>
  <c r="AC67" i="93"/>
  <c r="AC67" i="91"/>
  <c r="AC83" i="28"/>
  <c r="R83" i="28" s="1"/>
  <c r="AH54" i="87"/>
  <c r="AI54" i="87" s="1"/>
  <c r="G19" i="89"/>
  <c r="W19" i="89" s="1"/>
  <c r="U17" i="46"/>
  <c r="V63" i="89"/>
  <c r="U79" i="89"/>
  <c r="U93" i="89" s="1"/>
  <c r="U107" i="89" s="1"/>
  <c r="U121" i="89" s="1"/>
  <c r="AU55" i="91"/>
  <c r="W109" i="91"/>
  <c r="BL56" i="110" s="1"/>
  <c r="V63" i="91"/>
  <c r="U79" i="91"/>
  <c r="U93" i="91" s="1"/>
  <c r="U107" i="91" s="1"/>
  <c r="U121" i="91" s="1"/>
  <c r="AU55" i="28"/>
  <c r="AU55" i="93"/>
  <c r="W109" i="93"/>
  <c r="BZ56" i="110" s="1"/>
  <c r="V63" i="28"/>
  <c r="U79" i="28"/>
  <c r="U93" i="28" s="1"/>
  <c r="U107" i="28" s="1"/>
  <c r="U121" i="28" s="1"/>
  <c r="T79" i="87"/>
  <c r="T93" i="87" s="1"/>
  <c r="T107" i="87" s="1"/>
  <c r="T121" i="87" s="1"/>
  <c r="U63" i="87"/>
  <c r="V63" i="93"/>
  <c r="U79" i="93"/>
  <c r="U93" i="93" s="1"/>
  <c r="U107" i="93" s="1"/>
  <c r="U121" i="93" s="1"/>
  <c r="F61" i="89"/>
  <c r="F42" i="89"/>
  <c r="S96" i="87"/>
  <c r="AF43" i="110" s="1"/>
  <c r="T96" i="87"/>
  <c r="AG43" i="110" s="1"/>
  <c r="AN19" i="89"/>
  <c r="AN42" i="89" s="1"/>
  <c r="T81" i="87"/>
  <c r="AG28" i="110" s="1"/>
  <c r="AL43" i="89"/>
  <c r="T81" i="89"/>
  <c r="AU28" i="110" s="1"/>
  <c r="AL20" i="89"/>
  <c r="AL43" i="93"/>
  <c r="T81" i="93"/>
  <c r="BW28" i="110" s="1"/>
  <c r="T96" i="28"/>
  <c r="AL43" i="91"/>
  <c r="T81" i="91"/>
  <c r="BI28" i="110" s="1"/>
  <c r="AU55" i="87"/>
  <c r="AN54" i="28"/>
  <c r="AO54" i="28" s="1"/>
  <c r="U95" i="28"/>
  <c r="AN53" i="28"/>
  <c r="U81" i="28"/>
  <c r="AH54" i="28"/>
  <c r="AI54" i="28" s="1"/>
  <c r="S95" i="28"/>
  <c r="T81" i="28"/>
  <c r="AQ53" i="28"/>
  <c r="AR53" i="28" s="1"/>
  <c r="AQ54" i="28"/>
  <c r="AR54" i="28" s="1"/>
  <c r="S81" i="28"/>
  <c r="AT53" i="87"/>
  <c r="AN54" i="91"/>
  <c r="AO54" i="91" s="1"/>
  <c r="AN53" i="93"/>
  <c r="AO53" i="93" s="1"/>
  <c r="AN53" i="91"/>
  <c r="AT54" i="89"/>
  <c r="AU54" i="89" s="1"/>
  <c r="AN54" i="89"/>
  <c r="AO54" i="89" s="1"/>
  <c r="AQ54" i="91"/>
  <c r="AR54" i="91" s="1"/>
  <c r="AQ54" i="89"/>
  <c r="AR54" i="89" s="1"/>
  <c r="AN53" i="89"/>
  <c r="AO53" i="89" s="1"/>
  <c r="AN53" i="87"/>
  <c r="AT54" i="91"/>
  <c r="AU54" i="91" s="1"/>
  <c r="AQ53" i="89"/>
  <c r="AT53" i="93"/>
  <c r="AN54" i="87"/>
  <c r="AO54" i="87" s="1"/>
  <c r="AN54" i="93"/>
  <c r="AO54" i="93" s="1"/>
  <c r="AQ54" i="87"/>
  <c r="AR54" i="87" s="1"/>
  <c r="AT54" i="93"/>
  <c r="AU54" i="93" s="1"/>
  <c r="AQ53" i="87"/>
  <c r="AR53" i="87" s="1"/>
  <c r="AQ54" i="93"/>
  <c r="AR54" i="93" s="1"/>
  <c r="S11" i="46"/>
  <c r="R20" i="46"/>
  <c r="I59" i="46"/>
  <c r="J59" i="46" s="1"/>
  <c r="AI40" i="89"/>
  <c r="AQ53" i="93"/>
  <c r="R6" i="46"/>
  <c r="I50" i="46"/>
  <c r="S50" i="46"/>
  <c r="S56" i="93"/>
  <c r="T56" i="89"/>
  <c r="T65" i="89" s="1"/>
  <c r="AU14" i="110" s="1"/>
  <c r="S56" i="91"/>
  <c r="AH53" i="87"/>
  <c r="S56" i="87"/>
  <c r="AL54" i="28"/>
  <c r="S56" i="28"/>
  <c r="T56" i="28"/>
  <c r="S56" i="89"/>
  <c r="AI40" i="87"/>
  <c r="T56" i="93"/>
  <c r="AL20" i="93"/>
  <c r="F42" i="93"/>
  <c r="V42" i="93"/>
  <c r="G19" i="93"/>
  <c r="V19" i="93"/>
  <c r="F61" i="93"/>
  <c r="AN19" i="93"/>
  <c r="AN42" i="93" s="1"/>
  <c r="S7" i="46"/>
  <c r="AI40" i="28"/>
  <c r="I53" i="46"/>
  <c r="S53" i="46"/>
  <c r="S25" i="46"/>
  <c r="S47" i="46"/>
  <c r="I47" i="46"/>
  <c r="S22" i="46"/>
  <c r="I44" i="46"/>
  <c r="S44" i="46"/>
  <c r="J52" i="46"/>
  <c r="T52" i="46"/>
  <c r="S26" i="46"/>
  <c r="S14" i="46"/>
  <c r="S28" i="46"/>
  <c r="S23" i="46"/>
  <c r="T48" i="46"/>
  <c r="J48" i="46"/>
  <c r="S24" i="46"/>
  <c r="J51" i="46"/>
  <c r="T51" i="46"/>
  <c r="I54" i="46"/>
  <c r="S54" i="46"/>
  <c r="S49" i="46"/>
  <c r="I49" i="46"/>
  <c r="I58" i="46"/>
  <c r="S58" i="46"/>
  <c r="S29" i="46"/>
  <c r="S27" i="46"/>
  <c r="S45" i="46"/>
  <c r="I45" i="46"/>
  <c r="S30" i="46"/>
  <c r="S21" i="46"/>
  <c r="I57" i="46"/>
  <c r="S61" i="46"/>
  <c r="I61" i="46"/>
  <c r="S60" i="46"/>
  <c r="I60" i="46"/>
  <c r="I43" i="46"/>
  <c r="S43" i="46"/>
  <c r="I42" i="46"/>
  <c r="S42" i="46"/>
  <c r="S39" i="46"/>
  <c r="I39" i="46"/>
  <c r="X55" i="28"/>
  <c r="X55" i="87"/>
  <c r="X109" i="87" s="1"/>
  <c r="AK56" i="110" s="1"/>
  <c r="X55" i="89"/>
  <c r="X55" i="93"/>
  <c r="X55" i="91"/>
  <c r="I35" i="46"/>
  <c r="S35" i="46"/>
  <c r="I34" i="46"/>
  <c r="S34" i="46"/>
  <c r="I41" i="46"/>
  <c r="S41" i="46"/>
  <c r="I36" i="46"/>
  <c r="S36" i="46"/>
  <c r="R8" i="46"/>
  <c r="R18" i="46"/>
  <c r="S13" i="46"/>
  <c r="S12" i="46"/>
  <c r="S15" i="46"/>
  <c r="R16" i="46"/>
  <c r="AO43" i="28"/>
  <c r="U56" i="28"/>
  <c r="U65" i="28" s="1"/>
  <c r="AO24" i="28"/>
  <c r="AO22" i="28"/>
  <c r="AN19" i="87"/>
  <c r="AN42" i="87" s="1"/>
  <c r="AL51" i="87"/>
  <c r="AL24" i="87"/>
  <c r="AL44" i="87"/>
  <c r="AO20" i="28"/>
  <c r="AO48" i="28"/>
  <c r="AL20" i="87"/>
  <c r="AL50" i="87"/>
  <c r="G19" i="91"/>
  <c r="F61" i="91"/>
  <c r="V42" i="91"/>
  <c r="F42" i="91"/>
  <c r="V19" i="91"/>
  <c r="AL21" i="87"/>
  <c r="T56" i="91"/>
  <c r="AQ19" i="28"/>
  <c r="AQ42" i="28" s="1"/>
  <c r="AO47" i="28"/>
  <c r="AO21" i="28"/>
  <c r="AI40" i="91"/>
  <c r="AL25" i="87"/>
  <c r="AL23" i="87"/>
  <c r="AN19" i="91"/>
  <c r="AN42" i="91" s="1"/>
  <c r="G42" i="28"/>
  <c r="W42" i="28"/>
  <c r="H19" i="28"/>
  <c r="G61" i="28"/>
  <c r="W19" i="28"/>
  <c r="AO23" i="28"/>
  <c r="AO27" i="28"/>
  <c r="AO26" i="28"/>
  <c r="AL43" i="87"/>
  <c r="T56" i="87"/>
  <c r="T65" i="87" s="1"/>
  <c r="AG14" i="110" s="1"/>
  <c r="AL52" i="87"/>
  <c r="AO25" i="28"/>
  <c r="AO52" i="28"/>
  <c r="AO45" i="28"/>
  <c r="AO46" i="28"/>
  <c r="AL49" i="87"/>
  <c r="AL22" i="87"/>
  <c r="AL26" i="87"/>
  <c r="AO28" i="28"/>
  <c r="AO29" i="28"/>
  <c r="AO51" i="28"/>
  <c r="S3" i="46"/>
  <c r="I3" i="46"/>
  <c r="AL48" i="87"/>
  <c r="AL29" i="87"/>
  <c r="AL27" i="87"/>
  <c r="AL20" i="91"/>
  <c r="F61" i="87"/>
  <c r="V42" i="87"/>
  <c r="V19" i="87"/>
  <c r="G19" i="87"/>
  <c r="F42" i="87"/>
  <c r="AO44" i="28"/>
  <c r="AO49" i="28"/>
  <c r="AO50" i="28"/>
  <c r="AL28" i="87"/>
  <c r="AL46" i="87"/>
  <c r="AL45" i="87"/>
  <c r="T55" i="110" l="1"/>
  <c r="F48" i="106"/>
  <c r="F55" i="110" s="1"/>
  <c r="V108" i="28"/>
  <c r="G48" i="106" s="1"/>
  <c r="V94" i="28"/>
  <c r="V122" i="28"/>
  <c r="F62" i="106"/>
  <c r="T69" i="110"/>
  <c r="F34" i="106"/>
  <c r="T41" i="110"/>
  <c r="AB30" i="110"/>
  <c r="Y54" i="28"/>
  <c r="I54" i="28" s="1"/>
  <c r="Y53" i="28"/>
  <c r="I53" i="28" s="1"/>
  <c r="AO36" i="87"/>
  <c r="AR34" i="28"/>
  <c r="AO34" i="89"/>
  <c r="AO32" i="89"/>
  <c r="AO30" i="91"/>
  <c r="AO33" i="87"/>
  <c r="AR38" i="28"/>
  <c r="V39" i="89"/>
  <c r="V35" i="89"/>
  <c r="V32" i="89"/>
  <c r="AR32" i="89" s="1"/>
  <c r="V36" i="89"/>
  <c r="AR36" i="89" s="1"/>
  <c r="V31" i="89"/>
  <c r="AR31" i="89" s="1"/>
  <c r="V37" i="89"/>
  <c r="AR37" i="89" s="1"/>
  <c r="V33" i="89"/>
  <c r="AR33" i="89" s="1"/>
  <c r="V30" i="89"/>
  <c r="AR30" i="89" s="1"/>
  <c r="V38" i="89"/>
  <c r="AR38" i="89" s="1"/>
  <c r="V34" i="89"/>
  <c r="AR34" i="89" s="1"/>
  <c r="AO31" i="89"/>
  <c r="AO39" i="87"/>
  <c r="V37" i="91"/>
  <c r="AR37" i="91" s="1"/>
  <c r="V33" i="91"/>
  <c r="AR33" i="91" s="1"/>
  <c r="V30" i="91"/>
  <c r="AR30" i="91" s="1"/>
  <c r="V34" i="91"/>
  <c r="V38" i="91"/>
  <c r="V31" i="91"/>
  <c r="AR31" i="91" s="1"/>
  <c r="V39" i="91"/>
  <c r="V35" i="91"/>
  <c r="V36" i="91"/>
  <c r="V32" i="91"/>
  <c r="AR32" i="91" s="1"/>
  <c r="AO33" i="89"/>
  <c r="AO37" i="91"/>
  <c r="AO31" i="87"/>
  <c r="AR33" i="28"/>
  <c r="V39" i="93"/>
  <c r="V35" i="93"/>
  <c r="V32" i="93"/>
  <c r="AR32" i="93" s="1"/>
  <c r="V36" i="93"/>
  <c r="AR36" i="93" s="1"/>
  <c r="V30" i="93"/>
  <c r="AR30" i="93" s="1"/>
  <c r="V37" i="93"/>
  <c r="AR37" i="93" s="1"/>
  <c r="V33" i="93"/>
  <c r="AR33" i="93" s="1"/>
  <c r="V31" i="93"/>
  <c r="V38" i="93"/>
  <c r="V34" i="93"/>
  <c r="AR34" i="93" s="1"/>
  <c r="AO31" i="91"/>
  <c r="AO30" i="87"/>
  <c r="AR36" i="28"/>
  <c r="AR37" i="28"/>
  <c r="W36" i="89"/>
  <c r="AU36" i="89" s="1"/>
  <c r="W32" i="89"/>
  <c r="AU32" i="89" s="1"/>
  <c r="W39" i="89"/>
  <c r="AU39" i="89" s="1"/>
  <c r="W35" i="89"/>
  <c r="AU35" i="89" s="1"/>
  <c r="W37" i="89"/>
  <c r="AU37" i="89" s="1"/>
  <c r="W33" i="89"/>
  <c r="AU33" i="89" s="1"/>
  <c r="W30" i="89"/>
  <c r="AU30" i="89" s="1"/>
  <c r="W38" i="89"/>
  <c r="AU38" i="89" s="1"/>
  <c r="W34" i="89"/>
  <c r="AU34" i="89" s="1"/>
  <c r="W31" i="89"/>
  <c r="AU31" i="89" s="1"/>
  <c r="AO30" i="89"/>
  <c r="AO34" i="87"/>
  <c r="AR30" i="28"/>
  <c r="W38" i="28"/>
  <c r="AU38" i="28" s="1"/>
  <c r="W34" i="28"/>
  <c r="AU34" i="28" s="1"/>
  <c r="W33" i="28"/>
  <c r="AU33" i="28" s="1"/>
  <c r="W39" i="28"/>
  <c r="AU39" i="28" s="1"/>
  <c r="W35" i="28"/>
  <c r="AU35" i="28" s="1"/>
  <c r="W37" i="28"/>
  <c r="AU37" i="28" s="1"/>
  <c r="W30" i="28"/>
  <c r="AU30" i="28" s="1"/>
  <c r="W36" i="28"/>
  <c r="AU36" i="28" s="1"/>
  <c r="W32" i="28"/>
  <c r="AU32" i="28" s="1"/>
  <c r="W31" i="28"/>
  <c r="AO32" i="91"/>
  <c r="AO38" i="87"/>
  <c r="AR35" i="28"/>
  <c r="V37" i="87"/>
  <c r="AR37" i="87" s="1"/>
  <c r="V33" i="87"/>
  <c r="AR33" i="87" s="1"/>
  <c r="V38" i="87"/>
  <c r="AR38" i="87" s="1"/>
  <c r="V34" i="87"/>
  <c r="AR34" i="87" s="1"/>
  <c r="V30" i="87"/>
  <c r="AR30" i="87" s="1"/>
  <c r="V39" i="87"/>
  <c r="AR39" i="87" s="1"/>
  <c r="V35" i="87"/>
  <c r="AR35" i="87" s="1"/>
  <c r="V31" i="87"/>
  <c r="AR31" i="87" s="1"/>
  <c r="V36" i="87"/>
  <c r="AR36" i="87" s="1"/>
  <c r="V32" i="87"/>
  <c r="AR32" i="87" s="1"/>
  <c r="AO32" i="87"/>
  <c r="AR39" i="28"/>
  <c r="K65" i="106"/>
  <c r="K72" i="110" s="1"/>
  <c r="Y72" i="110"/>
  <c r="D16" i="110"/>
  <c r="T16" i="110"/>
  <c r="F9" i="106"/>
  <c r="F16" i="110" s="1"/>
  <c r="N23" i="106"/>
  <c r="D30" i="110"/>
  <c r="N30" i="110" s="1"/>
  <c r="H9" i="106"/>
  <c r="H16" i="110" s="1"/>
  <c r="V16" i="110"/>
  <c r="D58" i="110"/>
  <c r="J51" i="106"/>
  <c r="J58" i="110" s="1"/>
  <c r="X58" i="110"/>
  <c r="AB58" i="110" s="1"/>
  <c r="U16" i="110"/>
  <c r="G9" i="106"/>
  <c r="G16" i="110" s="1"/>
  <c r="D72" i="110"/>
  <c r="J9" i="106"/>
  <c r="J16" i="110" s="1"/>
  <c r="X16" i="110"/>
  <c r="T72" i="110"/>
  <c r="F65" i="106"/>
  <c r="F72" i="110" s="1"/>
  <c r="E9" i="106"/>
  <c r="E16" i="110" s="1"/>
  <c r="S16" i="110"/>
  <c r="R56" i="110"/>
  <c r="D49" i="106"/>
  <c r="AG13" i="110"/>
  <c r="T56" i="110"/>
  <c r="F49" i="106"/>
  <c r="F56" i="110" s="1"/>
  <c r="R70" i="110"/>
  <c r="D63" i="106"/>
  <c r="S110" i="87"/>
  <c r="AF57" i="110" s="1"/>
  <c r="AF56" i="110"/>
  <c r="R13" i="110"/>
  <c r="D6" i="106"/>
  <c r="D13" i="110" s="1"/>
  <c r="S71" i="110"/>
  <c r="E64" i="106"/>
  <c r="E71" i="110" s="1"/>
  <c r="T13" i="110"/>
  <c r="T70" i="110"/>
  <c r="F63" i="106"/>
  <c r="F70" i="110" s="1"/>
  <c r="S28" i="110"/>
  <c r="E21" i="106"/>
  <c r="E28" i="110" s="1"/>
  <c r="R42" i="110"/>
  <c r="D35" i="106"/>
  <c r="S57" i="110"/>
  <c r="E50" i="106"/>
  <c r="E57" i="110" s="1"/>
  <c r="T27" i="110"/>
  <c r="S43" i="110"/>
  <c r="E36" i="106"/>
  <c r="E43" i="110" s="1"/>
  <c r="T14" i="110"/>
  <c r="T28" i="110"/>
  <c r="AG27" i="110"/>
  <c r="E20" i="106"/>
  <c r="E27" i="110" s="1"/>
  <c r="D27" i="110"/>
  <c r="R28" i="110"/>
  <c r="D21" i="106"/>
  <c r="F35" i="106"/>
  <c r="F42" i="110" s="1"/>
  <c r="T42" i="110"/>
  <c r="BJ60" i="110"/>
  <c r="BJ59" i="110"/>
  <c r="U40" i="91"/>
  <c r="U80" i="91"/>
  <c r="BJ27" i="110" s="1"/>
  <c r="AO20" i="89"/>
  <c r="U40" i="89"/>
  <c r="U80" i="89"/>
  <c r="AV27" i="110" s="1"/>
  <c r="U80" i="93"/>
  <c r="BX27" i="110" s="1"/>
  <c r="U40" i="93"/>
  <c r="U64" i="93" s="1"/>
  <c r="BX13" i="110" s="1"/>
  <c r="U40" i="87"/>
  <c r="U64" i="87" s="1"/>
  <c r="AH13" i="110" s="1"/>
  <c r="U80" i="87"/>
  <c r="AH27" i="110" s="1"/>
  <c r="V40" i="28"/>
  <c r="V64" i="28" s="1"/>
  <c r="V80" i="28"/>
  <c r="G42" i="89"/>
  <c r="V43" i="89"/>
  <c r="AR43" i="89" s="1"/>
  <c r="V50" i="89"/>
  <c r="AR50" i="89" s="1"/>
  <c r="V46" i="89"/>
  <c r="AR46" i="89" s="1"/>
  <c r="V22" i="89"/>
  <c r="AR22" i="89" s="1"/>
  <c r="V44" i="89"/>
  <c r="AR44" i="89" s="1"/>
  <c r="V25" i="89"/>
  <c r="AR25" i="89" s="1"/>
  <c r="V48" i="89"/>
  <c r="AR48" i="89" s="1"/>
  <c r="V28" i="89"/>
  <c r="AR28" i="89" s="1"/>
  <c r="V52" i="89"/>
  <c r="AR52" i="89" s="1"/>
  <c r="V23" i="89"/>
  <c r="AR23" i="89" s="1"/>
  <c r="V26" i="89"/>
  <c r="AR26" i="89" s="1"/>
  <c r="V47" i="89"/>
  <c r="AR47" i="89" s="1"/>
  <c r="V45" i="89"/>
  <c r="AR45" i="89" s="1"/>
  <c r="V29" i="89"/>
  <c r="AR29" i="89" s="1"/>
  <c r="V51" i="89"/>
  <c r="AR51" i="89" s="1"/>
  <c r="V49" i="89"/>
  <c r="AR49" i="89" s="1"/>
  <c r="V24" i="89"/>
  <c r="AR24" i="89" s="1"/>
  <c r="V20" i="89"/>
  <c r="AR20" i="89" s="1"/>
  <c r="V27" i="89"/>
  <c r="AR27" i="89" s="1"/>
  <c r="V21" i="89"/>
  <c r="AR21" i="89" s="1"/>
  <c r="V51" i="91"/>
  <c r="AR51" i="91" s="1"/>
  <c r="V47" i="91"/>
  <c r="V43" i="91"/>
  <c r="V49" i="91"/>
  <c r="AR49" i="91" s="1"/>
  <c r="V23" i="91"/>
  <c r="AR23" i="91" s="1"/>
  <c r="V26" i="91"/>
  <c r="AR26" i="91" s="1"/>
  <c r="V44" i="91"/>
  <c r="V29" i="91"/>
  <c r="AR29" i="91" s="1"/>
  <c r="V50" i="91"/>
  <c r="V27" i="91"/>
  <c r="V48" i="91"/>
  <c r="AR48" i="91" s="1"/>
  <c r="V46" i="91"/>
  <c r="AR46" i="91" s="1"/>
  <c r="V24" i="91"/>
  <c r="AR24" i="91" s="1"/>
  <c r="V52" i="91"/>
  <c r="V25" i="91"/>
  <c r="AR25" i="91" s="1"/>
  <c r="V45" i="91"/>
  <c r="AR45" i="91" s="1"/>
  <c r="V28" i="91"/>
  <c r="AR28" i="91" s="1"/>
  <c r="V20" i="91"/>
  <c r="V22" i="91"/>
  <c r="AR22" i="91" s="1"/>
  <c r="V21" i="91"/>
  <c r="V52" i="93"/>
  <c r="V48" i="93"/>
  <c r="V44" i="93"/>
  <c r="AR44" i="93" s="1"/>
  <c r="V45" i="93"/>
  <c r="AR45" i="93" s="1"/>
  <c r="V20" i="93"/>
  <c r="V49" i="93"/>
  <c r="AR49" i="93" s="1"/>
  <c r="V47" i="93"/>
  <c r="AR47" i="93" s="1"/>
  <c r="V51" i="93"/>
  <c r="AR51" i="93" s="1"/>
  <c r="V43" i="93"/>
  <c r="V46" i="93"/>
  <c r="V50" i="93"/>
  <c r="AR50" i="93" s="1"/>
  <c r="V27" i="93"/>
  <c r="AR27" i="93" s="1"/>
  <c r="V26" i="93"/>
  <c r="AR26" i="93" s="1"/>
  <c r="V25" i="93"/>
  <c r="AR25" i="93" s="1"/>
  <c r="V23" i="93"/>
  <c r="AR23" i="93" s="1"/>
  <c r="V24" i="93"/>
  <c r="AR24" i="93" s="1"/>
  <c r="V22" i="93"/>
  <c r="AR22" i="93" s="1"/>
  <c r="V29" i="93"/>
  <c r="AR29" i="93" s="1"/>
  <c r="V21" i="93"/>
  <c r="AR21" i="93" s="1"/>
  <c r="V28" i="93"/>
  <c r="AR28" i="93" s="1"/>
  <c r="W52" i="28"/>
  <c r="W48" i="28"/>
  <c r="W44" i="28"/>
  <c r="W50" i="28"/>
  <c r="W46" i="28"/>
  <c r="AU46" i="28" s="1"/>
  <c r="W43" i="28"/>
  <c r="W47" i="28"/>
  <c r="AU47" i="28" s="1"/>
  <c r="W45" i="28"/>
  <c r="W28" i="28"/>
  <c r="W51" i="28"/>
  <c r="W49" i="28"/>
  <c r="AU49" i="28" s="1"/>
  <c r="W29" i="28"/>
  <c r="W25" i="28"/>
  <c r="W27" i="28"/>
  <c r="W23" i="28"/>
  <c r="W26" i="28"/>
  <c r="W22" i="28"/>
  <c r="AU22" i="28" s="1"/>
  <c r="W20" i="28"/>
  <c r="W21" i="28"/>
  <c r="W24" i="28"/>
  <c r="V49" i="87"/>
  <c r="V45" i="87"/>
  <c r="V43" i="87"/>
  <c r="V28" i="87"/>
  <c r="AR28" i="87" s="1"/>
  <c r="V52" i="87"/>
  <c r="V44" i="87"/>
  <c r="V26" i="87"/>
  <c r="V21" i="87"/>
  <c r="V24" i="87"/>
  <c r="V46" i="87"/>
  <c r="AR46" i="87" s="1"/>
  <c r="V48" i="87"/>
  <c r="V25" i="87"/>
  <c r="V51" i="87"/>
  <c r="V22" i="87"/>
  <c r="V29" i="87"/>
  <c r="V27" i="87"/>
  <c r="V50" i="87"/>
  <c r="V23" i="87"/>
  <c r="AR23" i="87" s="1"/>
  <c r="V47" i="87"/>
  <c r="AR47" i="87" s="1"/>
  <c r="V20" i="87"/>
  <c r="W49" i="89"/>
  <c r="AU49" i="89" s="1"/>
  <c r="W45" i="89"/>
  <c r="AU45" i="89" s="1"/>
  <c r="W43" i="89"/>
  <c r="W51" i="89"/>
  <c r="AU51" i="89" s="1"/>
  <c r="W47" i="89"/>
  <c r="AU47" i="89" s="1"/>
  <c r="W52" i="89"/>
  <c r="AU52" i="89" s="1"/>
  <c r="W44" i="89"/>
  <c r="AU44" i="89" s="1"/>
  <c r="W25" i="89"/>
  <c r="AU25" i="89" s="1"/>
  <c r="W28" i="89"/>
  <c r="AU28" i="89" s="1"/>
  <c r="W48" i="89"/>
  <c r="AU48" i="89" s="1"/>
  <c r="W46" i="89"/>
  <c r="W50" i="89"/>
  <c r="AU50" i="89" s="1"/>
  <c r="W23" i="89"/>
  <c r="AU23" i="89" s="1"/>
  <c r="W21" i="89"/>
  <c r="AU21" i="89" s="1"/>
  <c r="W26" i="89"/>
  <c r="AU26" i="89" s="1"/>
  <c r="W29" i="89"/>
  <c r="AU29" i="89" s="1"/>
  <c r="W27" i="89"/>
  <c r="AU27" i="89" s="1"/>
  <c r="W20" i="89"/>
  <c r="W22" i="89"/>
  <c r="W24" i="89"/>
  <c r="AU24" i="89" s="1"/>
  <c r="S110" i="93"/>
  <c r="BV57" i="110" s="1"/>
  <c r="S82" i="93"/>
  <c r="BV29" i="110" s="1"/>
  <c r="V112" i="89"/>
  <c r="V113" i="89" s="1"/>
  <c r="T112" i="93"/>
  <c r="T113" i="93" s="1"/>
  <c r="U112" i="93"/>
  <c r="U113" i="93" s="1"/>
  <c r="C56" i="91"/>
  <c r="AI53" i="91"/>
  <c r="S110" i="91"/>
  <c r="BH57" i="110" s="1"/>
  <c r="S82" i="91"/>
  <c r="BH29" i="110" s="1"/>
  <c r="U112" i="89"/>
  <c r="U113" i="89" s="1"/>
  <c r="S82" i="89"/>
  <c r="AT29" i="110" s="1"/>
  <c r="W112" i="89"/>
  <c r="W113" i="89" s="1"/>
  <c r="S110" i="89"/>
  <c r="AT57" i="110" s="1"/>
  <c r="S82" i="87"/>
  <c r="AF29" i="110" s="1"/>
  <c r="S110" i="28"/>
  <c r="T112" i="91"/>
  <c r="T113" i="91" s="1"/>
  <c r="AC125" i="28"/>
  <c r="R125" i="28" s="1"/>
  <c r="U124" i="28"/>
  <c r="T112" i="89"/>
  <c r="T113" i="89" s="1"/>
  <c r="V112" i="91"/>
  <c r="V113" i="91" s="1"/>
  <c r="V112" i="87"/>
  <c r="V113" i="87" s="1"/>
  <c r="T112" i="87"/>
  <c r="T113" i="87" s="1"/>
  <c r="U112" i="87"/>
  <c r="U113" i="87" s="1"/>
  <c r="S124" i="28"/>
  <c r="AC111" i="28"/>
  <c r="R111" i="28" s="1"/>
  <c r="D25" i="104"/>
  <c r="M75" i="28"/>
  <c r="R67" i="93"/>
  <c r="R67" i="91"/>
  <c r="U52" i="46"/>
  <c r="K52" i="46"/>
  <c r="U59" i="46"/>
  <c r="K59" i="46"/>
  <c r="U51" i="46"/>
  <c r="K51" i="46"/>
  <c r="W17" i="46"/>
  <c r="V17" i="46"/>
  <c r="L38" i="46"/>
  <c r="W38" i="46" s="1"/>
  <c r="V38" i="46"/>
  <c r="U48" i="46"/>
  <c r="K48" i="46"/>
  <c r="W42" i="89"/>
  <c r="H19" i="89"/>
  <c r="X19" i="89" s="1"/>
  <c r="G61" i="89"/>
  <c r="V112" i="93"/>
  <c r="V113" i="93" s="1"/>
  <c r="W110" i="93"/>
  <c r="BZ57" i="110" s="1"/>
  <c r="AC97" i="28"/>
  <c r="R97" i="28" s="1"/>
  <c r="T98" i="87"/>
  <c r="T99" i="87" s="1"/>
  <c r="W112" i="87"/>
  <c r="W113" i="87" s="1"/>
  <c r="AO27" i="87"/>
  <c r="T64" i="93"/>
  <c r="BW13" i="110" s="1"/>
  <c r="AO50" i="89"/>
  <c r="AO23" i="87"/>
  <c r="AO47" i="87"/>
  <c r="T98" i="28"/>
  <c r="T99" i="28" s="1"/>
  <c r="AO48" i="89"/>
  <c r="AO29" i="89"/>
  <c r="AR44" i="28"/>
  <c r="AO48" i="87"/>
  <c r="AO43" i="89"/>
  <c r="T126" i="28"/>
  <c r="T127" i="28" s="1"/>
  <c r="U110" i="28"/>
  <c r="T112" i="28"/>
  <c r="AH56" i="87"/>
  <c r="AI56" i="87" s="1"/>
  <c r="AR23" i="28"/>
  <c r="V123" i="28"/>
  <c r="V109" i="28"/>
  <c r="X110" i="87"/>
  <c r="AK57" i="110" s="1"/>
  <c r="AC67" i="28"/>
  <c r="AK53" i="28"/>
  <c r="AL53" i="28" s="1"/>
  <c r="AK53" i="91"/>
  <c r="AL53" i="91" s="1"/>
  <c r="AK53" i="93"/>
  <c r="AL53" i="93" s="1"/>
  <c r="AK53" i="87"/>
  <c r="AL53" i="87" s="1"/>
  <c r="AK53" i="89"/>
  <c r="AL53" i="89" s="1"/>
  <c r="W63" i="93"/>
  <c r="V79" i="93"/>
  <c r="V93" i="93" s="1"/>
  <c r="V107" i="93" s="1"/>
  <c r="V121" i="93" s="1"/>
  <c r="AX55" i="91"/>
  <c r="X109" i="91"/>
  <c r="BM56" i="110" s="1"/>
  <c r="W63" i="89"/>
  <c r="V79" i="89"/>
  <c r="V93" i="89" s="1"/>
  <c r="V107" i="89" s="1"/>
  <c r="V121" i="89" s="1"/>
  <c r="AX55" i="93"/>
  <c r="X109" i="93"/>
  <c r="CA56" i="110" s="1"/>
  <c r="V63" i="87"/>
  <c r="U79" i="87"/>
  <c r="U93" i="87" s="1"/>
  <c r="U107" i="87" s="1"/>
  <c r="U121" i="87" s="1"/>
  <c r="AX55" i="89"/>
  <c r="X109" i="89"/>
  <c r="AY56" i="110" s="1"/>
  <c r="W63" i="91"/>
  <c r="V79" i="91"/>
  <c r="V93" i="91" s="1"/>
  <c r="V107" i="91" s="1"/>
  <c r="V121" i="91" s="1"/>
  <c r="AX55" i="28"/>
  <c r="W63" i="28"/>
  <c r="V79" i="28"/>
  <c r="V93" i="28" s="1"/>
  <c r="V107" i="28" s="1"/>
  <c r="V121" i="28" s="1"/>
  <c r="W110" i="91"/>
  <c r="BL57" i="110" s="1"/>
  <c r="S98" i="87"/>
  <c r="S99" i="87" s="1"/>
  <c r="AO21" i="87"/>
  <c r="S88" i="87"/>
  <c r="AF35" i="110" s="1"/>
  <c r="D27" i="104"/>
  <c r="U81" i="89"/>
  <c r="AV28" i="110" s="1"/>
  <c r="U56" i="89"/>
  <c r="U65" i="89" s="1"/>
  <c r="AV14" i="110" s="1"/>
  <c r="U81" i="87"/>
  <c r="AH28" i="110" s="1"/>
  <c r="U81" i="93"/>
  <c r="BX28" i="110" s="1"/>
  <c r="C56" i="28"/>
  <c r="E56" i="28"/>
  <c r="T82" i="91"/>
  <c r="BI29" i="110" s="1"/>
  <c r="U96" i="28"/>
  <c r="T82" i="28"/>
  <c r="T82" i="89"/>
  <c r="AU29" i="110" s="1"/>
  <c r="T82" i="87"/>
  <c r="AG29" i="110" s="1"/>
  <c r="V81" i="28"/>
  <c r="U81" i="91"/>
  <c r="BJ28" i="110" s="1"/>
  <c r="T82" i="93"/>
  <c r="BW29" i="110" s="1"/>
  <c r="U82" i="28"/>
  <c r="AR21" i="28"/>
  <c r="AX55" i="87"/>
  <c r="AN56" i="28"/>
  <c r="AO56" i="28" s="1"/>
  <c r="V95" i="28"/>
  <c r="F56" i="28"/>
  <c r="AQ56" i="28"/>
  <c r="AT53" i="28"/>
  <c r="AT54" i="28"/>
  <c r="AU54" i="28" s="1"/>
  <c r="S96" i="28"/>
  <c r="S82" i="28"/>
  <c r="U66" i="28"/>
  <c r="T65" i="93"/>
  <c r="BW14" i="110" s="1"/>
  <c r="T66" i="87"/>
  <c r="AG15" i="110" s="1"/>
  <c r="T64" i="89"/>
  <c r="AU13" i="110" s="1"/>
  <c r="T65" i="91"/>
  <c r="BI14" i="110" s="1"/>
  <c r="T65" i="28"/>
  <c r="S65" i="93"/>
  <c r="BV14" i="110" s="1"/>
  <c r="S65" i="89"/>
  <c r="AT14" i="110" s="1"/>
  <c r="S65" i="91"/>
  <c r="BH14" i="110" s="1"/>
  <c r="S65" i="28"/>
  <c r="S65" i="87"/>
  <c r="AF14" i="110" s="1"/>
  <c r="D56" i="87"/>
  <c r="AQ56" i="89"/>
  <c r="AN56" i="93"/>
  <c r="AN56" i="91"/>
  <c r="D56" i="91"/>
  <c r="G56" i="93"/>
  <c r="F56" i="89"/>
  <c r="D56" i="93"/>
  <c r="F56" i="87"/>
  <c r="AT56" i="93"/>
  <c r="AU53" i="93"/>
  <c r="D56" i="89"/>
  <c r="E56" i="91"/>
  <c r="G56" i="91"/>
  <c r="E56" i="87"/>
  <c r="AO53" i="87"/>
  <c r="AN56" i="87"/>
  <c r="AQ53" i="91"/>
  <c r="AQ56" i="91" s="1"/>
  <c r="AT53" i="91"/>
  <c r="F56" i="91"/>
  <c r="AT53" i="89"/>
  <c r="AK54" i="87"/>
  <c r="AL54" i="87" s="1"/>
  <c r="G56" i="89"/>
  <c r="AK54" i="89"/>
  <c r="E56" i="93"/>
  <c r="AR53" i="89"/>
  <c r="AQ56" i="93"/>
  <c r="AK54" i="93"/>
  <c r="AL54" i="93" s="1"/>
  <c r="F56" i="93"/>
  <c r="AK54" i="91"/>
  <c r="AL54" i="91" s="1"/>
  <c r="E56" i="89"/>
  <c r="T59" i="46"/>
  <c r="T11" i="46"/>
  <c r="S20" i="46"/>
  <c r="AW54" i="87"/>
  <c r="AW54" i="91"/>
  <c r="AW54" i="89"/>
  <c r="AW54" i="93"/>
  <c r="AL40" i="89"/>
  <c r="AI56" i="91"/>
  <c r="AR53" i="93"/>
  <c r="AU53" i="87"/>
  <c r="AO53" i="91"/>
  <c r="S6" i="46"/>
  <c r="J50" i="46"/>
  <c r="T50" i="46"/>
  <c r="C56" i="87"/>
  <c r="AI53" i="87"/>
  <c r="AQ56" i="87"/>
  <c r="AN56" i="89"/>
  <c r="AR26" i="28"/>
  <c r="C56" i="93"/>
  <c r="AH53" i="93"/>
  <c r="AO53" i="28"/>
  <c r="AH53" i="28"/>
  <c r="AH56" i="28" s="1"/>
  <c r="AI56" i="28" s="1"/>
  <c r="D56" i="28"/>
  <c r="AR25" i="28"/>
  <c r="AR20" i="28"/>
  <c r="AH53" i="89"/>
  <c r="C56" i="89"/>
  <c r="AO43" i="93"/>
  <c r="U56" i="93"/>
  <c r="AQ19" i="93"/>
  <c r="AQ42" i="93" s="1"/>
  <c r="G61" i="93"/>
  <c r="G42" i="93"/>
  <c r="H19" i="93"/>
  <c r="W42" i="93"/>
  <c r="W19" i="93"/>
  <c r="AO20" i="93"/>
  <c r="AL40" i="93"/>
  <c r="T7" i="46"/>
  <c r="AT19" i="89"/>
  <c r="AT42" i="89" s="1"/>
  <c r="T26" i="46"/>
  <c r="T27" i="46"/>
  <c r="T23" i="46"/>
  <c r="J47" i="46"/>
  <c r="T47" i="46"/>
  <c r="J54" i="46"/>
  <c r="T54" i="46"/>
  <c r="T29" i="46"/>
  <c r="T28" i="46"/>
  <c r="T45" i="46"/>
  <c r="J45" i="46"/>
  <c r="T21" i="46"/>
  <c r="T44" i="46"/>
  <c r="J44" i="46"/>
  <c r="T25" i="46"/>
  <c r="J49" i="46"/>
  <c r="T49" i="46"/>
  <c r="T30" i="46"/>
  <c r="T14" i="46"/>
  <c r="J58" i="46"/>
  <c r="T58" i="46"/>
  <c r="T24" i="46"/>
  <c r="T22" i="46"/>
  <c r="T53" i="46"/>
  <c r="J53" i="46"/>
  <c r="J61" i="46"/>
  <c r="T61" i="46"/>
  <c r="T60" i="46"/>
  <c r="J60" i="46"/>
  <c r="J57" i="46"/>
  <c r="J34" i="46"/>
  <c r="T34" i="46"/>
  <c r="J36" i="46"/>
  <c r="T36" i="46"/>
  <c r="J42" i="46"/>
  <c r="T42" i="46"/>
  <c r="J41" i="46"/>
  <c r="T41" i="46"/>
  <c r="J35" i="46"/>
  <c r="T35" i="46"/>
  <c r="J43" i="46"/>
  <c r="T43" i="46"/>
  <c r="Y55" i="87"/>
  <c r="Y109" i="87" s="1"/>
  <c r="AL56" i="110" s="1"/>
  <c r="Y55" i="28"/>
  <c r="T39" i="46"/>
  <c r="J39" i="46"/>
  <c r="K39" i="46" s="1"/>
  <c r="Y55" i="91"/>
  <c r="Y55" i="89"/>
  <c r="Y55" i="93"/>
  <c r="T13" i="46"/>
  <c r="S16" i="46"/>
  <c r="S18" i="46"/>
  <c r="T15" i="46"/>
  <c r="T12" i="46"/>
  <c r="S8" i="46"/>
  <c r="AL40" i="91"/>
  <c r="AO28" i="91"/>
  <c r="AL40" i="87"/>
  <c r="AO46" i="91"/>
  <c r="AO47" i="91"/>
  <c r="AR22" i="28"/>
  <c r="H19" i="91"/>
  <c r="W19" i="91"/>
  <c r="G42" i="91"/>
  <c r="G61" i="91"/>
  <c r="W42" i="91"/>
  <c r="X42" i="28"/>
  <c r="H42" i="28"/>
  <c r="X19" i="28"/>
  <c r="I19" i="28"/>
  <c r="H61" i="28"/>
  <c r="J3" i="46"/>
  <c r="K3" i="46" s="1"/>
  <c r="T3" i="46"/>
  <c r="AO40" i="28"/>
  <c r="AO43" i="87"/>
  <c r="U56" i="87"/>
  <c r="G61" i="87"/>
  <c r="H19" i="87"/>
  <c r="W42" i="87"/>
  <c r="W19" i="87"/>
  <c r="G42" i="87"/>
  <c r="AO49" i="91"/>
  <c r="AO22" i="91"/>
  <c r="AO20" i="91"/>
  <c r="AR43" i="28"/>
  <c r="V56" i="28"/>
  <c r="V65" i="28" s="1"/>
  <c r="AQ19" i="91"/>
  <c r="AQ42" i="91" s="1"/>
  <c r="AQ19" i="87"/>
  <c r="AQ42" i="87" s="1"/>
  <c r="AO48" i="91"/>
  <c r="AO23" i="91"/>
  <c r="AO29" i="91"/>
  <c r="AO20" i="87"/>
  <c r="AO51" i="91"/>
  <c r="AT19" i="28"/>
  <c r="AT42" i="28" s="1"/>
  <c r="AO43" i="91"/>
  <c r="U56" i="91"/>
  <c r="U65" i="91" s="1"/>
  <c r="BJ14" i="110" s="1"/>
  <c r="AO25" i="91"/>
  <c r="U55" i="110" l="1"/>
  <c r="T113" i="28"/>
  <c r="AC2" i="107"/>
  <c r="S112" i="87"/>
  <c r="S113" i="87" s="1"/>
  <c r="AF60" i="110" s="1"/>
  <c r="AM2" i="107"/>
  <c r="W108" i="28"/>
  <c r="W122" i="28"/>
  <c r="W94" i="28"/>
  <c r="G62" i="106"/>
  <c r="G69" i="110" s="1"/>
  <c r="U69" i="110"/>
  <c r="G34" i="106"/>
  <c r="G41" i="110" s="1"/>
  <c r="U41" i="110"/>
  <c r="F41" i="110"/>
  <c r="F69" i="110"/>
  <c r="Z54" i="28"/>
  <c r="J54" i="28" s="1"/>
  <c r="Z53" i="28"/>
  <c r="J53" i="28" s="1"/>
  <c r="AB72" i="110"/>
  <c r="X36" i="89"/>
  <c r="AX36" i="89" s="1"/>
  <c r="X32" i="89"/>
  <c r="AX32" i="89" s="1"/>
  <c r="X33" i="89"/>
  <c r="AX33" i="89" s="1"/>
  <c r="X37" i="89"/>
  <c r="X30" i="89"/>
  <c r="AX30" i="89" s="1"/>
  <c r="X38" i="89"/>
  <c r="X34" i="89"/>
  <c r="AX34" i="89" s="1"/>
  <c r="X31" i="89"/>
  <c r="AX31" i="89" s="1"/>
  <c r="X39" i="89"/>
  <c r="AX39" i="89" s="1"/>
  <c r="X35" i="89"/>
  <c r="AX35" i="89" s="1"/>
  <c r="AR31" i="93"/>
  <c r="AR39" i="89"/>
  <c r="W31" i="87"/>
  <c r="AU31" i="87" s="1"/>
  <c r="W38" i="87"/>
  <c r="AU38" i="87" s="1"/>
  <c r="W34" i="87"/>
  <c r="AU34" i="87" s="1"/>
  <c r="W30" i="87"/>
  <c r="AU30" i="87" s="1"/>
  <c r="W39" i="87"/>
  <c r="AU39" i="87" s="1"/>
  <c r="W35" i="87"/>
  <c r="AU35" i="87" s="1"/>
  <c r="W33" i="87"/>
  <c r="AU33" i="87" s="1"/>
  <c r="W36" i="87"/>
  <c r="AU36" i="87" s="1"/>
  <c r="W32" i="87"/>
  <c r="AU32" i="87" s="1"/>
  <c r="W37" i="87"/>
  <c r="AR36" i="91"/>
  <c r="W38" i="91"/>
  <c r="AU38" i="91" s="1"/>
  <c r="W34" i="91"/>
  <c r="AU34" i="91" s="1"/>
  <c r="W31" i="91"/>
  <c r="W37" i="91"/>
  <c r="W33" i="91"/>
  <c r="AU33" i="91" s="1"/>
  <c r="W39" i="91"/>
  <c r="AU39" i="91" s="1"/>
  <c r="W35" i="91"/>
  <c r="AU35" i="91" s="1"/>
  <c r="W36" i="91"/>
  <c r="AU36" i="91" s="1"/>
  <c r="W32" i="91"/>
  <c r="W30" i="91"/>
  <c r="AU30" i="91" s="1"/>
  <c r="AR35" i="91"/>
  <c r="W33" i="93"/>
  <c r="AU33" i="93" s="1"/>
  <c r="W36" i="93"/>
  <c r="W32" i="93"/>
  <c r="W30" i="93"/>
  <c r="W37" i="93"/>
  <c r="W39" i="93"/>
  <c r="AU39" i="93" s="1"/>
  <c r="W35" i="93"/>
  <c r="AU35" i="93" s="1"/>
  <c r="W31" i="93"/>
  <c r="AU31" i="93" s="1"/>
  <c r="W38" i="93"/>
  <c r="AU38" i="93" s="1"/>
  <c r="W34" i="93"/>
  <c r="AU34" i="93" s="1"/>
  <c r="AU31" i="28"/>
  <c r="AR39" i="91"/>
  <c r="X38" i="28"/>
  <c r="AX38" i="28" s="1"/>
  <c r="X34" i="28"/>
  <c r="AX34" i="28" s="1"/>
  <c r="X35" i="28"/>
  <c r="AX35" i="28" s="1"/>
  <c r="X39" i="28"/>
  <c r="AX39" i="28" s="1"/>
  <c r="X36" i="28"/>
  <c r="AX36" i="28" s="1"/>
  <c r="X32" i="28"/>
  <c r="AX32" i="28" s="1"/>
  <c r="X30" i="28"/>
  <c r="AX30" i="28" s="1"/>
  <c r="X31" i="28"/>
  <c r="AX31" i="28" s="1"/>
  <c r="X37" i="28"/>
  <c r="AX37" i="28" s="1"/>
  <c r="X33" i="28"/>
  <c r="AX33" i="28" s="1"/>
  <c r="AR35" i="93"/>
  <c r="AR38" i="91"/>
  <c r="AR38" i="93"/>
  <c r="AR39" i="93"/>
  <c r="AR34" i="91"/>
  <c r="AR35" i="89"/>
  <c r="AB16" i="110"/>
  <c r="N51" i="106"/>
  <c r="N72" i="110"/>
  <c r="N58" i="110"/>
  <c r="N9" i="106"/>
  <c r="C11" i="112" s="1"/>
  <c r="N65" i="106"/>
  <c r="AF46" i="110"/>
  <c r="AF45" i="110"/>
  <c r="S73" i="110"/>
  <c r="E66" i="106"/>
  <c r="E73" i="110" s="1"/>
  <c r="R71" i="110"/>
  <c r="D64" i="106"/>
  <c r="U13" i="110"/>
  <c r="T57" i="110"/>
  <c r="F50" i="106"/>
  <c r="F57" i="110" s="1"/>
  <c r="G55" i="110"/>
  <c r="U28" i="110"/>
  <c r="BY60" i="110"/>
  <c r="BY59" i="110"/>
  <c r="AH60" i="110"/>
  <c r="AH59" i="110"/>
  <c r="BI60" i="110"/>
  <c r="BI59" i="110"/>
  <c r="E6" i="106"/>
  <c r="E13" i="110" s="1"/>
  <c r="U42" i="110"/>
  <c r="G35" i="106"/>
  <c r="G42" i="110" s="1"/>
  <c r="U56" i="110"/>
  <c r="G49" i="106"/>
  <c r="G56" i="110" s="1"/>
  <c r="AG60" i="110"/>
  <c r="AG59" i="110"/>
  <c r="R57" i="110"/>
  <c r="D50" i="106"/>
  <c r="U27" i="110"/>
  <c r="U70" i="110"/>
  <c r="G63" i="106"/>
  <c r="G70" i="110" s="1"/>
  <c r="AF59" i="110"/>
  <c r="D56" i="110"/>
  <c r="F20" i="106"/>
  <c r="AJ60" i="110"/>
  <c r="AJ59" i="110"/>
  <c r="AI60" i="110"/>
  <c r="AI59" i="110"/>
  <c r="BX60" i="110"/>
  <c r="BX59" i="110"/>
  <c r="D42" i="110"/>
  <c r="T71" i="110"/>
  <c r="F64" i="106"/>
  <c r="F71" i="110" s="1"/>
  <c r="AV60" i="110"/>
  <c r="AV59" i="110"/>
  <c r="R14" i="110"/>
  <c r="D7" i="106"/>
  <c r="T15" i="110"/>
  <c r="U14" i="110"/>
  <c r="D36" i="106"/>
  <c r="R43" i="110"/>
  <c r="T43" i="110"/>
  <c r="AG46" i="110"/>
  <c r="AG45" i="110"/>
  <c r="BK60" i="110"/>
  <c r="BK59" i="110"/>
  <c r="AX60" i="110"/>
  <c r="AX59" i="110"/>
  <c r="BW60" i="110"/>
  <c r="BW59" i="110"/>
  <c r="D70" i="110"/>
  <c r="R29" i="110"/>
  <c r="D22" i="106"/>
  <c r="S29" i="110"/>
  <c r="E22" i="106"/>
  <c r="E29" i="110" s="1"/>
  <c r="S14" i="110"/>
  <c r="E7" i="106"/>
  <c r="E14" i="110" s="1"/>
  <c r="T29" i="110"/>
  <c r="S59" i="110"/>
  <c r="E52" i="106"/>
  <c r="E59" i="110" s="1"/>
  <c r="S45" i="110"/>
  <c r="E38" i="106"/>
  <c r="E45" i="110" s="1"/>
  <c r="AU60" i="110"/>
  <c r="AU59" i="110"/>
  <c r="AW60" i="110"/>
  <c r="AW59" i="110"/>
  <c r="D28" i="110"/>
  <c r="F21" i="106"/>
  <c r="F28" i="110" s="1"/>
  <c r="V40" i="89"/>
  <c r="V64" i="89" s="1"/>
  <c r="AW13" i="110" s="1"/>
  <c r="V80" i="89"/>
  <c r="AW27" i="110" s="1"/>
  <c r="W40" i="89"/>
  <c r="W64" i="89" s="1"/>
  <c r="AX13" i="110" s="1"/>
  <c r="W80" i="89"/>
  <c r="AX27" i="110" s="1"/>
  <c r="V80" i="91"/>
  <c r="BK27" i="110" s="1"/>
  <c r="V40" i="91"/>
  <c r="V40" i="93"/>
  <c r="V64" i="93" s="1"/>
  <c r="BY13" i="110" s="1"/>
  <c r="V80" i="93"/>
  <c r="BY27" i="110" s="1"/>
  <c r="V40" i="87"/>
  <c r="V80" i="87"/>
  <c r="AI27" i="110" s="1"/>
  <c r="W40" i="28"/>
  <c r="W64" i="28" s="1"/>
  <c r="W80" i="28"/>
  <c r="V56" i="89"/>
  <c r="AR56" i="89" s="1"/>
  <c r="V81" i="89"/>
  <c r="AW28" i="110" s="1"/>
  <c r="W51" i="93"/>
  <c r="AU51" i="93" s="1"/>
  <c r="W47" i="93"/>
  <c r="W49" i="93"/>
  <c r="AU49" i="93" s="1"/>
  <c r="W45" i="93"/>
  <c r="AU45" i="93" s="1"/>
  <c r="W43" i="93"/>
  <c r="W44" i="93"/>
  <c r="AU44" i="93" s="1"/>
  <c r="W28" i="93"/>
  <c r="AU28" i="93" s="1"/>
  <c r="W20" i="93"/>
  <c r="W29" i="93"/>
  <c r="AU29" i="93" s="1"/>
  <c r="W26" i="93"/>
  <c r="AU26" i="93" s="1"/>
  <c r="W25" i="93"/>
  <c r="W24" i="93"/>
  <c r="AU24" i="93" s="1"/>
  <c r="W23" i="93"/>
  <c r="AU23" i="93" s="1"/>
  <c r="W22" i="93"/>
  <c r="AU22" i="93" s="1"/>
  <c r="W21" i="93"/>
  <c r="AU21" i="93" s="1"/>
  <c r="W46" i="93"/>
  <c r="AU46" i="93" s="1"/>
  <c r="W27" i="93"/>
  <c r="AU27" i="93" s="1"/>
  <c r="W50" i="93"/>
  <c r="AU50" i="93" s="1"/>
  <c r="W48" i="93"/>
  <c r="AU48" i="93" s="1"/>
  <c r="W52" i="93"/>
  <c r="AU52" i="93" s="1"/>
  <c r="X51" i="89"/>
  <c r="AX51" i="89" s="1"/>
  <c r="X47" i="89"/>
  <c r="AX47" i="89" s="1"/>
  <c r="X43" i="89"/>
  <c r="X29" i="89"/>
  <c r="X28" i="89"/>
  <c r="AX28" i="89" s="1"/>
  <c r="X27" i="89"/>
  <c r="X26" i="89"/>
  <c r="AX26" i="89" s="1"/>
  <c r="X25" i="89"/>
  <c r="X24" i="89"/>
  <c r="X23" i="89"/>
  <c r="AX23" i="89" s="1"/>
  <c r="X22" i="89"/>
  <c r="AX22" i="89" s="1"/>
  <c r="X21" i="89"/>
  <c r="AX21" i="89" s="1"/>
  <c r="X48" i="89"/>
  <c r="AX48" i="89" s="1"/>
  <c r="X46" i="89"/>
  <c r="AX46" i="89" s="1"/>
  <c r="X50" i="89"/>
  <c r="AX50" i="89" s="1"/>
  <c r="X52" i="89"/>
  <c r="AX52" i="89" s="1"/>
  <c r="X45" i="89"/>
  <c r="AX45" i="89" s="1"/>
  <c r="X49" i="89"/>
  <c r="AX49" i="89" s="1"/>
  <c r="X44" i="89"/>
  <c r="X20" i="89"/>
  <c r="AX20" i="89" s="1"/>
  <c r="W52" i="87"/>
  <c r="W48" i="87"/>
  <c r="W44" i="87"/>
  <c r="AU44" i="87" s="1"/>
  <c r="W27" i="87"/>
  <c r="AU27" i="87" s="1"/>
  <c r="W50" i="87"/>
  <c r="AU50" i="87" s="1"/>
  <c r="W46" i="87"/>
  <c r="AU46" i="87" s="1"/>
  <c r="W29" i="87"/>
  <c r="AU29" i="87" s="1"/>
  <c r="W51" i="87"/>
  <c r="AU51" i="87" s="1"/>
  <c r="W47" i="87"/>
  <c r="AU47" i="87" s="1"/>
  <c r="W28" i="87"/>
  <c r="W24" i="87"/>
  <c r="AU24" i="87" s="1"/>
  <c r="W20" i="87"/>
  <c r="W49" i="87"/>
  <c r="AU49" i="87" s="1"/>
  <c r="W22" i="87"/>
  <c r="W25" i="87"/>
  <c r="AU25" i="87" s="1"/>
  <c r="W45" i="87"/>
  <c r="AU45" i="87" s="1"/>
  <c r="W23" i="87"/>
  <c r="AU23" i="87" s="1"/>
  <c r="W43" i="87"/>
  <c r="W26" i="87"/>
  <c r="AU26" i="87" s="1"/>
  <c r="W21" i="87"/>
  <c r="W43" i="91"/>
  <c r="W50" i="91"/>
  <c r="AU50" i="91" s="1"/>
  <c r="W46" i="91"/>
  <c r="AU46" i="91" s="1"/>
  <c r="W52" i="91"/>
  <c r="W48" i="91"/>
  <c r="W44" i="91"/>
  <c r="AU44" i="91" s="1"/>
  <c r="W51" i="91"/>
  <c r="W26" i="91"/>
  <c r="W29" i="91"/>
  <c r="W24" i="91"/>
  <c r="AU24" i="91" s="1"/>
  <c r="W20" i="91"/>
  <c r="W21" i="91"/>
  <c r="AU21" i="91" s="1"/>
  <c r="W27" i="91"/>
  <c r="AU27" i="91" s="1"/>
  <c r="W22" i="91"/>
  <c r="W45" i="91"/>
  <c r="W28" i="91"/>
  <c r="AU28" i="91" s="1"/>
  <c r="W49" i="91"/>
  <c r="W47" i="91"/>
  <c r="AU47" i="91" s="1"/>
  <c r="W23" i="91"/>
  <c r="AU23" i="91" s="1"/>
  <c r="W25" i="91"/>
  <c r="AU25" i="91" s="1"/>
  <c r="X50" i="28"/>
  <c r="AX50" i="28" s="1"/>
  <c r="X46" i="28"/>
  <c r="AX46" i="28" s="1"/>
  <c r="X47" i="28"/>
  <c r="X45" i="28"/>
  <c r="AX45" i="28" s="1"/>
  <c r="X51" i="28"/>
  <c r="AX51" i="28" s="1"/>
  <c r="X49" i="28"/>
  <c r="AX49" i="28" s="1"/>
  <c r="X29" i="28"/>
  <c r="AX29" i="28" s="1"/>
  <c r="X28" i="28"/>
  <c r="X27" i="28"/>
  <c r="AX27" i="28" s="1"/>
  <c r="X26" i="28"/>
  <c r="X25" i="28"/>
  <c r="X24" i="28"/>
  <c r="AX24" i="28" s="1"/>
  <c r="X23" i="28"/>
  <c r="X22" i="28"/>
  <c r="AX22" i="28" s="1"/>
  <c r="X21" i="28"/>
  <c r="X44" i="28"/>
  <c r="X48" i="28"/>
  <c r="AX48" i="28" s="1"/>
  <c r="X43" i="28"/>
  <c r="X52" i="28"/>
  <c r="AX52" i="28" s="1"/>
  <c r="X20" i="28"/>
  <c r="S112" i="93"/>
  <c r="S113" i="93" s="1"/>
  <c r="S84" i="93"/>
  <c r="S85" i="93" s="1"/>
  <c r="BJ64" i="110"/>
  <c r="S116" i="93"/>
  <c r="BV63" i="110" s="1"/>
  <c r="S84" i="89"/>
  <c r="S85" i="89" s="1"/>
  <c r="S112" i="28"/>
  <c r="AB2" i="107" s="1"/>
  <c r="S112" i="91"/>
  <c r="S113" i="91" s="1"/>
  <c r="S84" i="91"/>
  <c r="S85" i="91" s="1"/>
  <c r="S112" i="89"/>
  <c r="S113" i="89" s="1"/>
  <c r="S84" i="87"/>
  <c r="S85" i="87" s="1"/>
  <c r="U126" i="28"/>
  <c r="U127" i="28" s="1"/>
  <c r="U117" i="91"/>
  <c r="S126" i="28"/>
  <c r="S127" i="28" s="1"/>
  <c r="K60" i="46"/>
  <c r="L60" i="46" s="1"/>
  <c r="S88" i="93"/>
  <c r="BV35" i="110" s="1"/>
  <c r="U116" i="93"/>
  <c r="BX63" i="110" s="1"/>
  <c r="T116" i="93"/>
  <c r="BW63" i="110" s="1"/>
  <c r="R67" i="28"/>
  <c r="L51" i="46"/>
  <c r="W51" i="46" s="1"/>
  <c r="V51" i="46"/>
  <c r="U49" i="46"/>
  <c r="K49" i="46"/>
  <c r="U47" i="46"/>
  <c r="K47" i="46"/>
  <c r="X42" i="89"/>
  <c r="U42" i="46"/>
  <c r="K42" i="46"/>
  <c r="H42" i="89"/>
  <c r="L48" i="46"/>
  <c r="W48" i="46" s="1"/>
  <c r="V48" i="46"/>
  <c r="L59" i="46"/>
  <c r="W59" i="46" s="1"/>
  <c r="V59" i="46"/>
  <c r="U61" i="46"/>
  <c r="K61" i="46"/>
  <c r="U58" i="46"/>
  <c r="K58" i="46"/>
  <c r="U45" i="46"/>
  <c r="K45" i="46"/>
  <c r="U43" i="46"/>
  <c r="K43" i="46"/>
  <c r="U36" i="46"/>
  <c r="K36" i="46"/>
  <c r="U53" i="46"/>
  <c r="K53" i="46"/>
  <c r="U44" i="46"/>
  <c r="K44" i="46"/>
  <c r="U50" i="46"/>
  <c r="K50" i="46"/>
  <c r="L52" i="46"/>
  <c r="W52" i="46" s="1"/>
  <c r="V52" i="46"/>
  <c r="U41" i="46"/>
  <c r="K41" i="46"/>
  <c r="L3" i="46"/>
  <c r="W3" i="46" s="1"/>
  <c r="V3" i="46"/>
  <c r="U35" i="46"/>
  <c r="K35" i="46"/>
  <c r="U34" i="46"/>
  <c r="K34" i="46"/>
  <c r="L39" i="46"/>
  <c r="V39" i="46"/>
  <c r="AA55" i="28"/>
  <c r="AA55" i="87"/>
  <c r="AA109" i="87" s="1"/>
  <c r="AN56" i="110" s="1"/>
  <c r="AA55" i="89"/>
  <c r="AA109" i="89" s="1"/>
  <c r="BB56" i="110" s="1"/>
  <c r="AA55" i="91"/>
  <c r="AA109" i="91" s="1"/>
  <c r="BP56" i="110" s="1"/>
  <c r="AA55" i="93"/>
  <c r="AA109" i="93" s="1"/>
  <c r="CD56" i="110" s="1"/>
  <c r="K57" i="46"/>
  <c r="W22" i="46"/>
  <c r="V22" i="46"/>
  <c r="U54" i="46"/>
  <c r="K54" i="46"/>
  <c r="I19" i="89"/>
  <c r="Y42" i="89" s="1"/>
  <c r="H61" i="89"/>
  <c r="V96" i="87"/>
  <c r="AI43" i="110" s="1"/>
  <c r="W112" i="93"/>
  <c r="W113" i="93" s="1"/>
  <c r="T84" i="91"/>
  <c r="T85" i="91" s="1"/>
  <c r="T84" i="89"/>
  <c r="T85" i="89" s="1"/>
  <c r="N16" i="110"/>
  <c r="T66" i="91"/>
  <c r="BI15" i="110" s="1"/>
  <c r="Y110" i="87"/>
  <c r="AL57" i="110" s="1"/>
  <c r="T66" i="93"/>
  <c r="BW15" i="110" s="1"/>
  <c r="X110" i="91"/>
  <c r="BM57" i="110" s="1"/>
  <c r="AR52" i="91"/>
  <c r="AR46" i="93"/>
  <c r="U98" i="28"/>
  <c r="U99" i="28" s="1"/>
  <c r="U64" i="89"/>
  <c r="AV13" i="110" s="1"/>
  <c r="T66" i="28"/>
  <c r="U64" i="91"/>
  <c r="BJ13" i="110" s="1"/>
  <c r="AR48" i="93"/>
  <c r="AR52" i="87"/>
  <c r="AU48" i="28"/>
  <c r="AU46" i="89"/>
  <c r="T84" i="28"/>
  <c r="T85" i="28" s="1"/>
  <c r="AR27" i="91"/>
  <c r="AR47" i="91"/>
  <c r="AR51" i="87"/>
  <c r="AU22" i="89"/>
  <c r="U68" i="28"/>
  <c r="U69" i="28" s="1"/>
  <c r="U84" i="28"/>
  <c r="U85" i="28" s="1"/>
  <c r="AR52" i="93"/>
  <c r="V110" i="28"/>
  <c r="V124" i="28"/>
  <c r="U112" i="28"/>
  <c r="W123" i="28"/>
  <c r="W109" i="28"/>
  <c r="AK56" i="28"/>
  <c r="AL56" i="28" s="1"/>
  <c r="T84" i="93"/>
  <c r="T85" i="93" s="1"/>
  <c r="S84" i="28"/>
  <c r="S85" i="28" s="1"/>
  <c r="X112" i="87"/>
  <c r="X113" i="87" s="1"/>
  <c r="U14" i="46"/>
  <c r="U13" i="46"/>
  <c r="U23" i="46"/>
  <c r="U29" i="46"/>
  <c r="U27" i="46"/>
  <c r="U30" i="46"/>
  <c r="U21" i="46"/>
  <c r="U26" i="46"/>
  <c r="U7" i="46"/>
  <c r="U15" i="46"/>
  <c r="U24" i="46"/>
  <c r="U11" i="46"/>
  <c r="U12" i="46"/>
  <c r="U25" i="46"/>
  <c r="U28" i="46"/>
  <c r="BA55" i="89"/>
  <c r="Y109" i="89"/>
  <c r="AZ56" i="110" s="1"/>
  <c r="BA55" i="91"/>
  <c r="Y109" i="91"/>
  <c r="BN56" i="110" s="1"/>
  <c r="X110" i="93"/>
  <c r="CA57" i="110" s="1"/>
  <c r="BA55" i="28"/>
  <c r="W112" i="91"/>
  <c r="W113" i="91" s="1"/>
  <c r="X63" i="91"/>
  <c r="W79" i="91"/>
  <c r="W93" i="91" s="1"/>
  <c r="W107" i="91" s="1"/>
  <c r="W121" i="91" s="1"/>
  <c r="X110" i="89"/>
  <c r="AY57" i="110" s="1"/>
  <c r="X63" i="89"/>
  <c r="W79" i="89"/>
  <c r="W93" i="89" s="1"/>
  <c r="W107" i="89" s="1"/>
  <c r="W121" i="89" s="1"/>
  <c r="X63" i="93"/>
  <c r="W79" i="93"/>
  <c r="W93" i="93" s="1"/>
  <c r="W107" i="93" s="1"/>
  <c r="W121" i="93" s="1"/>
  <c r="X63" i="28"/>
  <c r="W79" i="28"/>
  <c r="W93" i="28" s="1"/>
  <c r="W107" i="28" s="1"/>
  <c r="W121" i="28" s="1"/>
  <c r="BA55" i="93"/>
  <c r="Y109" i="93"/>
  <c r="CB56" i="110" s="1"/>
  <c r="W63" i="87"/>
  <c r="V79" i="87"/>
  <c r="V93" i="87" s="1"/>
  <c r="V107" i="87" s="1"/>
  <c r="V121" i="87" s="1"/>
  <c r="U22" i="46"/>
  <c r="T84" i="87"/>
  <c r="T85" i="87" s="1"/>
  <c r="T102" i="87"/>
  <c r="AG49" i="110" s="1"/>
  <c r="S98" i="28"/>
  <c r="S99" i="28" s="1"/>
  <c r="U96" i="87"/>
  <c r="AH43" i="110" s="1"/>
  <c r="AO40" i="89"/>
  <c r="AO56" i="89"/>
  <c r="U82" i="93"/>
  <c r="BX29" i="110" s="1"/>
  <c r="U82" i="89"/>
  <c r="AV29" i="110" s="1"/>
  <c r="W95" i="28"/>
  <c r="V81" i="91"/>
  <c r="BK28" i="110" s="1"/>
  <c r="V81" i="87"/>
  <c r="AI28" i="110" s="1"/>
  <c r="V82" i="28"/>
  <c r="V96" i="28"/>
  <c r="W81" i="89"/>
  <c r="AX28" i="110" s="1"/>
  <c r="V81" i="93"/>
  <c r="BY28" i="110" s="1"/>
  <c r="W81" i="28"/>
  <c r="U82" i="91"/>
  <c r="BJ29" i="110" s="1"/>
  <c r="U82" i="87"/>
  <c r="AH29" i="110" s="1"/>
  <c r="BA55" i="87"/>
  <c r="S66" i="87"/>
  <c r="AF15" i="110" s="1"/>
  <c r="AT56" i="28"/>
  <c r="G56" i="28"/>
  <c r="AW54" i="28"/>
  <c r="AX54" i="28" s="1"/>
  <c r="U65" i="93"/>
  <c r="BX14" i="110" s="1"/>
  <c r="AU53" i="28"/>
  <c r="U65" i="87"/>
  <c r="V66" i="28"/>
  <c r="S66" i="91"/>
  <c r="BH15" i="110" s="1"/>
  <c r="S66" i="93"/>
  <c r="BV15" i="110" s="1"/>
  <c r="S66" i="89"/>
  <c r="AT15" i="110" s="1"/>
  <c r="T66" i="89"/>
  <c r="AU15" i="110" s="1"/>
  <c r="T68" i="87"/>
  <c r="T69" i="87" s="1"/>
  <c r="S66" i="28"/>
  <c r="AR53" i="91"/>
  <c r="AO56" i="91"/>
  <c r="AK56" i="91"/>
  <c r="AL56" i="91" s="1"/>
  <c r="AK56" i="89"/>
  <c r="AL56" i="89" s="1"/>
  <c r="AL54" i="89"/>
  <c r="AT56" i="91"/>
  <c r="AU53" i="91"/>
  <c r="AK56" i="87"/>
  <c r="AL56" i="87" s="1"/>
  <c r="AT54" i="87"/>
  <c r="G56" i="87"/>
  <c r="AT56" i="89"/>
  <c r="AU53" i="89"/>
  <c r="AK56" i="93"/>
  <c r="AL56" i="93" s="1"/>
  <c r="AZ53" i="93"/>
  <c r="AX54" i="93"/>
  <c r="AX54" i="87"/>
  <c r="T20" i="46"/>
  <c r="AZ53" i="87"/>
  <c r="AX54" i="89"/>
  <c r="AX54" i="91"/>
  <c r="AZ53" i="91"/>
  <c r="T6" i="46"/>
  <c r="U60" i="46"/>
  <c r="AI53" i="28"/>
  <c r="AH56" i="93"/>
  <c r="AI56" i="93" s="1"/>
  <c r="AI53" i="93"/>
  <c r="AR20" i="87"/>
  <c r="AU25" i="28"/>
  <c r="AI53" i="89"/>
  <c r="AH56" i="89"/>
  <c r="AI56" i="89" s="1"/>
  <c r="AO40" i="93"/>
  <c r="AT19" i="93"/>
  <c r="AT42" i="93" s="1"/>
  <c r="V56" i="93"/>
  <c r="AR43" i="93"/>
  <c r="AR20" i="93"/>
  <c r="H42" i="93"/>
  <c r="X42" i="93"/>
  <c r="X19" i="93"/>
  <c r="H61" i="93"/>
  <c r="I19" i="93"/>
  <c r="AO56" i="93"/>
  <c r="AU20" i="89"/>
  <c r="AW19" i="89"/>
  <c r="AW42" i="89" s="1"/>
  <c r="AU43" i="89"/>
  <c r="W56" i="89"/>
  <c r="W65" i="89" s="1"/>
  <c r="AX14" i="110" s="1"/>
  <c r="Y19" i="89"/>
  <c r="AO56" i="87"/>
  <c r="Z55" i="89"/>
  <c r="Z55" i="87"/>
  <c r="Z109" i="87" s="1"/>
  <c r="AM56" i="110" s="1"/>
  <c r="U39" i="46"/>
  <c r="Z55" i="28"/>
  <c r="Z55" i="93"/>
  <c r="Z55" i="91"/>
  <c r="T18" i="46"/>
  <c r="T8" i="46"/>
  <c r="T16" i="46"/>
  <c r="AR26" i="87"/>
  <c r="AU26" i="28"/>
  <c r="AR43" i="87"/>
  <c r="V56" i="87"/>
  <c r="V65" i="87" s="1"/>
  <c r="AI14" i="110" s="1"/>
  <c r="AR50" i="91"/>
  <c r="I42" i="28"/>
  <c r="Y19" i="28"/>
  <c r="J19" i="28"/>
  <c r="K19" i="28" s="1"/>
  <c r="I61" i="28"/>
  <c r="Y42" i="28"/>
  <c r="AU50" i="28"/>
  <c r="AU21" i="28"/>
  <c r="AR27" i="87"/>
  <c r="AR21" i="87"/>
  <c r="AR44" i="91"/>
  <c r="AR43" i="91"/>
  <c r="V56" i="91"/>
  <c r="V65" i="91" s="1"/>
  <c r="BK14" i="110" s="1"/>
  <c r="AR20" i="91"/>
  <c r="AT19" i="91"/>
  <c r="AT42" i="91" s="1"/>
  <c r="AU29" i="28"/>
  <c r="AO40" i="87"/>
  <c r="AU52" i="28"/>
  <c r="AU51" i="28"/>
  <c r="AU23" i="28"/>
  <c r="AR22" i="87"/>
  <c r="AR49" i="87"/>
  <c r="AR45" i="87"/>
  <c r="AR21" i="91"/>
  <c r="AW19" i="28"/>
  <c r="AW42" i="28" s="1"/>
  <c r="X19" i="91"/>
  <c r="I19" i="91"/>
  <c r="H42" i="91"/>
  <c r="H61" i="91"/>
  <c r="X42" i="91"/>
  <c r="AU28" i="28"/>
  <c r="AU45" i="28"/>
  <c r="AR25" i="87"/>
  <c r="AR44" i="87"/>
  <c r="AR50" i="87"/>
  <c r="AU20" i="28"/>
  <c r="AR29" i="87"/>
  <c r="AO40" i="91"/>
  <c r="AT19" i="87"/>
  <c r="AT42" i="87" s="1"/>
  <c r="AR40" i="28"/>
  <c r="AR24" i="87"/>
  <c r="AR56" i="28"/>
  <c r="AU43" i="28"/>
  <c r="W56" i="28"/>
  <c r="W65" i="28" s="1"/>
  <c r="AU44" i="28"/>
  <c r="AU27" i="28"/>
  <c r="AU24" i="28"/>
  <c r="AR48" i="87"/>
  <c r="H61" i="87"/>
  <c r="I19" i="87"/>
  <c r="X42" i="87"/>
  <c r="H42" i="87"/>
  <c r="X19" i="87"/>
  <c r="U3" i="46"/>
  <c r="U113" i="28" l="1"/>
  <c r="AD2" i="107"/>
  <c r="S113" i="28"/>
  <c r="S116" i="28" s="1"/>
  <c r="I42" i="89"/>
  <c r="J19" i="89"/>
  <c r="K19" i="89" s="1"/>
  <c r="AL2" i="107"/>
  <c r="AN2" i="107"/>
  <c r="V60" i="46"/>
  <c r="H48" i="106"/>
  <c r="H55" i="110" s="1"/>
  <c r="V55" i="110"/>
  <c r="X108" i="28"/>
  <c r="W55" i="110" s="1"/>
  <c r="X122" i="28"/>
  <c r="X94" i="28"/>
  <c r="H34" i="106"/>
  <c r="H41" i="110" s="1"/>
  <c r="V41" i="110"/>
  <c r="H62" i="106"/>
  <c r="H69" i="110" s="1"/>
  <c r="V69" i="110"/>
  <c r="I61" i="89"/>
  <c r="AA54" i="28"/>
  <c r="K54" i="28" s="1"/>
  <c r="AA53" i="28"/>
  <c r="AU37" i="93"/>
  <c r="AU37" i="87"/>
  <c r="AU30" i="93"/>
  <c r="AU37" i="91"/>
  <c r="AX38" i="89"/>
  <c r="AU31" i="91"/>
  <c r="AU36" i="93"/>
  <c r="AX37" i="89"/>
  <c r="Y38" i="89"/>
  <c r="BA38" i="89" s="1"/>
  <c r="Y36" i="89"/>
  <c r="Y34" i="89"/>
  <c r="Y32" i="89"/>
  <c r="Y30" i="89"/>
  <c r="Y39" i="89"/>
  <c r="BA39" i="89" s="1"/>
  <c r="Y37" i="89"/>
  <c r="BA37" i="89" s="1"/>
  <c r="Y35" i="89"/>
  <c r="Y33" i="89"/>
  <c r="Y31" i="89"/>
  <c r="Y38" i="28"/>
  <c r="BA38" i="28" s="1"/>
  <c r="Y36" i="28"/>
  <c r="BA36" i="28" s="1"/>
  <c r="Y34" i="28"/>
  <c r="BA34" i="28" s="1"/>
  <c r="Y32" i="28"/>
  <c r="BA32" i="28" s="1"/>
  <c r="Y30" i="28"/>
  <c r="Y39" i="28"/>
  <c r="BA39" i="28" s="1"/>
  <c r="Y37" i="28"/>
  <c r="Y35" i="28"/>
  <c r="BA35" i="28" s="1"/>
  <c r="Y33" i="28"/>
  <c r="BA33" i="28" s="1"/>
  <c r="Y31" i="28"/>
  <c r="BA31" i="28" s="1"/>
  <c r="X36" i="93"/>
  <c r="AX36" i="93" s="1"/>
  <c r="X32" i="93"/>
  <c r="AX32" i="93" s="1"/>
  <c r="X37" i="93"/>
  <c r="AX37" i="93" s="1"/>
  <c r="X31" i="93"/>
  <c r="AX31" i="93" s="1"/>
  <c r="X30" i="93"/>
  <c r="AX30" i="93" s="1"/>
  <c r="X33" i="93"/>
  <c r="X38" i="93"/>
  <c r="X34" i="93"/>
  <c r="X39" i="93"/>
  <c r="X35" i="93"/>
  <c r="AU32" i="93"/>
  <c r="X38" i="87"/>
  <c r="AX38" i="87" s="1"/>
  <c r="X34" i="87"/>
  <c r="AX34" i="87" s="1"/>
  <c r="X30" i="87"/>
  <c r="AX30" i="87" s="1"/>
  <c r="X39" i="87"/>
  <c r="X35" i="87"/>
  <c r="X31" i="87"/>
  <c r="X36" i="87"/>
  <c r="X32" i="87"/>
  <c r="X37" i="87"/>
  <c r="AX37" i="87" s="1"/>
  <c r="X33" i="87"/>
  <c r="X38" i="91"/>
  <c r="X34" i="91"/>
  <c r="X31" i="91"/>
  <c r="AX31" i="91" s="1"/>
  <c r="X39" i="91"/>
  <c r="AX39" i="91" s="1"/>
  <c r="X35" i="91"/>
  <c r="X36" i="91"/>
  <c r="AX36" i="91" s="1"/>
  <c r="X32" i="91"/>
  <c r="AX32" i="91" s="1"/>
  <c r="X30" i="91"/>
  <c r="X37" i="91"/>
  <c r="AX37" i="91" s="1"/>
  <c r="X33" i="91"/>
  <c r="AR40" i="89"/>
  <c r="AU32" i="91"/>
  <c r="V65" i="89"/>
  <c r="AW14" i="110" s="1"/>
  <c r="U15" i="110"/>
  <c r="R45" i="110"/>
  <c r="D38" i="106"/>
  <c r="BW32" i="110"/>
  <c r="BW31" i="110"/>
  <c r="T31" i="110"/>
  <c r="BI32" i="110"/>
  <c r="BI31" i="110"/>
  <c r="BH60" i="110"/>
  <c r="BH59" i="110"/>
  <c r="D43" i="110"/>
  <c r="F27" i="110"/>
  <c r="D71" i="110"/>
  <c r="AH14" i="110"/>
  <c r="F7" i="106"/>
  <c r="F14" i="110" s="1"/>
  <c r="D57" i="110"/>
  <c r="AG18" i="110"/>
  <c r="AG17" i="110"/>
  <c r="V42" i="110"/>
  <c r="H35" i="106"/>
  <c r="H42" i="110" s="1"/>
  <c r="AG32" i="110"/>
  <c r="AG31" i="110"/>
  <c r="V56" i="110"/>
  <c r="H49" i="106"/>
  <c r="D66" i="106"/>
  <c r="R73" i="110"/>
  <c r="AT32" i="110"/>
  <c r="AT31" i="110"/>
  <c r="G21" i="106"/>
  <c r="V14" i="110"/>
  <c r="V28" i="110"/>
  <c r="V70" i="110"/>
  <c r="H63" i="106"/>
  <c r="H70" i="110" s="1"/>
  <c r="T17" i="110"/>
  <c r="BZ60" i="110"/>
  <c r="BZ59" i="110"/>
  <c r="F52" i="106"/>
  <c r="F59" i="110" s="1"/>
  <c r="T59" i="110"/>
  <c r="S15" i="110"/>
  <c r="E8" i="106"/>
  <c r="E15" i="110" s="1"/>
  <c r="U130" i="28"/>
  <c r="T73" i="110"/>
  <c r="F66" i="106"/>
  <c r="F73" i="110" s="1"/>
  <c r="S46" i="110"/>
  <c r="E39" i="106"/>
  <c r="E46" i="110" s="1"/>
  <c r="F6" i="106"/>
  <c r="F13" i="110" s="1"/>
  <c r="S74" i="110"/>
  <c r="E67" i="106"/>
  <c r="E74" i="110" s="1"/>
  <c r="F22" i="106"/>
  <c r="F29" i="110" s="1"/>
  <c r="U71" i="110"/>
  <c r="G64" i="106"/>
  <c r="G71" i="110" s="1"/>
  <c r="AF32" i="110"/>
  <c r="AF31" i="110"/>
  <c r="BV32" i="110"/>
  <c r="BV31" i="110"/>
  <c r="V27" i="110"/>
  <c r="F36" i="106"/>
  <c r="F43" i="110" s="1"/>
  <c r="BL60" i="110"/>
  <c r="BL59" i="110"/>
  <c r="U43" i="110"/>
  <c r="G36" i="106"/>
  <c r="G43" i="110" s="1"/>
  <c r="AK60" i="110"/>
  <c r="AK59" i="110"/>
  <c r="U57" i="110"/>
  <c r="G50" i="106"/>
  <c r="G57" i="110" s="1"/>
  <c r="S31" i="110"/>
  <c r="E24" i="106"/>
  <c r="E31" i="110" s="1"/>
  <c r="T45" i="110"/>
  <c r="AT60" i="110"/>
  <c r="AT59" i="110"/>
  <c r="BV60" i="110"/>
  <c r="BV59" i="110"/>
  <c r="D14" i="110"/>
  <c r="V13" i="110"/>
  <c r="R15" i="110"/>
  <c r="D8" i="106"/>
  <c r="R59" i="110"/>
  <c r="D52" i="106"/>
  <c r="U29" i="110"/>
  <c r="R31" i="110"/>
  <c r="D24" i="106"/>
  <c r="AU32" i="110"/>
  <c r="AU31" i="110"/>
  <c r="BH32" i="110"/>
  <c r="BH31" i="110"/>
  <c r="S60" i="110"/>
  <c r="E53" i="106"/>
  <c r="E60" i="110" s="1"/>
  <c r="D29" i="110"/>
  <c r="G20" i="106"/>
  <c r="G27" i="110" s="1"/>
  <c r="V64" i="91"/>
  <c r="BK13" i="110" s="1"/>
  <c r="X40" i="89"/>
  <c r="AX40" i="89" s="1"/>
  <c r="X80" i="89"/>
  <c r="AY27" i="110" s="1"/>
  <c r="W80" i="93"/>
  <c r="BZ27" i="110" s="1"/>
  <c r="W40" i="93"/>
  <c r="W80" i="91"/>
  <c r="BL27" i="110" s="1"/>
  <c r="W40" i="91"/>
  <c r="W64" i="91" s="1"/>
  <c r="BL13" i="110" s="1"/>
  <c r="W80" i="87"/>
  <c r="AJ27" i="110" s="1"/>
  <c r="W40" i="87"/>
  <c r="W64" i="87" s="1"/>
  <c r="AJ13" i="110" s="1"/>
  <c r="AX20" i="28"/>
  <c r="X80" i="28"/>
  <c r="X40" i="28"/>
  <c r="X64" i="28" s="1"/>
  <c r="V82" i="89"/>
  <c r="AW29" i="110" s="1"/>
  <c r="X52" i="91"/>
  <c r="AX52" i="91" s="1"/>
  <c r="X48" i="91"/>
  <c r="AX48" i="91" s="1"/>
  <c r="X44" i="91"/>
  <c r="AX44" i="91" s="1"/>
  <c r="X29" i="91"/>
  <c r="AX29" i="91" s="1"/>
  <c r="X28" i="91"/>
  <c r="X27" i="91"/>
  <c r="X26" i="91"/>
  <c r="AX26" i="91" s="1"/>
  <c r="X25" i="91"/>
  <c r="X24" i="91"/>
  <c r="X23" i="91"/>
  <c r="AX23" i="91" s="1"/>
  <c r="X22" i="91"/>
  <c r="AX22" i="91" s="1"/>
  <c r="X46" i="91"/>
  <c r="X50" i="91"/>
  <c r="AX50" i="91" s="1"/>
  <c r="X21" i="91"/>
  <c r="X45" i="91"/>
  <c r="X43" i="91"/>
  <c r="X49" i="91"/>
  <c r="AX49" i="91" s="1"/>
  <c r="X47" i="91"/>
  <c r="X51" i="91"/>
  <c r="AX51" i="91" s="1"/>
  <c r="X20" i="91"/>
  <c r="AX20" i="91" s="1"/>
  <c r="Y52" i="89"/>
  <c r="BA52" i="89" s="1"/>
  <c r="Y51" i="89"/>
  <c r="BA51" i="89" s="1"/>
  <c r="Y50" i="89"/>
  <c r="BA50" i="89" s="1"/>
  <c r="Y49" i="89"/>
  <c r="BA49" i="89" s="1"/>
  <c r="Y48" i="89"/>
  <c r="BA48" i="89" s="1"/>
  <c r="Y47" i="89"/>
  <c r="BA47" i="89" s="1"/>
  <c r="Y46" i="89"/>
  <c r="BA46" i="89" s="1"/>
  <c r="Y45" i="89"/>
  <c r="BA45" i="89" s="1"/>
  <c r="Y44" i="89"/>
  <c r="BA44" i="89" s="1"/>
  <c r="Y43" i="89"/>
  <c r="BA43" i="89" s="1"/>
  <c r="Y29" i="89"/>
  <c r="BA29" i="89" s="1"/>
  <c r="Y28" i="89"/>
  <c r="BA28" i="89" s="1"/>
  <c r="Y27" i="89"/>
  <c r="BA27" i="89" s="1"/>
  <c r="Y26" i="89"/>
  <c r="BA26" i="89" s="1"/>
  <c r="Y25" i="89"/>
  <c r="BA25" i="89" s="1"/>
  <c r="Y24" i="89"/>
  <c r="BA24" i="89" s="1"/>
  <c r="Y23" i="89"/>
  <c r="BA23" i="89" s="1"/>
  <c r="Y22" i="89"/>
  <c r="Y21" i="89"/>
  <c r="BA21" i="89" s="1"/>
  <c r="Y20" i="89"/>
  <c r="Y52" i="28"/>
  <c r="Y51" i="28"/>
  <c r="Y50" i="28"/>
  <c r="BA50" i="28" s="1"/>
  <c r="Y49" i="28"/>
  <c r="BA49" i="28" s="1"/>
  <c r="Y48" i="28"/>
  <c r="Y47" i="28"/>
  <c r="BA47" i="28" s="1"/>
  <c r="Y46" i="28"/>
  <c r="Y45" i="28"/>
  <c r="Y44" i="28"/>
  <c r="Y43" i="28"/>
  <c r="Y109" i="28" s="1"/>
  <c r="Y29" i="28"/>
  <c r="BA29" i="28" s="1"/>
  <c r="Y28" i="28"/>
  <c r="BA28" i="28" s="1"/>
  <c r="Y27" i="28"/>
  <c r="BA27" i="28" s="1"/>
  <c r="Y26" i="28"/>
  <c r="BA26" i="28" s="1"/>
  <c r="Y25" i="28"/>
  <c r="Y24" i="28"/>
  <c r="BA24" i="28" s="1"/>
  <c r="Y23" i="28"/>
  <c r="Y22" i="28"/>
  <c r="BA22" i="28" s="1"/>
  <c r="Y21" i="28"/>
  <c r="Y20" i="28"/>
  <c r="X43" i="93"/>
  <c r="X49" i="93"/>
  <c r="AX49" i="93" s="1"/>
  <c r="X45" i="93"/>
  <c r="AX45" i="93" s="1"/>
  <c r="X47" i="93"/>
  <c r="AX47" i="93" s="1"/>
  <c r="X51" i="93"/>
  <c r="AX51" i="93" s="1"/>
  <c r="X46" i="93"/>
  <c r="X44" i="93"/>
  <c r="AX44" i="93" s="1"/>
  <c r="X29" i="93"/>
  <c r="AX29" i="93" s="1"/>
  <c r="X28" i="93"/>
  <c r="AX28" i="93" s="1"/>
  <c r="X27" i="93"/>
  <c r="AX27" i="93" s="1"/>
  <c r="X26" i="93"/>
  <c r="AX26" i="93" s="1"/>
  <c r="X25" i="93"/>
  <c r="AX25" i="93" s="1"/>
  <c r="X24" i="93"/>
  <c r="AX24" i="93" s="1"/>
  <c r="X23" i="93"/>
  <c r="AX23" i="93" s="1"/>
  <c r="X22" i="93"/>
  <c r="AX22" i="93" s="1"/>
  <c r="X21" i="93"/>
  <c r="AX21" i="93" s="1"/>
  <c r="X48" i="93"/>
  <c r="AX48" i="93" s="1"/>
  <c r="X50" i="93"/>
  <c r="AX50" i="93" s="1"/>
  <c r="X52" i="93"/>
  <c r="AX52" i="93" s="1"/>
  <c r="X20" i="93"/>
  <c r="AX20" i="93" s="1"/>
  <c r="X50" i="87"/>
  <c r="AX50" i="87" s="1"/>
  <c r="X46" i="87"/>
  <c r="AX46" i="87" s="1"/>
  <c r="X43" i="87"/>
  <c r="X29" i="87"/>
  <c r="X25" i="87"/>
  <c r="X24" i="87"/>
  <c r="AX24" i="87" s="1"/>
  <c r="X23" i="87"/>
  <c r="X22" i="87"/>
  <c r="AX22" i="87" s="1"/>
  <c r="X21" i="87"/>
  <c r="X49" i="87"/>
  <c r="X51" i="87"/>
  <c r="AX51" i="87" s="1"/>
  <c r="X48" i="87"/>
  <c r="X27" i="87"/>
  <c r="X20" i="87"/>
  <c r="X45" i="87"/>
  <c r="AX45" i="87" s="1"/>
  <c r="X47" i="87"/>
  <c r="AX47" i="87" s="1"/>
  <c r="X26" i="87"/>
  <c r="AX26" i="87" s="1"/>
  <c r="X52" i="87"/>
  <c r="AX52" i="87" s="1"/>
  <c r="X44" i="87"/>
  <c r="AX44" i="87" s="1"/>
  <c r="X28" i="87"/>
  <c r="AX28" i="87" s="1"/>
  <c r="AX64" i="110"/>
  <c r="AW64" i="110"/>
  <c r="AU64" i="110"/>
  <c r="AV64" i="110"/>
  <c r="BK64" i="110"/>
  <c r="AI64" i="110"/>
  <c r="V117" i="89"/>
  <c r="W117" i="89"/>
  <c r="BX64" i="110"/>
  <c r="T117" i="89"/>
  <c r="V117" i="91"/>
  <c r="U117" i="89"/>
  <c r="T117" i="91"/>
  <c r="V117" i="87"/>
  <c r="S117" i="87"/>
  <c r="AF64" i="110"/>
  <c r="AG64" i="110"/>
  <c r="T117" i="87"/>
  <c r="AH64" i="110"/>
  <c r="U117" i="87"/>
  <c r="W60" i="46"/>
  <c r="U117" i="93"/>
  <c r="V116" i="93"/>
  <c r="BY63" i="110" s="1"/>
  <c r="T117" i="93"/>
  <c r="U66" i="91"/>
  <c r="BJ15" i="110" s="1"/>
  <c r="T130" i="28"/>
  <c r="T116" i="28"/>
  <c r="T68" i="93"/>
  <c r="T69" i="93" s="1"/>
  <c r="AA110" i="87"/>
  <c r="AN57" i="110" s="1"/>
  <c r="W13" i="46"/>
  <c r="V13" i="46"/>
  <c r="L35" i="46"/>
  <c r="W35" i="46" s="1"/>
  <c r="V35" i="46"/>
  <c r="W12" i="46"/>
  <c r="V12" i="46"/>
  <c r="W7" i="46"/>
  <c r="V7" i="46"/>
  <c r="W27" i="46"/>
  <c r="V27" i="46"/>
  <c r="W14" i="46"/>
  <c r="V14" i="46"/>
  <c r="L44" i="46"/>
  <c r="W44" i="46" s="1"/>
  <c r="V44" i="46"/>
  <c r="L45" i="46"/>
  <c r="W45" i="46" s="1"/>
  <c r="V45" i="46"/>
  <c r="L47" i="46"/>
  <c r="W47" i="46" s="1"/>
  <c r="V47" i="46"/>
  <c r="W15" i="46"/>
  <c r="V15" i="46"/>
  <c r="W30" i="46"/>
  <c r="V30" i="46"/>
  <c r="L50" i="46"/>
  <c r="W50" i="46" s="1"/>
  <c r="V50" i="46"/>
  <c r="W39" i="46"/>
  <c r="AB55" i="28"/>
  <c r="AB55" i="87"/>
  <c r="AC55" i="87" s="1"/>
  <c r="AB55" i="89"/>
  <c r="AC55" i="89" s="1"/>
  <c r="AB55" i="93"/>
  <c r="AC55" i="93" s="1"/>
  <c r="AB55" i="91"/>
  <c r="AC55" i="91" s="1"/>
  <c r="W25" i="46"/>
  <c r="V25" i="46"/>
  <c r="L43" i="46"/>
  <c r="W43" i="46" s="1"/>
  <c r="V43" i="46"/>
  <c r="W11" i="46"/>
  <c r="V11" i="46"/>
  <c r="W26" i="46"/>
  <c r="V26" i="46"/>
  <c r="W29" i="46"/>
  <c r="V29" i="46"/>
  <c r="L57" i="46"/>
  <c r="BF54" i="89"/>
  <c r="BG54" i="89" s="1"/>
  <c r="BF53" i="89"/>
  <c r="BF54" i="87"/>
  <c r="BG54" i="87" s="1"/>
  <c r="BF53" i="87"/>
  <c r="BF53" i="91"/>
  <c r="BF54" i="91"/>
  <c r="BG54" i="91" s="1"/>
  <c r="BF53" i="93"/>
  <c r="BF54" i="93"/>
  <c r="BG54" i="93" s="1"/>
  <c r="L41" i="46"/>
  <c r="W41" i="46" s="1"/>
  <c r="V41" i="46"/>
  <c r="L53" i="46"/>
  <c r="W53" i="46" s="1"/>
  <c r="V53" i="46"/>
  <c r="L58" i="46"/>
  <c r="V58" i="46"/>
  <c r="L49" i="46"/>
  <c r="W49" i="46" s="1"/>
  <c r="V49" i="46"/>
  <c r="AA110" i="93"/>
  <c r="CD57" i="110" s="1"/>
  <c r="L42" i="46"/>
  <c r="W42" i="46" s="1"/>
  <c r="V42" i="46"/>
  <c r="W28" i="46"/>
  <c r="V28" i="46"/>
  <c r="W24" i="46"/>
  <c r="V24" i="46"/>
  <c r="W21" i="46"/>
  <c r="V21" i="46"/>
  <c r="W23" i="46"/>
  <c r="V23" i="46"/>
  <c r="L54" i="46"/>
  <c r="W54" i="46" s="1"/>
  <c r="V54" i="46"/>
  <c r="AA110" i="91"/>
  <c r="BP57" i="110" s="1"/>
  <c r="L34" i="46"/>
  <c r="W34" i="46" s="1"/>
  <c r="V34" i="46"/>
  <c r="L36" i="46"/>
  <c r="W36" i="46" s="1"/>
  <c r="V36" i="46"/>
  <c r="L61" i="46"/>
  <c r="W61" i="46" s="1"/>
  <c r="V61" i="46"/>
  <c r="AA110" i="89"/>
  <c r="BB57" i="110" s="1"/>
  <c r="W116" i="93"/>
  <c r="BZ63" i="110" s="1"/>
  <c r="AA19" i="28"/>
  <c r="AA42" i="28"/>
  <c r="V98" i="87"/>
  <c r="V99" i="87" s="1"/>
  <c r="AA19" i="89"/>
  <c r="AA42" i="89"/>
  <c r="U66" i="89"/>
  <c r="AV15" i="110" s="1"/>
  <c r="AG50" i="110"/>
  <c r="U84" i="93"/>
  <c r="U85" i="93" s="1"/>
  <c r="Y112" i="87"/>
  <c r="Y113" i="87" s="1"/>
  <c r="Y110" i="91"/>
  <c r="BN57" i="110" s="1"/>
  <c r="T68" i="91"/>
  <c r="T69" i="91" s="1"/>
  <c r="W117" i="87"/>
  <c r="Y110" i="89"/>
  <c r="AZ57" i="110" s="1"/>
  <c r="AJ64" i="110"/>
  <c r="X112" i="91"/>
  <c r="X113" i="91" s="1"/>
  <c r="Y110" i="93"/>
  <c r="CB57" i="110" s="1"/>
  <c r="AF50" i="110"/>
  <c r="U66" i="93"/>
  <c r="BX15" i="110" s="1"/>
  <c r="U84" i="91"/>
  <c r="U85" i="91" s="1"/>
  <c r="BI64" i="110"/>
  <c r="BW64" i="110"/>
  <c r="AU25" i="93"/>
  <c r="AU48" i="87"/>
  <c r="V98" i="28"/>
  <c r="V99" i="28" s="1"/>
  <c r="AX44" i="89"/>
  <c r="AX28" i="28"/>
  <c r="AX29" i="89"/>
  <c r="AX24" i="89"/>
  <c r="V64" i="87"/>
  <c r="AX25" i="89"/>
  <c r="AU47" i="93"/>
  <c r="T68" i="28"/>
  <c r="T69" i="28" s="1"/>
  <c r="AU45" i="91"/>
  <c r="AX27" i="89"/>
  <c r="V126" i="28"/>
  <c r="V127" i="28" s="1"/>
  <c r="V112" i="28"/>
  <c r="W110" i="28"/>
  <c r="W124" i="28"/>
  <c r="AX23" i="28"/>
  <c r="X123" i="28"/>
  <c r="X109" i="28"/>
  <c r="S68" i="28"/>
  <c r="S69" i="28" s="1"/>
  <c r="V65" i="93"/>
  <c r="BY14" i="110" s="1"/>
  <c r="S68" i="93"/>
  <c r="S69" i="93" s="1"/>
  <c r="U84" i="89"/>
  <c r="U85" i="89" s="1"/>
  <c r="S68" i="89"/>
  <c r="S69" i="89" s="1"/>
  <c r="S68" i="91"/>
  <c r="S69" i="91" s="1"/>
  <c r="T103" i="87"/>
  <c r="L19" i="89"/>
  <c r="K42" i="89"/>
  <c r="K61" i="89"/>
  <c r="L19" i="28"/>
  <c r="K61" i="28"/>
  <c r="K42" i="28"/>
  <c r="U6" i="46"/>
  <c r="U16" i="46"/>
  <c r="U8" i="46"/>
  <c r="U20" i="46"/>
  <c r="U18" i="46"/>
  <c r="BD55" i="93"/>
  <c r="Z109" i="93"/>
  <c r="CC56" i="110" s="1"/>
  <c r="Y63" i="28"/>
  <c r="X79" i="28"/>
  <c r="X93" i="28" s="1"/>
  <c r="X107" i="28" s="1"/>
  <c r="X121" i="28" s="1"/>
  <c r="X112" i="93"/>
  <c r="X113" i="93" s="1"/>
  <c r="Y63" i="89"/>
  <c r="X79" i="89"/>
  <c r="X93" i="89" s="1"/>
  <c r="X107" i="89" s="1"/>
  <c r="X121" i="89" s="1"/>
  <c r="BD55" i="91"/>
  <c r="Z109" i="91"/>
  <c r="BO56" i="110" s="1"/>
  <c r="Z110" i="87"/>
  <c r="AM57" i="110" s="1"/>
  <c r="Y63" i="93"/>
  <c r="X79" i="93"/>
  <c r="X93" i="93" s="1"/>
  <c r="X107" i="93" s="1"/>
  <c r="X121" i="93" s="1"/>
  <c r="BD55" i="89"/>
  <c r="Z109" i="89"/>
  <c r="BA56" i="110" s="1"/>
  <c r="X63" i="87"/>
  <c r="W79" i="87"/>
  <c r="W93" i="87" s="1"/>
  <c r="W107" i="87" s="1"/>
  <c r="W121" i="87" s="1"/>
  <c r="X112" i="89"/>
  <c r="X113" i="89" s="1"/>
  <c r="Y63" i="91"/>
  <c r="X79" i="91"/>
  <c r="X93" i="91" s="1"/>
  <c r="X107" i="91" s="1"/>
  <c r="X121" i="91" s="1"/>
  <c r="U84" i="87"/>
  <c r="U85" i="87" s="1"/>
  <c r="V102" i="87"/>
  <c r="AI49" i="110" s="1"/>
  <c r="U98" i="87"/>
  <c r="U99" i="87" s="1"/>
  <c r="V84" i="28"/>
  <c r="V85" i="28" s="1"/>
  <c r="S103" i="87"/>
  <c r="T88" i="87"/>
  <c r="AG35" i="110" s="1"/>
  <c r="AU21" i="87"/>
  <c r="X95" i="28"/>
  <c r="W82" i="89"/>
  <c r="AX29" i="110" s="1"/>
  <c r="V82" i="91"/>
  <c r="BK29" i="110" s="1"/>
  <c r="V82" i="87"/>
  <c r="AI29" i="110" s="1"/>
  <c r="H56" i="28"/>
  <c r="AW53" i="28"/>
  <c r="AW56" i="28" s="1"/>
  <c r="W82" i="28"/>
  <c r="AX21" i="28"/>
  <c r="X81" i="28"/>
  <c r="V82" i="93"/>
  <c r="BY29" i="110" s="1"/>
  <c r="W81" i="93"/>
  <c r="BZ28" i="110" s="1"/>
  <c r="W81" i="87"/>
  <c r="AJ28" i="110" s="1"/>
  <c r="W81" i="91"/>
  <c r="BL28" i="110" s="1"/>
  <c r="W96" i="28"/>
  <c r="X81" i="89"/>
  <c r="AY28" i="110" s="1"/>
  <c r="U66" i="87"/>
  <c r="S68" i="87"/>
  <c r="S69" i="87" s="1"/>
  <c r="BD55" i="87"/>
  <c r="V68" i="28"/>
  <c r="V69" i="28" s="1"/>
  <c r="AZ53" i="28"/>
  <c r="BA53" i="28" s="1"/>
  <c r="AZ54" i="28"/>
  <c r="BA54" i="28" s="1"/>
  <c r="W66" i="28"/>
  <c r="W66" i="89"/>
  <c r="AX15" i="110" s="1"/>
  <c r="T68" i="89"/>
  <c r="T69" i="89" s="1"/>
  <c r="I56" i="91"/>
  <c r="AT56" i="87"/>
  <c r="AU54" i="87"/>
  <c r="BC54" i="91"/>
  <c r="H56" i="91"/>
  <c r="AW53" i="91"/>
  <c r="H56" i="87"/>
  <c r="AW53" i="87"/>
  <c r="AW53" i="89"/>
  <c r="H56" i="89"/>
  <c r="AW53" i="93"/>
  <c r="H56" i="93"/>
  <c r="AX26" i="28"/>
  <c r="AX44" i="28"/>
  <c r="BD55" i="28"/>
  <c r="AW19" i="93"/>
  <c r="AW42" i="93" s="1"/>
  <c r="AU20" i="93"/>
  <c r="AU43" i="93"/>
  <c r="W56" i="93"/>
  <c r="W65" i="93" s="1"/>
  <c r="BZ14" i="110" s="1"/>
  <c r="AR40" i="93"/>
  <c r="Y19" i="93"/>
  <c r="Y42" i="93"/>
  <c r="I61" i="93"/>
  <c r="I42" i="93"/>
  <c r="J19" i="93"/>
  <c r="K19" i="93" s="1"/>
  <c r="AR56" i="93"/>
  <c r="Z42" i="89"/>
  <c r="J61" i="89"/>
  <c r="J42" i="89"/>
  <c r="Z19" i="89"/>
  <c r="AX43" i="89"/>
  <c r="X56" i="89"/>
  <c r="AU40" i="89"/>
  <c r="AZ19" i="89"/>
  <c r="AZ42" i="89" s="1"/>
  <c r="AU56" i="89"/>
  <c r="BA53" i="91"/>
  <c r="BA53" i="93"/>
  <c r="BA53" i="87"/>
  <c r="AU20" i="87"/>
  <c r="J42" i="28"/>
  <c r="J61" i="28"/>
  <c r="Z19" i="28"/>
  <c r="Z42" i="28"/>
  <c r="I61" i="91"/>
  <c r="Y19" i="91"/>
  <c r="Y42" i="91"/>
  <c r="J19" i="91"/>
  <c r="K19" i="91" s="1"/>
  <c r="I42" i="91"/>
  <c r="AU51" i="91"/>
  <c r="AU52" i="87"/>
  <c r="AU29" i="91"/>
  <c r="AR56" i="91"/>
  <c r="AZ19" i="28"/>
  <c r="AZ42" i="28" s="1"/>
  <c r="AR40" i="91"/>
  <c r="AU43" i="87"/>
  <c r="W56" i="87"/>
  <c r="W65" i="87" s="1"/>
  <c r="AJ14" i="110" s="1"/>
  <c r="AU22" i="87"/>
  <c r="AR40" i="87"/>
  <c r="AU43" i="91"/>
  <c r="W56" i="91"/>
  <c r="W65" i="91" s="1"/>
  <c r="BL14" i="110" s="1"/>
  <c r="AU22" i="91"/>
  <c r="AU20" i="91"/>
  <c r="AU49" i="91"/>
  <c r="AX43" i="28"/>
  <c r="X56" i="28"/>
  <c r="AU40" i="28"/>
  <c r="I42" i="87"/>
  <c r="Y42" i="87"/>
  <c r="J19" i="87"/>
  <c r="K19" i="87" s="1"/>
  <c r="I61" i="87"/>
  <c r="Y19" i="87"/>
  <c r="AU56" i="28"/>
  <c r="AU28" i="87"/>
  <c r="AU48" i="91"/>
  <c r="AU26" i="91"/>
  <c r="AW19" i="91"/>
  <c r="AW42" i="91" s="1"/>
  <c r="AU52" i="91"/>
  <c r="AW19" i="87"/>
  <c r="AW42" i="87" s="1"/>
  <c r="AX25" i="28"/>
  <c r="AX47" i="28"/>
  <c r="AR56" i="87"/>
  <c r="V113" i="28" l="1"/>
  <c r="AE2" i="107"/>
  <c r="I48" i="106"/>
  <c r="I55" i="110" s="1"/>
  <c r="F38" i="106"/>
  <c r="F45" i="110" s="1"/>
  <c r="AH46" i="110"/>
  <c r="AO2" i="107"/>
  <c r="K53" i="28"/>
  <c r="BF53" i="28" s="1"/>
  <c r="BA20" i="28"/>
  <c r="Y122" i="28"/>
  <c r="Y94" i="28"/>
  <c r="W41" i="110"/>
  <c r="I34" i="106"/>
  <c r="I62" i="106"/>
  <c r="I69" i="110" s="1"/>
  <c r="W69" i="110"/>
  <c r="V66" i="91"/>
  <c r="BK15" i="110" s="1"/>
  <c r="V66" i="89"/>
  <c r="AW15" i="110" s="1"/>
  <c r="W58" i="46"/>
  <c r="AB54" i="28"/>
  <c r="AB53" i="28"/>
  <c r="AX32" i="87"/>
  <c r="BA37" i="28"/>
  <c r="BA33" i="89"/>
  <c r="AA39" i="89"/>
  <c r="BG39" i="89" s="1"/>
  <c r="AA37" i="89"/>
  <c r="BG37" i="89" s="1"/>
  <c r="AA35" i="89"/>
  <c r="BG35" i="89" s="1"/>
  <c r="AA33" i="89"/>
  <c r="BG33" i="89" s="1"/>
  <c r="AA31" i="89"/>
  <c r="BG31" i="89" s="1"/>
  <c r="AA38" i="89"/>
  <c r="BG38" i="89" s="1"/>
  <c r="AA36" i="89"/>
  <c r="BG36" i="89" s="1"/>
  <c r="AA34" i="89"/>
  <c r="BG34" i="89" s="1"/>
  <c r="AA32" i="89"/>
  <c r="BG32" i="89" s="1"/>
  <c r="AA30" i="89"/>
  <c r="BG30" i="89" s="1"/>
  <c r="AX35" i="91"/>
  <c r="AX36" i="87"/>
  <c r="BA35" i="89"/>
  <c r="Y38" i="87"/>
  <c r="Y36" i="87"/>
  <c r="BA36" i="87" s="1"/>
  <c r="Y34" i="87"/>
  <c r="Y32" i="87"/>
  <c r="BA32" i="87" s="1"/>
  <c r="Y30" i="87"/>
  <c r="BA30" i="87" s="1"/>
  <c r="Y39" i="87"/>
  <c r="BA39" i="87" s="1"/>
  <c r="Y37" i="87"/>
  <c r="BA37" i="87" s="1"/>
  <c r="Y35" i="87"/>
  <c r="BA35" i="87" s="1"/>
  <c r="Y33" i="87"/>
  <c r="BA33" i="87" s="1"/>
  <c r="Y31" i="87"/>
  <c r="BA31" i="87" s="1"/>
  <c r="AX31" i="87"/>
  <c r="BA30" i="28"/>
  <c r="AX35" i="87"/>
  <c r="AX35" i="93"/>
  <c r="Z38" i="28"/>
  <c r="BD38" i="28" s="1"/>
  <c r="Z36" i="28"/>
  <c r="Z34" i="28"/>
  <c r="Z32" i="28"/>
  <c r="BD32" i="28" s="1"/>
  <c r="Z30" i="28"/>
  <c r="BD30" i="28" s="1"/>
  <c r="Z39" i="28"/>
  <c r="BD39" i="28" s="1"/>
  <c r="Z37" i="28"/>
  <c r="BD37" i="28" s="1"/>
  <c r="Z35" i="28"/>
  <c r="Z33" i="28"/>
  <c r="BD33" i="28" s="1"/>
  <c r="Z31" i="28"/>
  <c r="Z38" i="89"/>
  <c r="BD38" i="89" s="1"/>
  <c r="Z36" i="89"/>
  <c r="BD36" i="89" s="1"/>
  <c r="Z34" i="89"/>
  <c r="BD34" i="89" s="1"/>
  <c r="Z32" i="89"/>
  <c r="BD32" i="89" s="1"/>
  <c r="Z30" i="89"/>
  <c r="BD30" i="89" s="1"/>
  <c r="Z39" i="89"/>
  <c r="Z37" i="89"/>
  <c r="Z35" i="89"/>
  <c r="BD35" i="89" s="1"/>
  <c r="Z33" i="89"/>
  <c r="BD33" i="89" s="1"/>
  <c r="Z31" i="89"/>
  <c r="BD31" i="89" s="1"/>
  <c r="AA34" i="28"/>
  <c r="BG34" i="28" s="1"/>
  <c r="AA39" i="28"/>
  <c r="BG39" i="28" s="1"/>
  <c r="AA37" i="28"/>
  <c r="BG37" i="28" s="1"/>
  <c r="AA35" i="28"/>
  <c r="BG35" i="28" s="1"/>
  <c r="AA33" i="28"/>
  <c r="BG33" i="28" s="1"/>
  <c r="AA31" i="28"/>
  <c r="BG31" i="28" s="1"/>
  <c r="AA32" i="28"/>
  <c r="BG32" i="28" s="1"/>
  <c r="AA38" i="28"/>
  <c r="BG38" i="28" s="1"/>
  <c r="AA36" i="28"/>
  <c r="BG36" i="28" s="1"/>
  <c r="AA30" i="28"/>
  <c r="BG30" i="28" s="1"/>
  <c r="AX33" i="91"/>
  <c r="AX34" i="91"/>
  <c r="AX39" i="87"/>
  <c r="AX39" i="93"/>
  <c r="BA30" i="89"/>
  <c r="Y38" i="93"/>
  <c r="BA38" i="93" s="1"/>
  <c r="Y36" i="93"/>
  <c r="BA36" i="93" s="1"/>
  <c r="Y34" i="93"/>
  <c r="BA34" i="93" s="1"/>
  <c r="Y32" i="93"/>
  <c r="BA32" i="93" s="1"/>
  <c r="Y30" i="93"/>
  <c r="BA30" i="93" s="1"/>
  <c r="Y39" i="93"/>
  <c r="BA39" i="93" s="1"/>
  <c r="Y37" i="93"/>
  <c r="BA37" i="93" s="1"/>
  <c r="Y35" i="93"/>
  <c r="BA35" i="93" s="1"/>
  <c r="Y33" i="93"/>
  <c r="BA33" i="93" s="1"/>
  <c r="Y31" i="93"/>
  <c r="BA31" i="93" s="1"/>
  <c r="AX38" i="91"/>
  <c r="AX34" i="93"/>
  <c r="BA32" i="89"/>
  <c r="AX30" i="91"/>
  <c r="AX33" i="87"/>
  <c r="AX38" i="93"/>
  <c r="BA34" i="89"/>
  <c r="Y38" i="91"/>
  <c r="BA38" i="91" s="1"/>
  <c r="Y36" i="91"/>
  <c r="Y34" i="91"/>
  <c r="BA34" i="91" s="1"/>
  <c r="Y32" i="91"/>
  <c r="Y30" i="91"/>
  <c r="BA30" i="91" s="1"/>
  <c r="Y39" i="91"/>
  <c r="Y37" i="91"/>
  <c r="BA37" i="91" s="1"/>
  <c r="Y35" i="91"/>
  <c r="BA35" i="91" s="1"/>
  <c r="Y33" i="91"/>
  <c r="BA33" i="91" s="1"/>
  <c r="Y31" i="91"/>
  <c r="BA31" i="91" s="1"/>
  <c r="AX33" i="93"/>
  <c r="BA31" i="89"/>
  <c r="BA36" i="89"/>
  <c r="X64" i="89"/>
  <c r="AY13" i="110" s="1"/>
  <c r="F24" i="106"/>
  <c r="F31" i="110" s="1"/>
  <c r="T18" i="110"/>
  <c r="AU18" i="110"/>
  <c r="AU17" i="110"/>
  <c r="AF18" i="110"/>
  <c r="AF17" i="110"/>
  <c r="W28" i="110"/>
  <c r="W42" i="110"/>
  <c r="I35" i="106"/>
  <c r="U73" i="110"/>
  <c r="G66" i="106"/>
  <c r="G73" i="110" s="1"/>
  <c r="BJ32" i="110"/>
  <c r="BJ31" i="110"/>
  <c r="T131" i="28"/>
  <c r="S77" i="110"/>
  <c r="S78" i="110" s="1"/>
  <c r="E70" i="106"/>
  <c r="E77" i="110" s="1"/>
  <c r="E78" i="110" s="1"/>
  <c r="H7" i="106"/>
  <c r="H14" i="110" s="1"/>
  <c r="AH15" i="110"/>
  <c r="F8" i="106"/>
  <c r="F15" i="110" s="1"/>
  <c r="BI18" i="110"/>
  <c r="BI17" i="110"/>
  <c r="W56" i="110"/>
  <c r="I49" i="106"/>
  <c r="I56" i="110" s="1"/>
  <c r="W13" i="110"/>
  <c r="D73" i="110"/>
  <c r="V43" i="110"/>
  <c r="S17" i="110"/>
  <c r="E10" i="106"/>
  <c r="E17" i="110" s="1"/>
  <c r="W27" i="110"/>
  <c r="D31" i="110"/>
  <c r="D59" i="110"/>
  <c r="G28" i="110"/>
  <c r="R74" i="110"/>
  <c r="D67" i="106"/>
  <c r="AI46" i="110"/>
  <c r="AI45" i="110"/>
  <c r="X56" i="110"/>
  <c r="J49" i="106"/>
  <c r="J56" i="110" s="1"/>
  <c r="V29" i="110"/>
  <c r="AY60" i="110"/>
  <c r="AY59" i="110"/>
  <c r="U31" i="110"/>
  <c r="BH18" i="110"/>
  <c r="BH17" i="110"/>
  <c r="BX32" i="110"/>
  <c r="BX31" i="110"/>
  <c r="T60" i="110"/>
  <c r="F53" i="106"/>
  <c r="F60" i="110" s="1"/>
  <c r="H56" i="110"/>
  <c r="T32" i="110"/>
  <c r="D10" i="106"/>
  <c r="R17" i="110"/>
  <c r="S32" i="110"/>
  <c r="E25" i="106"/>
  <c r="E32" i="110" s="1"/>
  <c r="W70" i="110"/>
  <c r="I63" i="106"/>
  <c r="I70" i="110" s="1"/>
  <c r="U45" i="110"/>
  <c r="G38" i="106"/>
  <c r="G45" i="110" s="1"/>
  <c r="AL60" i="110"/>
  <c r="AL59" i="110"/>
  <c r="AH45" i="110"/>
  <c r="AT18" i="110"/>
  <c r="AT17" i="110"/>
  <c r="V71" i="110"/>
  <c r="H64" i="106"/>
  <c r="H71" i="110" s="1"/>
  <c r="BM60" i="110"/>
  <c r="BM59" i="110"/>
  <c r="BW18" i="110"/>
  <c r="BW17" i="110"/>
  <c r="R32" i="110"/>
  <c r="D25" i="106"/>
  <c r="R60" i="110"/>
  <c r="D53" i="106"/>
  <c r="G7" i="106"/>
  <c r="CA60" i="110"/>
  <c r="CA59" i="110"/>
  <c r="V57" i="110"/>
  <c r="H50" i="106"/>
  <c r="H57" i="110" s="1"/>
  <c r="D15" i="110"/>
  <c r="T46" i="110"/>
  <c r="H20" i="106"/>
  <c r="H27" i="110" s="1"/>
  <c r="H21" i="106"/>
  <c r="H28" i="110" s="1"/>
  <c r="R63" i="110"/>
  <c r="D56" i="106"/>
  <c r="R46" i="110"/>
  <c r="D39" i="106"/>
  <c r="V15" i="110"/>
  <c r="U17" i="110"/>
  <c r="AV32" i="110"/>
  <c r="AV31" i="110"/>
  <c r="AI13" i="110"/>
  <c r="G6" i="106"/>
  <c r="G13" i="110" s="1"/>
  <c r="T77" i="110"/>
  <c r="F70" i="106"/>
  <c r="F77" i="110" s="1"/>
  <c r="AH32" i="110"/>
  <c r="AH31" i="110"/>
  <c r="BV18" i="110"/>
  <c r="BV17" i="110"/>
  <c r="U59" i="110"/>
  <c r="G52" i="106"/>
  <c r="G59" i="110" s="1"/>
  <c r="T117" i="28"/>
  <c r="S63" i="110"/>
  <c r="S64" i="110" s="1"/>
  <c r="E56" i="106"/>
  <c r="E63" i="110" s="1"/>
  <c r="E64" i="110" s="1"/>
  <c r="G22" i="106"/>
  <c r="T74" i="110"/>
  <c r="F67" i="106"/>
  <c r="F74" i="110" s="1"/>
  <c r="D45" i="110"/>
  <c r="X40" i="93"/>
  <c r="AX40" i="93" s="1"/>
  <c r="X80" i="93"/>
  <c r="CA27" i="110" s="1"/>
  <c r="BA20" i="89"/>
  <c r="Y40" i="89"/>
  <c r="Y64" i="89" s="1"/>
  <c r="AZ13" i="110" s="1"/>
  <c r="Y80" i="89"/>
  <c r="AZ27" i="110" s="1"/>
  <c r="X40" i="91"/>
  <c r="AX40" i="91" s="1"/>
  <c r="X80" i="91"/>
  <c r="BM27" i="110" s="1"/>
  <c r="BA25" i="28"/>
  <c r="Y108" i="28"/>
  <c r="AX20" i="87"/>
  <c r="X80" i="87"/>
  <c r="AK27" i="110" s="1"/>
  <c r="X40" i="87"/>
  <c r="AX40" i="87" s="1"/>
  <c r="Y80" i="28"/>
  <c r="Y40" i="28"/>
  <c r="Y64" i="28" s="1"/>
  <c r="AX40" i="28"/>
  <c r="V84" i="89"/>
  <c r="V85" i="89" s="1"/>
  <c r="AA52" i="28"/>
  <c r="AA48" i="28"/>
  <c r="AA44" i="28"/>
  <c r="AA27" i="28"/>
  <c r="BG27" i="28" s="1"/>
  <c r="AA23" i="28"/>
  <c r="BG23" i="28" s="1"/>
  <c r="AA50" i="28"/>
  <c r="AA46" i="28"/>
  <c r="AA29" i="28"/>
  <c r="BG29" i="28" s="1"/>
  <c r="AA25" i="28"/>
  <c r="AA21" i="28"/>
  <c r="AA51" i="28"/>
  <c r="AA49" i="28"/>
  <c r="AA28" i="28"/>
  <c r="BG28" i="28" s="1"/>
  <c r="AA22" i="28"/>
  <c r="BG22" i="28" s="1"/>
  <c r="AA47" i="28"/>
  <c r="AA26" i="28"/>
  <c r="BG26" i="28" s="1"/>
  <c r="AA24" i="28"/>
  <c r="BG24" i="28" s="1"/>
  <c r="AA43" i="28"/>
  <c r="AA45" i="28"/>
  <c r="AA20" i="28"/>
  <c r="BC19" i="89"/>
  <c r="Z43" i="89"/>
  <c r="Z50" i="89"/>
  <c r="Z46" i="89"/>
  <c r="Z52" i="89"/>
  <c r="Z48" i="89"/>
  <c r="Z44" i="89"/>
  <c r="Z28" i="89"/>
  <c r="Z23" i="89"/>
  <c r="Z26" i="89"/>
  <c r="Z20" i="89"/>
  <c r="Z49" i="89"/>
  <c r="Z45" i="89"/>
  <c r="Z29" i="89"/>
  <c r="Z21" i="89"/>
  <c r="Z24" i="89"/>
  <c r="Z47" i="89"/>
  <c r="Z51" i="89"/>
  <c r="Z22" i="89"/>
  <c r="BD22" i="89" s="1"/>
  <c r="Z25" i="89"/>
  <c r="Z27" i="89"/>
  <c r="BC19" i="28"/>
  <c r="BC42" i="28" s="1"/>
  <c r="Z49" i="28"/>
  <c r="Z45" i="28"/>
  <c r="Z51" i="28"/>
  <c r="Z47" i="28"/>
  <c r="Z28" i="28"/>
  <c r="Z25" i="28"/>
  <c r="Z23" i="28"/>
  <c r="Z22" i="28"/>
  <c r="Z43" i="28"/>
  <c r="Z44" i="28"/>
  <c r="Z48" i="28"/>
  <c r="Z46" i="28"/>
  <c r="Z52" i="28"/>
  <c r="Z50" i="28"/>
  <c r="Z27" i="28"/>
  <c r="Z21" i="28"/>
  <c r="Z29" i="28"/>
  <c r="Z26" i="28"/>
  <c r="Z24" i="28"/>
  <c r="Z20" i="28"/>
  <c r="Y52" i="93"/>
  <c r="BA52" i="93" s="1"/>
  <c r="Y51" i="93"/>
  <c r="BA51" i="93" s="1"/>
  <c r="Y50" i="93"/>
  <c r="BA50" i="93" s="1"/>
  <c r="Y49" i="93"/>
  <c r="BA49" i="93" s="1"/>
  <c r="Y48" i="93"/>
  <c r="BA48" i="93" s="1"/>
  <c r="Y47" i="93"/>
  <c r="BA47" i="93" s="1"/>
  <c r="Y46" i="93"/>
  <c r="BA46" i="93" s="1"/>
  <c r="Y45" i="93"/>
  <c r="BA45" i="93" s="1"/>
  <c r="Y44" i="93"/>
  <c r="BA44" i="93" s="1"/>
  <c r="Y29" i="93"/>
  <c r="BA29" i="93" s="1"/>
  <c r="Y28" i="93"/>
  <c r="BA28" i="93" s="1"/>
  <c r="Y27" i="93"/>
  <c r="BA27" i="93" s="1"/>
  <c r="Y26" i="93"/>
  <c r="BA26" i="93" s="1"/>
  <c r="Y25" i="93"/>
  <c r="BA25" i="93" s="1"/>
  <c r="Y24" i="93"/>
  <c r="BA24" i="93" s="1"/>
  <c r="Y23" i="93"/>
  <c r="BA23" i="93" s="1"/>
  <c r="Y22" i="93"/>
  <c r="BA22" i="93" s="1"/>
  <c r="Y21" i="93"/>
  <c r="BA21" i="93" s="1"/>
  <c r="Y43" i="93"/>
  <c r="BA43" i="93" s="1"/>
  <c r="Y20" i="93"/>
  <c r="AA49" i="89"/>
  <c r="AA45" i="89"/>
  <c r="AA28" i="89"/>
  <c r="BG28" i="89" s="1"/>
  <c r="AA24" i="89"/>
  <c r="BG24" i="89" s="1"/>
  <c r="AA51" i="89"/>
  <c r="AA47" i="89"/>
  <c r="AA26" i="89"/>
  <c r="BG26" i="89" s="1"/>
  <c r="AA22" i="89"/>
  <c r="BG22" i="89" s="1"/>
  <c r="AA43" i="89"/>
  <c r="AA20" i="89"/>
  <c r="AA48" i="89"/>
  <c r="AA27" i="89"/>
  <c r="BG27" i="89" s="1"/>
  <c r="AA52" i="89"/>
  <c r="AA29" i="89"/>
  <c r="BG29" i="89" s="1"/>
  <c r="AA44" i="89"/>
  <c r="AA25" i="89"/>
  <c r="BG25" i="89" s="1"/>
  <c r="AA50" i="89"/>
  <c r="AA23" i="89"/>
  <c r="AA21" i="89"/>
  <c r="BG21" i="89" s="1"/>
  <c r="AA46" i="89"/>
  <c r="Y52" i="87"/>
  <c r="BA52" i="87" s="1"/>
  <c r="Y51" i="87"/>
  <c r="Y50" i="87"/>
  <c r="BA50" i="87" s="1"/>
  <c r="Y49" i="87"/>
  <c r="BA49" i="87" s="1"/>
  <c r="Y48" i="87"/>
  <c r="BA48" i="87" s="1"/>
  <c r="Y47" i="87"/>
  <c r="BA47" i="87" s="1"/>
  <c r="Y46" i="87"/>
  <c r="BA46" i="87" s="1"/>
  <c r="Y45" i="87"/>
  <c r="BA45" i="87" s="1"/>
  <c r="Y44" i="87"/>
  <c r="Y29" i="87"/>
  <c r="BA29" i="87" s="1"/>
  <c r="Y28" i="87"/>
  <c r="BA28" i="87" s="1"/>
  <c r="Y27" i="87"/>
  <c r="BA27" i="87" s="1"/>
  <c r="Y26" i="87"/>
  <c r="BA26" i="87" s="1"/>
  <c r="Y43" i="87"/>
  <c r="BA43" i="87" s="1"/>
  <c r="Y25" i="87"/>
  <c r="BA25" i="87" s="1"/>
  <c r="Y24" i="87"/>
  <c r="BA24" i="87" s="1"/>
  <c r="Y23" i="87"/>
  <c r="BA23" i="87" s="1"/>
  <c r="Y22" i="87"/>
  <c r="BA22" i="87" s="1"/>
  <c r="Y21" i="87"/>
  <c r="Y20" i="87"/>
  <c r="BA20" i="87" s="1"/>
  <c r="Y52" i="91"/>
  <c r="BA52" i="91" s="1"/>
  <c r="Y51" i="91"/>
  <c r="BA51" i="91" s="1"/>
  <c r="Y50" i="91"/>
  <c r="BA50" i="91" s="1"/>
  <c r="Y49" i="91"/>
  <c r="BA49" i="91" s="1"/>
  <c r="Y48" i="91"/>
  <c r="BA48" i="91" s="1"/>
  <c r="Y47" i="91"/>
  <c r="BA47" i="91" s="1"/>
  <c r="Y46" i="91"/>
  <c r="BA46" i="91" s="1"/>
  <c r="Y45" i="91"/>
  <c r="BA45" i="91" s="1"/>
  <c r="Y44" i="91"/>
  <c r="Y29" i="91"/>
  <c r="BA29" i="91" s="1"/>
  <c r="Y28" i="91"/>
  <c r="BA28" i="91" s="1"/>
  <c r="Y27" i="91"/>
  <c r="BA27" i="91" s="1"/>
  <c r="Y26" i="91"/>
  <c r="BA26" i="91" s="1"/>
  <c r="Y25" i="91"/>
  <c r="BA25" i="91" s="1"/>
  <c r="Y24" i="91"/>
  <c r="BA24" i="91" s="1"/>
  <c r="Y23" i="91"/>
  <c r="BA23" i="91" s="1"/>
  <c r="Y22" i="91"/>
  <c r="BA22" i="91" s="1"/>
  <c r="Y20" i="91"/>
  <c r="Y21" i="91"/>
  <c r="BA21" i="91" s="1"/>
  <c r="Y43" i="91"/>
  <c r="BA43" i="91" s="1"/>
  <c r="S89" i="89"/>
  <c r="S89" i="93"/>
  <c r="S89" i="91"/>
  <c r="S89" i="87"/>
  <c r="BV64" i="110"/>
  <c r="S117" i="93"/>
  <c r="BI36" i="110"/>
  <c r="AF36" i="110"/>
  <c r="BV36" i="110"/>
  <c r="AT64" i="110"/>
  <c r="BH64" i="110"/>
  <c r="S117" i="91"/>
  <c r="S117" i="89"/>
  <c r="U131" i="28"/>
  <c r="S130" i="28"/>
  <c r="BF54" i="28"/>
  <c r="V66" i="87"/>
  <c r="S117" i="28"/>
  <c r="U88" i="28"/>
  <c r="V117" i="93"/>
  <c r="U68" i="91"/>
  <c r="U69" i="91" s="1"/>
  <c r="T88" i="93"/>
  <c r="S102" i="28"/>
  <c r="U116" i="28"/>
  <c r="T89" i="91"/>
  <c r="AF55" i="87"/>
  <c r="R55" i="87"/>
  <c r="AF55" i="89"/>
  <c r="R55" i="89"/>
  <c r="AF55" i="91"/>
  <c r="R55" i="91"/>
  <c r="AF55" i="93"/>
  <c r="R55" i="93"/>
  <c r="W117" i="93"/>
  <c r="W6" i="46"/>
  <c r="V6" i="46"/>
  <c r="M53" i="89"/>
  <c r="BI54" i="87"/>
  <c r="BJ54" i="87" s="1"/>
  <c r="BI54" i="89"/>
  <c r="BJ54" i="89" s="1"/>
  <c r="BI54" i="93"/>
  <c r="BJ54" i="93" s="1"/>
  <c r="BI54" i="91"/>
  <c r="BJ54" i="91" s="1"/>
  <c r="M53" i="93"/>
  <c r="M53" i="91"/>
  <c r="BJ55" i="28"/>
  <c r="BG55" i="28"/>
  <c r="BG53" i="93"/>
  <c r="BF56" i="93"/>
  <c r="W20" i="46"/>
  <c r="V20" i="46"/>
  <c r="AC55" i="28"/>
  <c r="R55" i="28" s="1"/>
  <c r="AA112" i="93"/>
  <c r="AA113" i="93" s="1"/>
  <c r="BG53" i="91"/>
  <c r="BF56" i="91"/>
  <c r="W18" i="46"/>
  <c r="V18" i="46"/>
  <c r="W8" i="46"/>
  <c r="V8" i="46"/>
  <c r="BG53" i="87"/>
  <c r="BF56" i="87"/>
  <c r="AB109" i="91"/>
  <c r="BQ56" i="110" s="1"/>
  <c r="BR56" i="110" s="1"/>
  <c r="BG55" i="91"/>
  <c r="BJ55" i="91"/>
  <c r="AA112" i="89"/>
  <c r="AA113" i="89" s="1"/>
  <c r="AA112" i="91"/>
  <c r="AA113" i="91" s="1"/>
  <c r="AB109" i="93"/>
  <c r="CE56" i="110" s="1"/>
  <c r="CF56" i="110" s="1"/>
  <c r="BJ55" i="93"/>
  <c r="BG55" i="93"/>
  <c r="W16" i="46"/>
  <c r="V16" i="46"/>
  <c r="T89" i="89"/>
  <c r="AU36" i="110"/>
  <c r="BG53" i="89"/>
  <c r="BF56" i="89"/>
  <c r="AB109" i="89"/>
  <c r="BC56" i="110" s="1"/>
  <c r="BD56" i="110" s="1"/>
  <c r="BJ55" i="89"/>
  <c r="BG55" i="89"/>
  <c r="AA112" i="87"/>
  <c r="AA113" i="87" s="1"/>
  <c r="AB109" i="87"/>
  <c r="AO56" i="110" s="1"/>
  <c r="AP56" i="110" s="1"/>
  <c r="BJ55" i="87"/>
  <c r="BG55" i="87"/>
  <c r="U68" i="89"/>
  <c r="U69" i="89" s="1"/>
  <c r="AA42" i="93"/>
  <c r="AA19" i="93"/>
  <c r="AB19" i="89"/>
  <c r="AB42" i="89"/>
  <c r="AA19" i="91"/>
  <c r="AA42" i="91"/>
  <c r="BF19" i="89"/>
  <c r="BF42" i="89" s="1"/>
  <c r="AA19" i="87"/>
  <c r="AA42" i="87"/>
  <c r="AB42" i="28"/>
  <c r="AB19" i="28"/>
  <c r="BF19" i="28"/>
  <c r="BF42" i="28" s="1"/>
  <c r="BL64" i="110"/>
  <c r="AG36" i="110"/>
  <c r="Y112" i="91"/>
  <c r="Y113" i="91" s="1"/>
  <c r="V84" i="87"/>
  <c r="V85" i="87" s="1"/>
  <c r="BH36" i="110"/>
  <c r="AT36" i="110"/>
  <c r="W68" i="89"/>
  <c r="W69" i="89" s="1"/>
  <c r="W84" i="89"/>
  <c r="W85" i="89" s="1"/>
  <c r="BY64" i="110"/>
  <c r="X117" i="87"/>
  <c r="AK64" i="110"/>
  <c r="U68" i="93"/>
  <c r="U69" i="93" s="1"/>
  <c r="Y112" i="89"/>
  <c r="Y113" i="89" s="1"/>
  <c r="Y112" i="93"/>
  <c r="Y113" i="93" s="1"/>
  <c r="W68" i="28"/>
  <c r="W69" i="28" s="1"/>
  <c r="W64" i="93"/>
  <c r="BZ13" i="110" s="1"/>
  <c r="AX27" i="91"/>
  <c r="BA22" i="89"/>
  <c r="W98" i="28"/>
  <c r="W99" i="28" s="1"/>
  <c r="U72" i="28"/>
  <c r="AX46" i="93"/>
  <c r="AX23" i="87"/>
  <c r="V66" i="93"/>
  <c r="BY15" i="110" s="1"/>
  <c r="W126" i="28"/>
  <c r="W127" i="28" s="1"/>
  <c r="X124" i="28"/>
  <c r="X110" i="28"/>
  <c r="W112" i="28"/>
  <c r="BA23" i="28"/>
  <c r="BA21" i="28"/>
  <c r="BA43" i="28"/>
  <c r="Y123" i="28"/>
  <c r="Z110" i="89"/>
  <c r="BA57" i="110" s="1"/>
  <c r="Z110" i="93"/>
  <c r="CC57" i="110" s="1"/>
  <c r="V84" i="91"/>
  <c r="V85" i="91" s="1"/>
  <c r="V84" i="93"/>
  <c r="V85" i="93" s="1"/>
  <c r="Z110" i="91"/>
  <c r="BO57" i="110" s="1"/>
  <c r="X65" i="28"/>
  <c r="W117" i="91"/>
  <c r="L42" i="28"/>
  <c r="L61" i="28"/>
  <c r="L19" i="91"/>
  <c r="K61" i="91"/>
  <c r="K42" i="91"/>
  <c r="L19" i="93"/>
  <c r="K61" i="93"/>
  <c r="K42" i="93"/>
  <c r="L42" i="89"/>
  <c r="L61" i="89"/>
  <c r="L19" i="87"/>
  <c r="K61" i="87"/>
  <c r="K42" i="87"/>
  <c r="Z63" i="93"/>
  <c r="Y79" i="93"/>
  <c r="Y93" i="93" s="1"/>
  <c r="Y107" i="93" s="1"/>
  <c r="Y121" i="93" s="1"/>
  <c r="Z63" i="89"/>
  <c r="Y79" i="89"/>
  <c r="Y93" i="89" s="1"/>
  <c r="Y107" i="89" s="1"/>
  <c r="Y121" i="89" s="1"/>
  <c r="Z63" i="91"/>
  <c r="Y79" i="91"/>
  <c r="Y93" i="91" s="1"/>
  <c r="Y107" i="91" s="1"/>
  <c r="Y121" i="91" s="1"/>
  <c r="Y63" i="87"/>
  <c r="X79" i="87"/>
  <c r="X93" i="87" s="1"/>
  <c r="X107" i="87" s="1"/>
  <c r="X121" i="87" s="1"/>
  <c r="Z112" i="87"/>
  <c r="Z113" i="87" s="1"/>
  <c r="Z63" i="28"/>
  <c r="Y79" i="28"/>
  <c r="Y93" i="28" s="1"/>
  <c r="Y107" i="28" s="1"/>
  <c r="Y121" i="28" s="1"/>
  <c r="W84" i="28"/>
  <c r="W85" i="28" s="1"/>
  <c r="U88" i="87"/>
  <c r="AH35" i="110" s="1"/>
  <c r="V72" i="87"/>
  <c r="AI21" i="110" s="1"/>
  <c r="T72" i="87"/>
  <c r="AG21" i="110" s="1"/>
  <c r="T89" i="87"/>
  <c r="W96" i="87"/>
  <c r="AJ43" i="110" s="1"/>
  <c r="AX21" i="87"/>
  <c r="U102" i="28"/>
  <c r="X96" i="28"/>
  <c r="Y95" i="28"/>
  <c r="W82" i="93"/>
  <c r="BZ29" i="110" s="1"/>
  <c r="X82" i="28"/>
  <c r="S88" i="28"/>
  <c r="Y81" i="28"/>
  <c r="AX53" i="28"/>
  <c r="U68" i="87"/>
  <c r="U69" i="87" s="1"/>
  <c r="X81" i="93"/>
  <c r="CA28" i="110" s="1"/>
  <c r="X82" i="89"/>
  <c r="AY29" i="110" s="1"/>
  <c r="T102" i="28"/>
  <c r="X81" i="91"/>
  <c r="BM28" i="110" s="1"/>
  <c r="T88" i="28"/>
  <c r="W82" i="87"/>
  <c r="AJ29" i="110" s="1"/>
  <c r="X81" i="87"/>
  <c r="AK28" i="110" s="1"/>
  <c r="Y81" i="89"/>
  <c r="AZ28" i="110" s="1"/>
  <c r="W82" i="91"/>
  <c r="BL29" i="110" s="1"/>
  <c r="I56" i="28"/>
  <c r="BC53" i="28"/>
  <c r="BD53" i="28" s="1"/>
  <c r="W66" i="91"/>
  <c r="BL15" i="110" s="1"/>
  <c r="X65" i="89"/>
  <c r="AY14" i="110" s="1"/>
  <c r="W66" i="87"/>
  <c r="AJ15" i="110" s="1"/>
  <c r="AZ56" i="28"/>
  <c r="AZ53" i="89"/>
  <c r="BA53" i="89" s="1"/>
  <c r="BC54" i="87"/>
  <c r="BD54" i="87" s="1"/>
  <c r="BC54" i="93"/>
  <c r="BD54" i="93" s="1"/>
  <c r="AZ54" i="87"/>
  <c r="I56" i="87"/>
  <c r="AZ54" i="93"/>
  <c r="I56" i="93"/>
  <c r="I56" i="89"/>
  <c r="BC53" i="87"/>
  <c r="BD53" i="87" s="1"/>
  <c r="AZ54" i="89"/>
  <c r="BA54" i="89" s="1"/>
  <c r="BC54" i="28"/>
  <c r="BD54" i="28" s="1"/>
  <c r="AZ54" i="91"/>
  <c r="BC54" i="89"/>
  <c r="BD54" i="89" s="1"/>
  <c r="AX53" i="93"/>
  <c r="AW56" i="93"/>
  <c r="AX53" i="87"/>
  <c r="AW56" i="87"/>
  <c r="AW56" i="91"/>
  <c r="AX53" i="91"/>
  <c r="AW56" i="89"/>
  <c r="AX56" i="89" s="1"/>
  <c r="AX53" i="89"/>
  <c r="BD54" i="91"/>
  <c r="AU40" i="93"/>
  <c r="AZ19" i="93"/>
  <c r="AZ42" i="93" s="1"/>
  <c r="AX43" i="93"/>
  <c r="X56" i="93"/>
  <c r="X65" i="93" s="1"/>
  <c r="CA14" i="110" s="1"/>
  <c r="J42" i="93"/>
  <c r="Z19" i="93"/>
  <c r="Z42" i="93"/>
  <c r="J61" i="93"/>
  <c r="AU56" i="93"/>
  <c r="Y56" i="89"/>
  <c r="Y65" i="89" s="1"/>
  <c r="AZ14" i="110" s="1"/>
  <c r="BC42" i="89"/>
  <c r="AX27" i="87"/>
  <c r="AX48" i="87"/>
  <c r="AZ19" i="87"/>
  <c r="AZ42" i="87" s="1"/>
  <c r="AU40" i="91"/>
  <c r="AU56" i="87"/>
  <c r="Y56" i="28"/>
  <c r="Y65" i="28" s="1"/>
  <c r="BA52" i="28"/>
  <c r="BA51" i="28"/>
  <c r="Z42" i="91"/>
  <c r="J61" i="91"/>
  <c r="J42" i="91"/>
  <c r="Z19" i="91"/>
  <c r="AX47" i="91"/>
  <c r="BA45" i="28"/>
  <c r="AX43" i="87"/>
  <c r="X56" i="87"/>
  <c r="X65" i="87" s="1"/>
  <c r="AK14" i="110" s="1"/>
  <c r="AX28" i="91"/>
  <c r="Z19" i="87"/>
  <c r="Z42" i="87"/>
  <c r="J61" i="87"/>
  <c r="J42" i="87"/>
  <c r="BA48" i="28"/>
  <c r="AX29" i="87"/>
  <c r="BA46" i="28"/>
  <c r="AZ19" i="91"/>
  <c r="AZ42" i="91" s="1"/>
  <c r="AU40" i="87"/>
  <c r="AX49" i="87"/>
  <c r="AX25" i="91"/>
  <c r="AX25" i="87"/>
  <c r="AX46" i="91"/>
  <c r="Z109" i="28"/>
  <c r="AU56" i="91"/>
  <c r="AX45" i="91"/>
  <c r="AX24" i="91"/>
  <c r="AX43" i="91"/>
  <c r="X56" i="91"/>
  <c r="X65" i="91" s="1"/>
  <c r="BM14" i="110" s="1"/>
  <c r="BA44" i="28"/>
  <c r="AX21" i="91"/>
  <c r="AX56" i="28"/>
  <c r="W113" i="28" l="1"/>
  <c r="AF2" i="107"/>
  <c r="AC53" i="28"/>
  <c r="R53" i="28" s="1"/>
  <c r="L53" i="28"/>
  <c r="AP2" i="107"/>
  <c r="AC54" i="28"/>
  <c r="R54" i="28" s="1"/>
  <c r="L54" i="28"/>
  <c r="BI54" i="28" s="1"/>
  <c r="BJ54" i="28" s="1"/>
  <c r="V68" i="91"/>
  <c r="Z108" i="28"/>
  <c r="AA108" i="28"/>
  <c r="AA122" i="28"/>
  <c r="AA94" i="28"/>
  <c r="J34" i="106"/>
  <c r="J41" i="110" s="1"/>
  <c r="X41" i="110"/>
  <c r="X69" i="110"/>
  <c r="J62" i="106"/>
  <c r="J69" i="110" s="1"/>
  <c r="Z122" i="28"/>
  <c r="AC122" i="28" s="1"/>
  <c r="R122" i="28" s="1"/>
  <c r="Z94" i="28"/>
  <c r="I41" i="110"/>
  <c r="V68" i="89"/>
  <c r="V69" i="89" s="1"/>
  <c r="BG54" i="28"/>
  <c r="BG53" i="28"/>
  <c r="BD34" i="28"/>
  <c r="BA38" i="87"/>
  <c r="AB31" i="89"/>
  <c r="AB39" i="89"/>
  <c r="BJ39" i="89" s="1"/>
  <c r="AB37" i="89"/>
  <c r="BJ37" i="89" s="1"/>
  <c r="AB35" i="89"/>
  <c r="BJ35" i="89" s="1"/>
  <c r="AB33" i="89"/>
  <c r="BJ33" i="89" s="1"/>
  <c r="AB38" i="89"/>
  <c r="AB36" i="89"/>
  <c r="AB34" i="89"/>
  <c r="AB32" i="89"/>
  <c r="AB30" i="89"/>
  <c r="BA32" i="91"/>
  <c r="BD31" i="28"/>
  <c r="BD36" i="28"/>
  <c r="AA39" i="87"/>
  <c r="BG39" i="87" s="1"/>
  <c r="AA37" i="87"/>
  <c r="BG37" i="87" s="1"/>
  <c r="AA35" i="87"/>
  <c r="BG35" i="87" s="1"/>
  <c r="AA33" i="87"/>
  <c r="BG33" i="87" s="1"/>
  <c r="AA31" i="87"/>
  <c r="BG31" i="87" s="1"/>
  <c r="AA36" i="87"/>
  <c r="BG36" i="87" s="1"/>
  <c r="AA34" i="87"/>
  <c r="BG34" i="87" s="1"/>
  <c r="AA32" i="87"/>
  <c r="BG32" i="87" s="1"/>
  <c r="AA30" i="87"/>
  <c r="BG30" i="87" s="1"/>
  <c r="AA38" i="87"/>
  <c r="BG38" i="87" s="1"/>
  <c r="AA39" i="93"/>
  <c r="BG39" i="93" s="1"/>
  <c r="AA37" i="93"/>
  <c r="BG37" i="93" s="1"/>
  <c r="AA35" i="93"/>
  <c r="BG35" i="93" s="1"/>
  <c r="AA33" i="93"/>
  <c r="BG33" i="93" s="1"/>
  <c r="AA31" i="93"/>
  <c r="BG31" i="93" s="1"/>
  <c r="AA38" i="93"/>
  <c r="BG38" i="93" s="1"/>
  <c r="AA36" i="93"/>
  <c r="BG36" i="93" s="1"/>
  <c r="AA34" i="93"/>
  <c r="BG34" i="93" s="1"/>
  <c r="AA32" i="93"/>
  <c r="BG32" i="93" s="1"/>
  <c r="AA30" i="93"/>
  <c r="BG30" i="93" s="1"/>
  <c r="BD37" i="89"/>
  <c r="Z38" i="91"/>
  <c r="BD38" i="91" s="1"/>
  <c r="Z36" i="91"/>
  <c r="BD36" i="91" s="1"/>
  <c r="Z34" i="91"/>
  <c r="BD34" i="91" s="1"/>
  <c r="Z32" i="91"/>
  <c r="BD32" i="91" s="1"/>
  <c r="Z30" i="91"/>
  <c r="BD30" i="91" s="1"/>
  <c r="Z39" i="91"/>
  <c r="BD39" i="91" s="1"/>
  <c r="Z37" i="91"/>
  <c r="BD37" i="91" s="1"/>
  <c r="Z35" i="91"/>
  <c r="BD35" i="91" s="1"/>
  <c r="Z33" i="91"/>
  <c r="BD33" i="91" s="1"/>
  <c r="Z31" i="91"/>
  <c r="BD31" i="91" s="1"/>
  <c r="BA36" i="91"/>
  <c r="BD39" i="89"/>
  <c r="BD35" i="28"/>
  <c r="Z38" i="87"/>
  <c r="BD38" i="87" s="1"/>
  <c r="Z36" i="87"/>
  <c r="Z34" i="87"/>
  <c r="BD34" i="87" s="1"/>
  <c r="Z32" i="87"/>
  <c r="BD32" i="87" s="1"/>
  <c r="Z30" i="87"/>
  <c r="BD30" i="87" s="1"/>
  <c r="Z39" i="87"/>
  <c r="Z37" i="87"/>
  <c r="BD37" i="87" s="1"/>
  <c r="Z35" i="87"/>
  <c r="BD35" i="87" s="1"/>
  <c r="Z33" i="87"/>
  <c r="Z31" i="87"/>
  <c r="BA34" i="87"/>
  <c r="Z38" i="93"/>
  <c r="Z36" i="93"/>
  <c r="BD36" i="93" s="1"/>
  <c r="Z34" i="93"/>
  <c r="BD34" i="93" s="1"/>
  <c r="Z32" i="93"/>
  <c r="BD32" i="93" s="1"/>
  <c r="Z30" i="93"/>
  <c r="BD30" i="93" s="1"/>
  <c r="Z39" i="93"/>
  <c r="BD39" i="93" s="1"/>
  <c r="Z37" i="93"/>
  <c r="BD37" i="93" s="1"/>
  <c r="Z35" i="93"/>
  <c r="BD35" i="93" s="1"/>
  <c r="Z33" i="93"/>
  <c r="BD33" i="93" s="1"/>
  <c r="Z31" i="93"/>
  <c r="BD31" i="93" s="1"/>
  <c r="AB33" i="28"/>
  <c r="AB31" i="28"/>
  <c r="BJ31" i="28" s="1"/>
  <c r="AB39" i="28"/>
  <c r="AB37" i="28"/>
  <c r="BJ37" i="28" s="1"/>
  <c r="AB35" i="28"/>
  <c r="BJ35" i="28" s="1"/>
  <c r="AB38" i="28"/>
  <c r="AB36" i="28"/>
  <c r="BJ36" i="28" s="1"/>
  <c r="AB34" i="28"/>
  <c r="BJ34" i="28" s="1"/>
  <c r="AB32" i="28"/>
  <c r="AB30" i="28"/>
  <c r="BJ30" i="28" s="1"/>
  <c r="AA32" i="91"/>
  <c r="BG32" i="91" s="1"/>
  <c r="AA30" i="91"/>
  <c r="BG30" i="91" s="1"/>
  <c r="AA39" i="91"/>
  <c r="BG39" i="91" s="1"/>
  <c r="AA37" i="91"/>
  <c r="BG37" i="91" s="1"/>
  <c r="AA35" i="91"/>
  <c r="BG35" i="91" s="1"/>
  <c r="AA33" i="91"/>
  <c r="BG33" i="91" s="1"/>
  <c r="AA31" i="91"/>
  <c r="BG31" i="91" s="1"/>
  <c r="AA38" i="91"/>
  <c r="BG38" i="91" s="1"/>
  <c r="AA36" i="91"/>
  <c r="BG36" i="91" s="1"/>
  <c r="AA34" i="91"/>
  <c r="BG34" i="91" s="1"/>
  <c r="BA39" i="91"/>
  <c r="T78" i="110"/>
  <c r="H36" i="106"/>
  <c r="H43" i="110" s="1"/>
  <c r="R64" i="110"/>
  <c r="AH17" i="110"/>
  <c r="F10" i="106"/>
  <c r="F17" i="110" s="1"/>
  <c r="T49" i="110"/>
  <c r="T50" i="110" s="1"/>
  <c r="AX18" i="110"/>
  <c r="AX17" i="110"/>
  <c r="BG25" i="28"/>
  <c r="AI15" i="110"/>
  <c r="G8" i="106"/>
  <c r="AW32" i="110"/>
  <c r="AW31" i="110"/>
  <c r="D60" i="110"/>
  <c r="H22" i="106"/>
  <c r="H29" i="110" s="1"/>
  <c r="D74" i="110"/>
  <c r="I42" i="110"/>
  <c r="X14" i="110"/>
  <c r="X70" i="110"/>
  <c r="J63" i="106"/>
  <c r="J70" i="110" s="1"/>
  <c r="V17" i="110"/>
  <c r="W14" i="110"/>
  <c r="I7" i="106"/>
  <c r="I14" i="110" s="1"/>
  <c r="CB60" i="110"/>
  <c r="CB59" i="110"/>
  <c r="BP60" i="110"/>
  <c r="BP59" i="110"/>
  <c r="U117" i="28"/>
  <c r="T63" i="110"/>
  <c r="T64" i="110" s="1"/>
  <c r="F56" i="106"/>
  <c r="F63" i="110" s="1"/>
  <c r="U60" i="110"/>
  <c r="G53" i="106"/>
  <c r="G60" i="110" s="1"/>
  <c r="V31" i="110"/>
  <c r="AV18" i="110"/>
  <c r="AV17" i="110"/>
  <c r="X28" i="110"/>
  <c r="AM60" i="110"/>
  <c r="AM59" i="110"/>
  <c r="T21" i="110"/>
  <c r="T22" i="110" s="1"/>
  <c r="AZ60" i="110"/>
  <c r="AZ59" i="110"/>
  <c r="BB60" i="110"/>
  <c r="BB59" i="110"/>
  <c r="R49" i="110"/>
  <c r="R50" i="110" s="1"/>
  <c r="D42" i="106"/>
  <c r="S131" i="28"/>
  <c r="R77" i="110"/>
  <c r="R78" i="110" s="1"/>
  <c r="D70" i="106"/>
  <c r="X13" i="110"/>
  <c r="G29" i="110"/>
  <c r="D46" i="110"/>
  <c r="D32" i="110"/>
  <c r="I20" i="106"/>
  <c r="I21" i="106"/>
  <c r="I28" i="110" s="1"/>
  <c r="AX32" i="110"/>
  <c r="AX31" i="110"/>
  <c r="R35" i="110"/>
  <c r="R36" i="110" s="1"/>
  <c r="D28" i="106"/>
  <c r="BY32" i="110"/>
  <c r="BY31" i="110"/>
  <c r="V59" i="110"/>
  <c r="H52" i="106"/>
  <c r="H59" i="110" s="1"/>
  <c r="V45" i="110"/>
  <c r="BX18" i="110"/>
  <c r="BX17" i="110"/>
  <c r="AI32" i="110"/>
  <c r="AI31" i="110"/>
  <c r="X27" i="110"/>
  <c r="F39" i="106"/>
  <c r="F46" i="110" s="1"/>
  <c r="G24" i="106"/>
  <c r="Y56" i="110"/>
  <c r="K49" i="106"/>
  <c r="S35" i="110"/>
  <c r="S36" i="110" s="1"/>
  <c r="E28" i="106"/>
  <c r="E35" i="110" s="1"/>
  <c r="T89" i="93"/>
  <c r="BW35" i="110"/>
  <c r="BW36" i="110" s="1"/>
  <c r="W29" i="110"/>
  <c r="BK32" i="110"/>
  <c r="BK31" i="110"/>
  <c r="W57" i="110"/>
  <c r="I50" i="106"/>
  <c r="I57" i="110" s="1"/>
  <c r="BN60" i="110"/>
  <c r="BN59" i="110"/>
  <c r="AN60" i="110"/>
  <c r="AN59" i="110"/>
  <c r="BJ18" i="110"/>
  <c r="BJ17" i="110"/>
  <c r="D63" i="110"/>
  <c r="U46" i="110"/>
  <c r="G39" i="106"/>
  <c r="G46" i="110" s="1"/>
  <c r="D17" i="110"/>
  <c r="S49" i="110"/>
  <c r="S50" i="110" s="1"/>
  <c r="E42" i="106"/>
  <c r="E49" i="110" s="1"/>
  <c r="W71" i="110"/>
  <c r="I64" i="106"/>
  <c r="R18" i="110"/>
  <c r="D11" i="106"/>
  <c r="U32" i="110"/>
  <c r="H6" i="106"/>
  <c r="H13" i="110" s="1"/>
  <c r="W43" i="110"/>
  <c r="X55" i="110"/>
  <c r="J48" i="106"/>
  <c r="X64" i="93"/>
  <c r="CA13" i="110" s="1"/>
  <c r="X42" i="110"/>
  <c r="J35" i="106"/>
  <c r="J42" i="110" s="1"/>
  <c r="V73" i="110"/>
  <c r="H66" i="106"/>
  <c r="CD60" i="110"/>
  <c r="CD59" i="110"/>
  <c r="T35" i="110"/>
  <c r="T36" i="110" s="1"/>
  <c r="U18" i="110"/>
  <c r="G14" i="110"/>
  <c r="F25" i="106"/>
  <c r="F32" i="110" s="1"/>
  <c r="S18" i="110"/>
  <c r="E11" i="106"/>
  <c r="E18" i="110" s="1"/>
  <c r="U74" i="110"/>
  <c r="G67" i="106"/>
  <c r="G74" i="110" s="1"/>
  <c r="Z80" i="89"/>
  <c r="BA27" i="110" s="1"/>
  <c r="Z40" i="89"/>
  <c r="Z64" i="89" s="1"/>
  <c r="BA13" i="110" s="1"/>
  <c r="BA20" i="93"/>
  <c r="Y80" i="93"/>
  <c r="CB27" i="110" s="1"/>
  <c r="Y40" i="93"/>
  <c r="Y64" i="93" s="1"/>
  <c r="CB13" i="110" s="1"/>
  <c r="AA40" i="89"/>
  <c r="AA64" i="89" s="1"/>
  <c r="BB13" i="110" s="1"/>
  <c r="AA80" i="89"/>
  <c r="BB27" i="110" s="1"/>
  <c r="BA20" i="91"/>
  <c r="Y80" i="91"/>
  <c r="BN27" i="110" s="1"/>
  <c r="Y40" i="91"/>
  <c r="Y64" i="91" s="1"/>
  <c r="BN13" i="110" s="1"/>
  <c r="Y80" i="87"/>
  <c r="AL27" i="110" s="1"/>
  <c r="Y40" i="87"/>
  <c r="AA40" i="28"/>
  <c r="AA64" i="28" s="1"/>
  <c r="AA80" i="28"/>
  <c r="Z40" i="28"/>
  <c r="Z80" i="28"/>
  <c r="BC19" i="91"/>
  <c r="Z51" i="91"/>
  <c r="Z47" i="91"/>
  <c r="Z49" i="91"/>
  <c r="Z45" i="91"/>
  <c r="Z43" i="91"/>
  <c r="Z29" i="91"/>
  <c r="Z44" i="91"/>
  <c r="Z24" i="91"/>
  <c r="Z21" i="91"/>
  <c r="Z46" i="91"/>
  <c r="Z50" i="91"/>
  <c r="Z48" i="91"/>
  <c r="Z27" i="91"/>
  <c r="Z52" i="91"/>
  <c r="Z22" i="91"/>
  <c r="Z20" i="91"/>
  <c r="Z25" i="91"/>
  <c r="Z23" i="91"/>
  <c r="Z26" i="91"/>
  <c r="Z28" i="91"/>
  <c r="BC19" i="87"/>
  <c r="BC42" i="87" s="1"/>
  <c r="Z49" i="87"/>
  <c r="Z45" i="87"/>
  <c r="Z28" i="87"/>
  <c r="Z51" i="87"/>
  <c r="Z47" i="87"/>
  <c r="Z43" i="87"/>
  <c r="Z26" i="87"/>
  <c r="Z52" i="87"/>
  <c r="Z48" i="87"/>
  <c r="Z44" i="87"/>
  <c r="Z22" i="87"/>
  <c r="Z20" i="87"/>
  <c r="Z46" i="87"/>
  <c r="Z27" i="87"/>
  <c r="Z25" i="87"/>
  <c r="Z29" i="87"/>
  <c r="Z23" i="87"/>
  <c r="Z50" i="87"/>
  <c r="Z21" i="87"/>
  <c r="Z24" i="87"/>
  <c r="AB45" i="28"/>
  <c r="AB24" i="28"/>
  <c r="BJ24" i="28" s="1"/>
  <c r="AB22" i="28"/>
  <c r="BJ22" i="28" s="1"/>
  <c r="AB48" i="28"/>
  <c r="AC48" i="28" s="1"/>
  <c r="AB27" i="28"/>
  <c r="BJ27" i="28" s="1"/>
  <c r="AB52" i="28"/>
  <c r="AC52" i="28" s="1"/>
  <c r="AB43" i="28"/>
  <c r="AB50" i="28"/>
  <c r="AB49" i="28"/>
  <c r="AC49" i="28" s="1"/>
  <c r="AB23" i="28"/>
  <c r="AC23" i="28" s="1"/>
  <c r="R23" i="28" s="1"/>
  <c r="AB47" i="28"/>
  <c r="AC47" i="28" s="1"/>
  <c r="AB21" i="28"/>
  <c r="AB46" i="28"/>
  <c r="AC46" i="28" s="1"/>
  <c r="AB20" i="28"/>
  <c r="AB29" i="28"/>
  <c r="BJ29" i="28" s="1"/>
  <c r="AB44" i="28"/>
  <c r="AB28" i="28"/>
  <c r="BJ28" i="28" s="1"/>
  <c r="AB26" i="28"/>
  <c r="BJ26" i="28" s="1"/>
  <c r="AB51" i="28"/>
  <c r="AC51" i="28" s="1"/>
  <c r="AB25" i="28"/>
  <c r="AB50" i="89"/>
  <c r="AB45" i="89"/>
  <c r="AC45" i="89" s="1"/>
  <c r="R45" i="89" s="1"/>
  <c r="AB29" i="89"/>
  <c r="BJ29" i="89" s="1"/>
  <c r="AB24" i="89"/>
  <c r="BJ24" i="89" s="1"/>
  <c r="AB48" i="89"/>
  <c r="AB27" i="89"/>
  <c r="BJ27" i="89" s="1"/>
  <c r="AB22" i="89"/>
  <c r="BJ22" i="89" s="1"/>
  <c r="AB43" i="89"/>
  <c r="AC43" i="89" s="1"/>
  <c r="AB21" i="89"/>
  <c r="BJ21" i="89" s="1"/>
  <c r="AB46" i="89"/>
  <c r="AC46" i="89" s="1"/>
  <c r="AB25" i="89"/>
  <c r="BJ25" i="89" s="1"/>
  <c r="AB44" i="89"/>
  <c r="AC44" i="89" s="1"/>
  <c r="R44" i="89" s="1"/>
  <c r="AB28" i="89"/>
  <c r="BJ28" i="89" s="1"/>
  <c r="AB52" i="89"/>
  <c r="AC52" i="89" s="1"/>
  <c r="AB26" i="89"/>
  <c r="BJ26" i="89" s="1"/>
  <c r="AB51" i="89"/>
  <c r="AB20" i="89"/>
  <c r="AB23" i="89"/>
  <c r="BJ23" i="89" s="1"/>
  <c r="AB49" i="89"/>
  <c r="AC49" i="89" s="1"/>
  <c r="AB47" i="89"/>
  <c r="AC47" i="89" s="1"/>
  <c r="AA51" i="93"/>
  <c r="AA47" i="93"/>
  <c r="AA26" i="93"/>
  <c r="BG26" i="93" s="1"/>
  <c r="AA22" i="93"/>
  <c r="BG22" i="93" s="1"/>
  <c r="AA49" i="93"/>
  <c r="AA45" i="93"/>
  <c r="AA28" i="93"/>
  <c r="BG28" i="93" s="1"/>
  <c r="AA24" i="93"/>
  <c r="BG24" i="93" s="1"/>
  <c r="AA21" i="93"/>
  <c r="BG21" i="93" s="1"/>
  <c r="AA50" i="93"/>
  <c r="AA29" i="93"/>
  <c r="BG29" i="93" s="1"/>
  <c r="AA20" i="93"/>
  <c r="AA52" i="93"/>
  <c r="AA43" i="93"/>
  <c r="AA25" i="93"/>
  <c r="BG25" i="93" s="1"/>
  <c r="AA23" i="93"/>
  <c r="BG23" i="93" s="1"/>
  <c r="AA48" i="93"/>
  <c r="AA46" i="93"/>
  <c r="AA44" i="93"/>
  <c r="AA27" i="93"/>
  <c r="BG27" i="93" s="1"/>
  <c r="BC19" i="93"/>
  <c r="BC42" i="93" s="1"/>
  <c r="Z52" i="93"/>
  <c r="Z48" i="93"/>
  <c r="Z44" i="93"/>
  <c r="Z50" i="93"/>
  <c r="Z46" i="93"/>
  <c r="Z51" i="93"/>
  <c r="Z49" i="93"/>
  <c r="Z43" i="93"/>
  <c r="Z29" i="93"/>
  <c r="Z23" i="93"/>
  <c r="Z27" i="93"/>
  <c r="Z21" i="93"/>
  <c r="Z47" i="93"/>
  <c r="Z45" i="93"/>
  <c r="Z28" i="93"/>
  <c r="Z26" i="93"/>
  <c r="Z25" i="93"/>
  <c r="Z24" i="93"/>
  <c r="Z22" i="93"/>
  <c r="Z20" i="93"/>
  <c r="AA52" i="87"/>
  <c r="AA48" i="87"/>
  <c r="AA44" i="87"/>
  <c r="AA27" i="87"/>
  <c r="BG27" i="87" s="1"/>
  <c r="AA23" i="87"/>
  <c r="BG23" i="87" s="1"/>
  <c r="AA50" i="87"/>
  <c r="AA46" i="87"/>
  <c r="AA29" i="87"/>
  <c r="BG29" i="87" s="1"/>
  <c r="AA25" i="87"/>
  <c r="BG25" i="87" s="1"/>
  <c r="AA21" i="87"/>
  <c r="BG21" i="87" s="1"/>
  <c r="AA47" i="87"/>
  <c r="AA26" i="87"/>
  <c r="BG26" i="87" s="1"/>
  <c r="AA45" i="87"/>
  <c r="AA24" i="87"/>
  <c r="BG24" i="87" s="1"/>
  <c r="AA49" i="87"/>
  <c r="AA22" i="87"/>
  <c r="BG22" i="87" s="1"/>
  <c r="AA28" i="87"/>
  <c r="BG28" i="87" s="1"/>
  <c r="AA20" i="87"/>
  <c r="AA51" i="87"/>
  <c r="AA43" i="87"/>
  <c r="AA50" i="91"/>
  <c r="AA46" i="91"/>
  <c r="AA43" i="91"/>
  <c r="AA29" i="91"/>
  <c r="BG29" i="91" s="1"/>
  <c r="AA25" i="91"/>
  <c r="BG25" i="91" s="1"/>
  <c r="AA21" i="91"/>
  <c r="AA52" i="91"/>
  <c r="AA48" i="91"/>
  <c r="AA44" i="91"/>
  <c r="AA27" i="91"/>
  <c r="BG27" i="91" s="1"/>
  <c r="AA23" i="91"/>
  <c r="BG23" i="91" s="1"/>
  <c r="AA20" i="91"/>
  <c r="AA49" i="91"/>
  <c r="AA28" i="91"/>
  <c r="BG28" i="91" s="1"/>
  <c r="AA47" i="91"/>
  <c r="AA26" i="91"/>
  <c r="BG26" i="91" s="1"/>
  <c r="AA45" i="91"/>
  <c r="AA24" i="91"/>
  <c r="BG24" i="91" s="1"/>
  <c r="AA51" i="91"/>
  <c r="AA22" i="91"/>
  <c r="BG22" i="91" s="1"/>
  <c r="S89" i="28"/>
  <c r="R2" i="107" s="1"/>
  <c r="F78" i="110"/>
  <c r="V68" i="87"/>
  <c r="V69" i="87" s="1"/>
  <c r="AA109" i="28"/>
  <c r="BF56" i="28"/>
  <c r="U89" i="28"/>
  <c r="D57" i="106"/>
  <c r="W66" i="93"/>
  <c r="BZ15" i="110" s="1"/>
  <c r="AC109" i="89"/>
  <c r="R109" i="89" s="1"/>
  <c r="AC109" i="91"/>
  <c r="R109" i="91" s="1"/>
  <c r="AA123" i="28"/>
  <c r="AA95" i="28"/>
  <c r="U88" i="93"/>
  <c r="V116" i="28"/>
  <c r="S72" i="28"/>
  <c r="BZ64" i="110"/>
  <c r="AC109" i="93"/>
  <c r="R109" i="93" s="1"/>
  <c r="X116" i="93"/>
  <c r="T72" i="93"/>
  <c r="S72" i="93"/>
  <c r="BV21" i="110" s="1"/>
  <c r="F71" i="106"/>
  <c r="E71" i="106"/>
  <c r="V88" i="28"/>
  <c r="E57" i="106"/>
  <c r="V102" i="28"/>
  <c r="V130" i="28"/>
  <c r="T73" i="91"/>
  <c r="BI22" i="110"/>
  <c r="AF55" i="28"/>
  <c r="M54" i="89"/>
  <c r="AE54" i="89" s="1"/>
  <c r="AF54" i="89" s="1"/>
  <c r="L56" i="87"/>
  <c r="BI53" i="87"/>
  <c r="AI50" i="110"/>
  <c r="AB110" i="89"/>
  <c r="BC57" i="110" s="1"/>
  <c r="BD57" i="110" s="1"/>
  <c r="AB110" i="91"/>
  <c r="BQ57" i="110" s="1"/>
  <c r="BR57" i="110" s="1"/>
  <c r="AB110" i="87"/>
  <c r="AO57" i="110" s="1"/>
  <c r="AP57" i="110" s="1"/>
  <c r="AC109" i="87"/>
  <c r="R109" i="87" s="1"/>
  <c r="AB110" i="93"/>
  <c r="CE57" i="110" s="1"/>
  <c r="CF57" i="110" s="1"/>
  <c r="L56" i="89"/>
  <c r="BI53" i="89"/>
  <c r="L56" i="91"/>
  <c r="BI53" i="91"/>
  <c r="L56" i="93"/>
  <c r="BI53" i="93"/>
  <c r="Z79" i="93"/>
  <c r="Z93" i="93" s="1"/>
  <c r="Z107" i="93" s="1"/>
  <c r="Z121" i="93" s="1"/>
  <c r="AA63" i="93"/>
  <c r="AA81" i="89"/>
  <c r="BB28" i="110" s="1"/>
  <c r="AA56" i="89"/>
  <c r="AA65" i="89" s="1"/>
  <c r="BB14" i="110" s="1"/>
  <c r="BF19" i="91"/>
  <c r="BF42" i="91" s="1"/>
  <c r="V103" i="87"/>
  <c r="BF19" i="87"/>
  <c r="BF42" i="87" s="1"/>
  <c r="X96" i="87"/>
  <c r="AK43" i="110" s="1"/>
  <c r="AB42" i="93"/>
  <c r="AB19" i="93"/>
  <c r="BI19" i="89"/>
  <c r="BI42" i="89" s="1"/>
  <c r="BG20" i="28"/>
  <c r="AA56" i="28"/>
  <c r="AA65" i="28" s="1"/>
  <c r="AA81" i="28"/>
  <c r="BF19" i="93"/>
  <c r="BF42" i="93" s="1"/>
  <c r="Z79" i="91"/>
  <c r="Z93" i="91" s="1"/>
  <c r="Z107" i="91" s="1"/>
  <c r="Z121" i="91" s="1"/>
  <c r="AA63" i="91"/>
  <c r="BG20" i="89"/>
  <c r="AB19" i="87"/>
  <c r="AB42" i="87"/>
  <c r="AB19" i="91"/>
  <c r="AB42" i="91"/>
  <c r="BG21" i="28"/>
  <c r="Z79" i="28"/>
  <c r="Z93" i="28" s="1"/>
  <c r="Z107" i="28" s="1"/>
  <c r="Z121" i="28" s="1"/>
  <c r="AA63" i="28"/>
  <c r="Z79" i="89"/>
  <c r="Z93" i="89" s="1"/>
  <c r="Z107" i="89" s="1"/>
  <c r="Z121" i="89" s="1"/>
  <c r="AA63" i="89"/>
  <c r="BI19" i="28"/>
  <c r="BI42" i="28" s="1"/>
  <c r="BG23" i="89"/>
  <c r="AG22" i="110"/>
  <c r="U73" i="28"/>
  <c r="Y117" i="87"/>
  <c r="S73" i="89"/>
  <c r="BH22" i="110"/>
  <c r="AL64" i="110"/>
  <c r="W84" i="93"/>
  <c r="W85" i="93" s="1"/>
  <c r="U89" i="87"/>
  <c r="AH36" i="110"/>
  <c r="U89" i="91"/>
  <c r="X84" i="89"/>
  <c r="X85" i="89" s="1"/>
  <c r="S73" i="91"/>
  <c r="V68" i="93"/>
  <c r="V69" i="93" s="1"/>
  <c r="AT22" i="110"/>
  <c r="AY64" i="110"/>
  <c r="W68" i="91"/>
  <c r="W69" i="91" s="1"/>
  <c r="W84" i="91"/>
  <c r="W85" i="91" s="1"/>
  <c r="U89" i="89"/>
  <c r="T73" i="89"/>
  <c r="AU22" i="110"/>
  <c r="X117" i="91"/>
  <c r="BM64" i="110"/>
  <c r="BD27" i="89"/>
  <c r="X66" i="28"/>
  <c r="BD51" i="28"/>
  <c r="BD28" i="28"/>
  <c r="BD51" i="89"/>
  <c r="BD25" i="28"/>
  <c r="BD45" i="28"/>
  <c r="X64" i="87"/>
  <c r="BD26" i="89"/>
  <c r="BD21" i="89"/>
  <c r="BD23" i="89"/>
  <c r="T72" i="28"/>
  <c r="BD25" i="89"/>
  <c r="BD48" i="28"/>
  <c r="BD24" i="89"/>
  <c r="BD47" i="89"/>
  <c r="T89" i="28"/>
  <c r="BD46" i="28"/>
  <c r="BD26" i="28"/>
  <c r="X64" i="91"/>
  <c r="BM13" i="110" s="1"/>
  <c r="BD47" i="28"/>
  <c r="BD28" i="89"/>
  <c r="BD52" i="28"/>
  <c r="BD20" i="89"/>
  <c r="V72" i="28"/>
  <c r="Y110" i="28"/>
  <c r="X112" i="28"/>
  <c r="X126" i="28"/>
  <c r="X127" i="28" s="1"/>
  <c r="BD23" i="28"/>
  <c r="Z123" i="28"/>
  <c r="Y124" i="28"/>
  <c r="BD21" i="28"/>
  <c r="BD20" i="28"/>
  <c r="Z112" i="93"/>
  <c r="Z113" i="93" s="1"/>
  <c r="W84" i="87"/>
  <c r="W85" i="87" s="1"/>
  <c r="W98" i="87"/>
  <c r="W99" i="87" s="1"/>
  <c r="Z112" i="91"/>
  <c r="Z113" i="91" s="1"/>
  <c r="Z112" i="89"/>
  <c r="Z113" i="89" s="1"/>
  <c r="X117" i="89"/>
  <c r="K56" i="89"/>
  <c r="L42" i="91"/>
  <c r="L61" i="91"/>
  <c r="M54" i="87"/>
  <c r="AE54" i="87" s="1"/>
  <c r="AF54" i="87" s="1"/>
  <c r="K56" i="87"/>
  <c r="M53" i="87"/>
  <c r="K56" i="91"/>
  <c r="M54" i="91"/>
  <c r="AE54" i="91" s="1"/>
  <c r="AF54" i="91" s="1"/>
  <c r="K56" i="93"/>
  <c r="M54" i="93"/>
  <c r="AE54" i="93" s="1"/>
  <c r="AF54" i="93" s="1"/>
  <c r="K56" i="28"/>
  <c r="L61" i="87"/>
  <c r="L42" i="87"/>
  <c r="L61" i="93"/>
  <c r="L42" i="93"/>
  <c r="Z63" i="87"/>
  <c r="Y79" i="87"/>
  <c r="Y93" i="87" s="1"/>
  <c r="Y107" i="87" s="1"/>
  <c r="Y121" i="87" s="1"/>
  <c r="U102" i="87"/>
  <c r="AH49" i="110" s="1"/>
  <c r="T73" i="87"/>
  <c r="BD27" i="28"/>
  <c r="BD24" i="28"/>
  <c r="BD22" i="28"/>
  <c r="BA21" i="87"/>
  <c r="X98" i="28"/>
  <c r="X99" i="28" s="1"/>
  <c r="S72" i="87"/>
  <c r="AF21" i="110" s="1"/>
  <c r="V88" i="87"/>
  <c r="AI35" i="110" s="1"/>
  <c r="X84" i="28"/>
  <c r="X85" i="28" s="1"/>
  <c r="U103" i="28"/>
  <c r="Z95" i="28"/>
  <c r="Y82" i="28"/>
  <c r="X82" i="91"/>
  <c r="BM29" i="110" s="1"/>
  <c r="Y82" i="89"/>
  <c r="AZ29" i="110" s="1"/>
  <c r="Y81" i="91"/>
  <c r="BN28" i="110" s="1"/>
  <c r="X82" i="93"/>
  <c r="CA29" i="110" s="1"/>
  <c r="X82" i="87"/>
  <c r="AK29" i="110" s="1"/>
  <c r="Y96" i="28"/>
  <c r="Z81" i="89"/>
  <c r="BA28" i="110" s="1"/>
  <c r="T103" i="28"/>
  <c r="Y81" i="87"/>
  <c r="AL28" i="110" s="1"/>
  <c r="Z81" i="28"/>
  <c r="Y81" i="93"/>
  <c r="CB28" i="110" s="1"/>
  <c r="S103" i="28"/>
  <c r="J56" i="28"/>
  <c r="Y66" i="89"/>
  <c r="AZ15" i="110" s="1"/>
  <c r="W68" i="87"/>
  <c r="W69" i="87" s="1"/>
  <c r="Y66" i="28"/>
  <c r="X66" i="89"/>
  <c r="AY15" i="110" s="1"/>
  <c r="AZ56" i="89"/>
  <c r="BA56" i="89" s="1"/>
  <c r="BC56" i="28"/>
  <c r="BA54" i="91"/>
  <c r="AZ56" i="91"/>
  <c r="AZ56" i="87"/>
  <c r="BA54" i="87"/>
  <c r="J56" i="87"/>
  <c r="AZ56" i="93"/>
  <c r="BA54" i="93"/>
  <c r="J56" i="89"/>
  <c r="BC53" i="89"/>
  <c r="BC56" i="87"/>
  <c r="J56" i="93"/>
  <c r="BC53" i="93"/>
  <c r="BC53" i="91"/>
  <c r="J56" i="91"/>
  <c r="BD44" i="28"/>
  <c r="Y56" i="93"/>
  <c r="Y65" i="93" s="1"/>
  <c r="CB14" i="110" s="1"/>
  <c r="AX56" i="93"/>
  <c r="BD43" i="89"/>
  <c r="Z56" i="89"/>
  <c r="BD49" i="89"/>
  <c r="BD46" i="89"/>
  <c r="BD29" i="89"/>
  <c r="BD48" i="89"/>
  <c r="BD45" i="89"/>
  <c r="BD52" i="89"/>
  <c r="BD44" i="89"/>
  <c r="BD50" i="89"/>
  <c r="AX56" i="91"/>
  <c r="BD43" i="28"/>
  <c r="Z56" i="28"/>
  <c r="Z65" i="28" s="1"/>
  <c r="BA44" i="87"/>
  <c r="BD49" i="28"/>
  <c r="BD50" i="28"/>
  <c r="Y56" i="91"/>
  <c r="Y65" i="91" s="1"/>
  <c r="BN14" i="110" s="1"/>
  <c r="BA44" i="91"/>
  <c r="BA56" i="28"/>
  <c r="Y56" i="87"/>
  <c r="Y65" i="87" s="1"/>
  <c r="AL14" i="110" s="1"/>
  <c r="AX56" i="87"/>
  <c r="BC42" i="91"/>
  <c r="BD29" i="28"/>
  <c r="BA51" i="87"/>
  <c r="X113" i="28" l="1"/>
  <c r="AG2" i="107"/>
  <c r="V69" i="91"/>
  <c r="BK18" i="110" s="1"/>
  <c r="BK17" i="110"/>
  <c r="AQ2" i="107"/>
  <c r="AW18" i="110"/>
  <c r="AW17" i="110"/>
  <c r="Y55" i="110"/>
  <c r="K48" i="106"/>
  <c r="K55" i="110" s="1"/>
  <c r="Z55" i="110"/>
  <c r="L48" i="106"/>
  <c r="L55" i="110" s="1"/>
  <c r="Z41" i="110"/>
  <c r="L34" i="106"/>
  <c r="L41" i="110" s="1"/>
  <c r="Z69" i="110"/>
  <c r="L62" i="106"/>
  <c r="L69" i="110" s="1"/>
  <c r="Y41" i="110"/>
  <c r="K34" i="106"/>
  <c r="Y69" i="110"/>
  <c r="K62" i="106"/>
  <c r="AB122" i="28"/>
  <c r="AB94" i="28"/>
  <c r="M54" i="28"/>
  <c r="AE54" i="28" s="1"/>
  <c r="AF54" i="28" s="1"/>
  <c r="L56" i="28"/>
  <c r="M56" i="28" s="1"/>
  <c r="M53" i="28"/>
  <c r="AE53" i="28" s="1"/>
  <c r="BI53" i="28"/>
  <c r="BJ53" i="28" s="1"/>
  <c r="X66" i="93"/>
  <c r="CA15" i="110" s="1"/>
  <c r="AC35" i="89"/>
  <c r="R35" i="89" s="1"/>
  <c r="AC37" i="28"/>
  <c r="AF37" i="28" s="1"/>
  <c r="AC33" i="89"/>
  <c r="AF33" i="89" s="1"/>
  <c r="BJ39" i="28"/>
  <c r="AC39" i="28"/>
  <c r="BD33" i="87"/>
  <c r="AB31" i="91"/>
  <c r="AB39" i="91"/>
  <c r="AB37" i="91"/>
  <c r="AB35" i="91"/>
  <c r="AB33" i="91"/>
  <c r="AB38" i="91"/>
  <c r="AB36" i="91"/>
  <c r="AB34" i="91"/>
  <c r="AB32" i="91"/>
  <c r="BJ32" i="91" s="1"/>
  <c r="AB30" i="91"/>
  <c r="BJ32" i="28"/>
  <c r="AC32" i="28"/>
  <c r="BJ33" i="28"/>
  <c r="AC33" i="28"/>
  <c r="AC30" i="28"/>
  <c r="BJ30" i="89"/>
  <c r="AC30" i="89"/>
  <c r="BD39" i="87"/>
  <c r="AC35" i="28"/>
  <c r="AC37" i="89"/>
  <c r="AC36" i="28"/>
  <c r="BJ32" i="89"/>
  <c r="AC32" i="89"/>
  <c r="BJ31" i="89"/>
  <c r="AC31" i="89"/>
  <c r="AB31" i="87"/>
  <c r="BJ31" i="87" s="1"/>
  <c r="AB39" i="87"/>
  <c r="BJ39" i="87" s="1"/>
  <c r="AB37" i="87"/>
  <c r="AB35" i="87"/>
  <c r="AB33" i="87"/>
  <c r="BJ33" i="87" s="1"/>
  <c r="AB38" i="87"/>
  <c r="AB36" i="87"/>
  <c r="BJ36" i="87" s="1"/>
  <c r="AB34" i="87"/>
  <c r="AB32" i="87"/>
  <c r="AB30" i="87"/>
  <c r="BD38" i="93"/>
  <c r="BJ34" i="89"/>
  <c r="AC34" i="89"/>
  <c r="BJ38" i="28"/>
  <c r="AC38" i="28"/>
  <c r="AC39" i="89"/>
  <c r="AC31" i="28"/>
  <c r="BJ36" i="89"/>
  <c r="AC36" i="89"/>
  <c r="BJ38" i="89"/>
  <c r="AC38" i="89"/>
  <c r="AC34" i="28"/>
  <c r="AB31" i="93"/>
  <c r="AB39" i="93"/>
  <c r="AB37" i="93"/>
  <c r="AB35" i="93"/>
  <c r="AB33" i="93"/>
  <c r="AB38" i="93"/>
  <c r="BJ38" i="93" s="1"/>
  <c r="AB36" i="93"/>
  <c r="AB34" i="93"/>
  <c r="AB32" i="93"/>
  <c r="AB30" i="93"/>
  <c r="BD31" i="87"/>
  <c r="BD36" i="87"/>
  <c r="D64" i="110"/>
  <c r="S2" i="107"/>
  <c r="V89" i="89"/>
  <c r="AW36" i="110"/>
  <c r="G25" i="106"/>
  <c r="G32" i="110" s="1"/>
  <c r="H8" i="106"/>
  <c r="H15" i="110" s="1"/>
  <c r="H24" i="106"/>
  <c r="H31" i="110" s="1"/>
  <c r="Y42" i="110"/>
  <c r="K35" i="106"/>
  <c r="K42" i="110" s="1"/>
  <c r="BA60" i="110"/>
  <c r="BA59" i="110"/>
  <c r="Y70" i="110"/>
  <c r="K63" i="106"/>
  <c r="BZ32" i="110"/>
  <c r="BZ31" i="110"/>
  <c r="Z28" i="110"/>
  <c r="U49" i="110"/>
  <c r="U50" i="110" s="1"/>
  <c r="G42" i="106"/>
  <c r="G49" i="110" s="1"/>
  <c r="G50" i="110" s="1"/>
  <c r="Z42" i="110"/>
  <c r="L35" i="106"/>
  <c r="L42" i="110" s="1"/>
  <c r="Z56" i="110"/>
  <c r="L49" i="106"/>
  <c r="L56" i="110" s="1"/>
  <c r="I71" i="110"/>
  <c r="I22" i="106"/>
  <c r="K56" i="110"/>
  <c r="U35" i="110"/>
  <c r="U36" i="110" s="1"/>
  <c r="X117" i="93"/>
  <c r="CA63" i="110"/>
  <c r="G31" i="110"/>
  <c r="V32" i="110"/>
  <c r="AH18" i="110"/>
  <c r="F11" i="106"/>
  <c r="F18" i="110" s="1"/>
  <c r="AJ18" i="110"/>
  <c r="AJ17" i="110"/>
  <c r="BO60" i="110"/>
  <c r="BO59" i="110"/>
  <c r="Z14" i="110"/>
  <c r="W73" i="110"/>
  <c r="I66" i="106"/>
  <c r="I73" i="110" s="1"/>
  <c r="S21" i="110"/>
  <c r="S22" i="110" s="1"/>
  <c r="E14" i="106"/>
  <c r="E21" i="110" s="1"/>
  <c r="AI17" i="110"/>
  <c r="G10" i="106"/>
  <c r="Z27" i="110"/>
  <c r="D77" i="110"/>
  <c r="J21" i="106"/>
  <c r="J28" i="110" s="1"/>
  <c r="V18" i="110"/>
  <c r="W31" i="110"/>
  <c r="AJ32" i="110"/>
  <c r="AJ31" i="110"/>
  <c r="CC60" i="110"/>
  <c r="CC59" i="110"/>
  <c r="W59" i="110"/>
  <c r="I52" i="106"/>
  <c r="I59" i="110" s="1"/>
  <c r="AY32" i="110"/>
  <c r="AY31" i="110"/>
  <c r="Z13" i="110"/>
  <c r="H73" i="110"/>
  <c r="V60" i="110"/>
  <c r="H53" i="106"/>
  <c r="H60" i="110" s="1"/>
  <c r="BW21" i="110"/>
  <c r="BW22" i="110" s="1"/>
  <c r="V46" i="110"/>
  <c r="AJ46" i="110"/>
  <c r="AJ45" i="110"/>
  <c r="BY18" i="110"/>
  <c r="BY17" i="110"/>
  <c r="Y28" i="110"/>
  <c r="W45" i="110"/>
  <c r="X57" i="110"/>
  <c r="J50" i="106"/>
  <c r="W15" i="110"/>
  <c r="D14" i="106"/>
  <c r="R21" i="110"/>
  <c r="J55" i="110"/>
  <c r="D18" i="110"/>
  <c r="I27" i="110"/>
  <c r="X43" i="110"/>
  <c r="BL32" i="110"/>
  <c r="BL31" i="110"/>
  <c r="U63" i="110"/>
  <c r="U64" i="110" s="1"/>
  <c r="G56" i="106"/>
  <c r="V74" i="110"/>
  <c r="H67" i="106"/>
  <c r="H74" i="110" s="1"/>
  <c r="D49" i="110"/>
  <c r="J7" i="106"/>
  <c r="F42" i="106"/>
  <c r="F49" i="110" s="1"/>
  <c r="Z70" i="110"/>
  <c r="L63" i="106"/>
  <c r="L70" i="110" s="1"/>
  <c r="Y27" i="110"/>
  <c r="J20" i="106"/>
  <c r="J27" i="110" s="1"/>
  <c r="Y14" i="110"/>
  <c r="U21" i="110"/>
  <c r="U22" i="110" s="1"/>
  <c r="X15" i="110"/>
  <c r="X29" i="110"/>
  <c r="X71" i="110"/>
  <c r="J64" i="106"/>
  <c r="J71" i="110" s="1"/>
  <c r="AK13" i="110"/>
  <c r="I6" i="106"/>
  <c r="I13" i="110" s="1"/>
  <c r="BL18" i="110"/>
  <c r="BL17" i="110"/>
  <c r="V131" i="28"/>
  <c r="U77" i="110"/>
  <c r="G70" i="106"/>
  <c r="G77" i="110" s="1"/>
  <c r="BX35" i="110"/>
  <c r="BX36" i="110" s="1"/>
  <c r="F28" i="106"/>
  <c r="F35" i="110" s="1"/>
  <c r="F36" i="110" s="1"/>
  <c r="I36" i="106"/>
  <c r="H38" i="106"/>
  <c r="D35" i="110"/>
  <c r="D36" i="110" s="1"/>
  <c r="G15" i="110"/>
  <c r="AA80" i="91"/>
  <c r="BP27" i="110" s="1"/>
  <c r="AA40" i="91"/>
  <c r="AA64" i="91" s="1"/>
  <c r="BP13" i="110" s="1"/>
  <c r="Z80" i="93"/>
  <c r="CC27" i="110" s="1"/>
  <c r="Z40" i="93"/>
  <c r="Z40" i="91"/>
  <c r="Z64" i="91" s="1"/>
  <c r="BO13" i="110" s="1"/>
  <c r="Z80" i="91"/>
  <c r="BO27" i="110" s="1"/>
  <c r="AA80" i="93"/>
  <c r="CD27" i="110" s="1"/>
  <c r="AA40" i="93"/>
  <c r="AA64" i="93" s="1"/>
  <c r="CD13" i="110" s="1"/>
  <c r="AC20" i="89"/>
  <c r="AF20" i="89" s="1"/>
  <c r="AB40" i="89"/>
  <c r="AC40" i="89" s="1"/>
  <c r="AF40" i="89" s="1"/>
  <c r="AB80" i="89"/>
  <c r="BC27" i="110" s="1"/>
  <c r="BD27" i="110" s="1"/>
  <c r="BJ25" i="28"/>
  <c r="AB108" i="28"/>
  <c r="Z40" i="87"/>
  <c r="Z64" i="87" s="1"/>
  <c r="AM13" i="110" s="1"/>
  <c r="Z80" i="87"/>
  <c r="AM27" i="110" s="1"/>
  <c r="AA40" i="87"/>
  <c r="AA64" i="87" s="1"/>
  <c r="AN13" i="110" s="1"/>
  <c r="AA80" i="87"/>
  <c r="AN27" i="110" s="1"/>
  <c r="AC20" i="28"/>
  <c r="R20" i="28" s="1"/>
  <c r="AB80" i="28"/>
  <c r="AB40" i="28"/>
  <c r="AC40" i="28" s="1"/>
  <c r="AF40" i="28" s="1"/>
  <c r="AB52" i="87"/>
  <c r="AC52" i="87" s="1"/>
  <c r="AB50" i="87"/>
  <c r="AC50" i="87" s="1"/>
  <c r="AB43" i="87"/>
  <c r="AB29" i="87"/>
  <c r="BJ29" i="87" s="1"/>
  <c r="AB49" i="87"/>
  <c r="AB44" i="87"/>
  <c r="AC44" i="87" s="1"/>
  <c r="R44" i="87" s="1"/>
  <c r="AB28" i="87"/>
  <c r="BJ28" i="87" s="1"/>
  <c r="AB23" i="87"/>
  <c r="BJ23" i="87" s="1"/>
  <c r="AB48" i="87"/>
  <c r="AC48" i="87" s="1"/>
  <c r="AB27" i="87"/>
  <c r="BJ27" i="87" s="1"/>
  <c r="AB20" i="87"/>
  <c r="AB46" i="87"/>
  <c r="AB45" i="87"/>
  <c r="AB26" i="87"/>
  <c r="BJ26" i="87" s="1"/>
  <c r="AB25" i="87"/>
  <c r="BJ25" i="87" s="1"/>
  <c r="AB51" i="87"/>
  <c r="AC51" i="87" s="1"/>
  <c r="AB24" i="87"/>
  <c r="BJ24" i="87" s="1"/>
  <c r="AB22" i="87"/>
  <c r="BJ22" i="87" s="1"/>
  <c r="AB47" i="87"/>
  <c r="AC47" i="87" s="1"/>
  <c r="AB21" i="87"/>
  <c r="BJ21" i="87" s="1"/>
  <c r="AB22" i="91"/>
  <c r="BJ22" i="91" s="1"/>
  <c r="AB20" i="91"/>
  <c r="AB52" i="91"/>
  <c r="AC52" i="91" s="1"/>
  <c r="AB51" i="91"/>
  <c r="AC51" i="91" s="1"/>
  <c r="AB46" i="91"/>
  <c r="AC46" i="91" s="1"/>
  <c r="AB25" i="91"/>
  <c r="BJ25" i="91" s="1"/>
  <c r="AB50" i="91"/>
  <c r="AC50" i="91" s="1"/>
  <c r="AB29" i="91"/>
  <c r="BJ29" i="91" s="1"/>
  <c r="AB27" i="91"/>
  <c r="BJ27" i="91" s="1"/>
  <c r="AB26" i="91"/>
  <c r="BJ26" i="91" s="1"/>
  <c r="AB24" i="91"/>
  <c r="BJ24" i="91" s="1"/>
  <c r="AB49" i="91"/>
  <c r="AC49" i="91" s="1"/>
  <c r="AB23" i="91"/>
  <c r="BJ23" i="91" s="1"/>
  <c r="AB48" i="91"/>
  <c r="AC48" i="91" s="1"/>
  <c r="AB47" i="91"/>
  <c r="AC47" i="91" s="1"/>
  <c r="AB21" i="91"/>
  <c r="BJ21" i="91" s="1"/>
  <c r="AB45" i="91"/>
  <c r="AC45" i="91" s="1"/>
  <c r="R45" i="91" s="1"/>
  <c r="AB43" i="91"/>
  <c r="AC43" i="91" s="1"/>
  <c r="AB44" i="91"/>
  <c r="AC44" i="91" s="1"/>
  <c r="R44" i="91" s="1"/>
  <c r="AB28" i="91"/>
  <c r="BJ28" i="91" s="1"/>
  <c r="AB20" i="93"/>
  <c r="AB43" i="93"/>
  <c r="AC43" i="93" s="1"/>
  <c r="AB52" i="93"/>
  <c r="AB47" i="93"/>
  <c r="AB26" i="93"/>
  <c r="BJ26" i="93" s="1"/>
  <c r="AB50" i="93"/>
  <c r="AC50" i="93" s="1"/>
  <c r="AB45" i="93"/>
  <c r="AC45" i="93" s="1"/>
  <c r="R45" i="93" s="1"/>
  <c r="AB29" i="93"/>
  <c r="BJ29" i="93" s="1"/>
  <c r="AB24" i="93"/>
  <c r="BJ24" i="93" s="1"/>
  <c r="AB44" i="93"/>
  <c r="AC44" i="93" s="1"/>
  <c r="R44" i="93" s="1"/>
  <c r="AB23" i="93"/>
  <c r="BJ23" i="93" s="1"/>
  <c r="AB48" i="93"/>
  <c r="AC48" i="93" s="1"/>
  <c r="AB27" i="93"/>
  <c r="BJ27" i="93" s="1"/>
  <c r="AB22" i="93"/>
  <c r="BJ22" i="93" s="1"/>
  <c r="AB25" i="93"/>
  <c r="BJ25" i="93" s="1"/>
  <c r="AB51" i="93"/>
  <c r="AC51" i="93" s="1"/>
  <c r="AB49" i="93"/>
  <c r="AC49" i="93" s="1"/>
  <c r="AB21" i="93"/>
  <c r="BJ21" i="93" s="1"/>
  <c r="AB46" i="93"/>
  <c r="AC46" i="93" s="1"/>
  <c r="AB28" i="93"/>
  <c r="BJ28" i="93" s="1"/>
  <c r="AV22" i="110"/>
  <c r="AX22" i="110"/>
  <c r="BJ22" i="110"/>
  <c r="D71" i="106"/>
  <c r="AA110" i="28"/>
  <c r="W68" i="93"/>
  <c r="W69" i="93" s="1"/>
  <c r="T73" i="93"/>
  <c r="Z110" i="28"/>
  <c r="U73" i="91"/>
  <c r="W73" i="89"/>
  <c r="U73" i="89"/>
  <c r="U89" i="93"/>
  <c r="T2" i="107" s="1"/>
  <c r="AC110" i="93"/>
  <c r="R110" i="93" s="1"/>
  <c r="AC110" i="89"/>
  <c r="R110" i="89" s="1"/>
  <c r="V117" i="28"/>
  <c r="AC28" i="89"/>
  <c r="R28" i="89" s="1"/>
  <c r="AC43" i="28"/>
  <c r="AF43" i="28" s="1"/>
  <c r="AB95" i="28"/>
  <c r="AB123" i="28"/>
  <c r="AA124" i="28"/>
  <c r="AC26" i="89"/>
  <c r="AF26" i="89" s="1"/>
  <c r="X66" i="91"/>
  <c r="BM15" i="110" s="1"/>
  <c r="S73" i="28"/>
  <c r="W130" i="28"/>
  <c r="AA116" i="93"/>
  <c r="Y116" i="93"/>
  <c r="U72" i="93"/>
  <c r="BX21" i="110" s="1"/>
  <c r="V88" i="93"/>
  <c r="S73" i="93"/>
  <c r="AC110" i="91"/>
  <c r="R110" i="91" s="1"/>
  <c r="F57" i="106"/>
  <c r="D43" i="106"/>
  <c r="V103" i="28"/>
  <c r="W116" i="28"/>
  <c r="F64" i="110"/>
  <c r="V89" i="28"/>
  <c r="AC27" i="89"/>
  <c r="AF43" i="89"/>
  <c r="R43" i="89"/>
  <c r="AC24" i="89"/>
  <c r="AF46" i="89"/>
  <c r="R46" i="89"/>
  <c r="AF47" i="89"/>
  <c r="R47" i="89"/>
  <c r="AF44" i="89"/>
  <c r="AC22" i="89"/>
  <c r="AF51" i="28"/>
  <c r="R51" i="28"/>
  <c r="AF52" i="89"/>
  <c r="R52" i="89"/>
  <c r="AF45" i="89"/>
  <c r="AF52" i="28"/>
  <c r="R52" i="28"/>
  <c r="AF49" i="89"/>
  <c r="R49" i="89"/>
  <c r="AC21" i="28"/>
  <c r="AF21" i="28" s="1"/>
  <c r="AF46" i="28"/>
  <c r="R46" i="28"/>
  <c r="AF48" i="28"/>
  <c r="R48" i="28"/>
  <c r="AF49" i="28"/>
  <c r="R49" i="28"/>
  <c r="AF47" i="28"/>
  <c r="R47" i="28"/>
  <c r="AC45" i="28"/>
  <c r="R45" i="28" s="1"/>
  <c r="AB109" i="28"/>
  <c r="X66" i="87"/>
  <c r="AK15" i="110" s="1"/>
  <c r="AC25" i="28"/>
  <c r="R25" i="28" s="1"/>
  <c r="AC21" i="89"/>
  <c r="AC23" i="89"/>
  <c r="X98" i="87"/>
  <c r="X99" i="87" s="1"/>
  <c r="BB64" i="110"/>
  <c r="AC29" i="89"/>
  <c r="AA117" i="91"/>
  <c r="AB112" i="87"/>
  <c r="AB113" i="87" s="1"/>
  <c r="AC110" i="87"/>
  <c r="R110" i="87" s="1"/>
  <c r="AA117" i="89"/>
  <c r="BP64" i="110"/>
  <c r="AX36" i="110"/>
  <c r="BJ53" i="89"/>
  <c r="BI56" i="89"/>
  <c r="BJ53" i="87"/>
  <c r="BI56" i="87"/>
  <c r="BJ53" i="93"/>
  <c r="BI56" i="93"/>
  <c r="AB112" i="91"/>
  <c r="AB113" i="91" s="1"/>
  <c r="AA117" i="87"/>
  <c r="AB112" i="93"/>
  <c r="AB113" i="93" s="1"/>
  <c r="BJ53" i="91"/>
  <c r="BI56" i="91"/>
  <c r="AB112" i="89"/>
  <c r="AB113" i="89" s="1"/>
  <c r="AN64" i="110"/>
  <c r="AC26" i="28"/>
  <c r="AC25" i="89"/>
  <c r="AC22" i="28"/>
  <c r="AC27" i="28"/>
  <c r="BJ44" i="28"/>
  <c r="BG44" i="28"/>
  <c r="BG50" i="28"/>
  <c r="BJ50" i="28"/>
  <c r="AC44" i="28"/>
  <c r="R44" i="28" s="1"/>
  <c r="BJ50" i="89"/>
  <c r="BG50" i="89"/>
  <c r="BG48" i="89"/>
  <c r="BJ48" i="89"/>
  <c r="AC28" i="28"/>
  <c r="BJ48" i="28"/>
  <c r="BG48" i="28"/>
  <c r="BG45" i="28"/>
  <c r="BJ45" i="28"/>
  <c r="AB63" i="89"/>
  <c r="AB79" i="89" s="1"/>
  <c r="AB93" i="89" s="1"/>
  <c r="AB107" i="89" s="1"/>
  <c r="AB121" i="89" s="1"/>
  <c r="AA79" i="89"/>
  <c r="AA93" i="89" s="1"/>
  <c r="AA107" i="89" s="1"/>
  <c r="AA121" i="89" s="1"/>
  <c r="AA96" i="28"/>
  <c r="AA66" i="28"/>
  <c r="BJ52" i="89"/>
  <c r="BG52" i="89"/>
  <c r="AA82" i="28"/>
  <c r="BG51" i="89"/>
  <c r="BJ51" i="89"/>
  <c r="AA81" i="91"/>
  <c r="BP28" i="110" s="1"/>
  <c r="AA56" i="91"/>
  <c r="AA65" i="91" s="1"/>
  <c r="BP14" i="110" s="1"/>
  <c r="BG52" i="28"/>
  <c r="BJ52" i="28"/>
  <c r="BJ49" i="28"/>
  <c r="BG49" i="28"/>
  <c r="AA66" i="89"/>
  <c r="BB15" i="110" s="1"/>
  <c r="BJ45" i="89"/>
  <c r="BG45" i="89"/>
  <c r="BI19" i="93"/>
  <c r="BI42" i="93" s="1"/>
  <c r="BG21" i="91"/>
  <c r="AA82" i="89"/>
  <c r="BB29" i="110" s="1"/>
  <c r="AB63" i="28"/>
  <c r="AB79" i="28" s="1"/>
  <c r="AB93" i="28" s="1"/>
  <c r="AB107" i="28" s="1"/>
  <c r="AB121" i="28" s="1"/>
  <c r="AA79" i="28"/>
  <c r="AA93" i="28" s="1"/>
  <c r="AA107" i="28" s="1"/>
  <c r="AA121" i="28" s="1"/>
  <c r="BI19" i="91"/>
  <c r="BI42" i="91" s="1"/>
  <c r="AB63" i="91"/>
  <c r="AB79" i="91" s="1"/>
  <c r="AB93" i="91" s="1"/>
  <c r="AB107" i="91" s="1"/>
  <c r="AB121" i="91" s="1"/>
  <c r="AA79" i="91"/>
  <c r="AA93" i="91" s="1"/>
  <c r="AA107" i="91" s="1"/>
  <c r="AA121" i="91" s="1"/>
  <c r="BJ49" i="89"/>
  <c r="BG49" i="89"/>
  <c r="AA56" i="87"/>
  <c r="AA65" i="87" s="1"/>
  <c r="AN14" i="110" s="1"/>
  <c r="AA81" i="87"/>
  <c r="AN28" i="110" s="1"/>
  <c r="BG20" i="91"/>
  <c r="Y96" i="87"/>
  <c r="AL43" i="110" s="1"/>
  <c r="BG43" i="28"/>
  <c r="BJ43" i="28"/>
  <c r="AB56" i="28"/>
  <c r="AB65" i="28" s="1"/>
  <c r="AB81" i="28"/>
  <c r="BJ23" i="28"/>
  <c r="BJ51" i="28"/>
  <c r="BG51" i="28"/>
  <c r="AA56" i="93"/>
  <c r="AA65" i="93" s="1"/>
  <c r="CD14" i="110" s="1"/>
  <c r="AA81" i="93"/>
  <c r="CD28" i="110" s="1"/>
  <c r="AC50" i="28"/>
  <c r="BJ20" i="89"/>
  <c r="AC29" i="28"/>
  <c r="BJ20" i="28"/>
  <c r="BJ47" i="28"/>
  <c r="BG47" i="28"/>
  <c r="BI19" i="87"/>
  <c r="BI42" i="87" s="1"/>
  <c r="BJ21" i="28"/>
  <c r="AC24" i="28"/>
  <c r="AB81" i="89"/>
  <c r="BC28" i="110" s="1"/>
  <c r="BD28" i="110" s="1"/>
  <c r="AB56" i="89"/>
  <c r="AB65" i="89" s="1"/>
  <c r="BC14" i="110" s="1"/>
  <c r="BG43" i="89"/>
  <c r="BJ43" i="89"/>
  <c r="AB63" i="93"/>
  <c r="AB79" i="93" s="1"/>
  <c r="AB93" i="93" s="1"/>
  <c r="AB107" i="93" s="1"/>
  <c r="AB121" i="93" s="1"/>
  <c r="AA79" i="93"/>
  <c r="AA93" i="93" s="1"/>
  <c r="AA107" i="93" s="1"/>
  <c r="AA121" i="93" s="1"/>
  <c r="Z79" i="87"/>
  <c r="Z93" i="87" s="1"/>
  <c r="Z107" i="87" s="1"/>
  <c r="Z121" i="87" s="1"/>
  <c r="AA63" i="87"/>
  <c r="AC51" i="89"/>
  <c r="BJ46" i="28"/>
  <c r="BG46" i="28"/>
  <c r="AC50" i="89"/>
  <c r="AC48" i="89"/>
  <c r="BG20" i="93"/>
  <c r="BG46" i="89"/>
  <c r="BJ46" i="89"/>
  <c r="BG47" i="89"/>
  <c r="BJ47" i="89"/>
  <c r="BG44" i="89"/>
  <c r="BJ44" i="89"/>
  <c r="BG20" i="87"/>
  <c r="W89" i="89"/>
  <c r="AF22" i="110"/>
  <c r="AV36" i="110"/>
  <c r="Y117" i="91"/>
  <c r="BN64" i="110"/>
  <c r="V89" i="91"/>
  <c r="BK36" i="110"/>
  <c r="BJ36" i="110"/>
  <c r="X84" i="91"/>
  <c r="X85" i="91" s="1"/>
  <c r="Y117" i="89"/>
  <c r="AZ64" i="110"/>
  <c r="X84" i="87"/>
  <c r="X85" i="87" s="1"/>
  <c r="AI36" i="110"/>
  <c r="Y84" i="89"/>
  <c r="Y85" i="89" s="1"/>
  <c r="X84" i="93"/>
  <c r="X85" i="93" s="1"/>
  <c r="AH50" i="110"/>
  <c r="X68" i="28"/>
  <c r="X69" i="28" s="1"/>
  <c r="Y68" i="89"/>
  <c r="Y69" i="89" s="1"/>
  <c r="Y112" i="28"/>
  <c r="E29" i="106"/>
  <c r="E36" i="110"/>
  <c r="T73" i="28"/>
  <c r="E43" i="106"/>
  <c r="E50" i="110"/>
  <c r="BD44" i="91"/>
  <c r="BD22" i="91"/>
  <c r="BD21" i="91"/>
  <c r="BD22" i="93"/>
  <c r="BD46" i="91"/>
  <c r="BD22" i="87"/>
  <c r="BD24" i="93"/>
  <c r="BD27" i="93"/>
  <c r="BD25" i="93"/>
  <c r="BD44" i="87"/>
  <c r="V73" i="28"/>
  <c r="W72" i="28"/>
  <c r="BD23" i="87"/>
  <c r="BD23" i="93"/>
  <c r="BD20" i="93"/>
  <c r="BD28" i="93"/>
  <c r="BD21" i="93"/>
  <c r="Y98" i="28"/>
  <c r="Y99" i="28" s="1"/>
  <c r="BD20" i="91"/>
  <c r="BD47" i="91"/>
  <c r="BD27" i="87"/>
  <c r="BD51" i="87"/>
  <c r="BD48" i="87"/>
  <c r="BD25" i="87"/>
  <c r="BD26" i="91"/>
  <c r="BD49" i="91"/>
  <c r="BD28" i="91"/>
  <c r="BD24" i="87"/>
  <c r="BD48" i="91"/>
  <c r="BD25" i="91"/>
  <c r="BD24" i="91"/>
  <c r="BD20" i="87"/>
  <c r="BD26" i="93"/>
  <c r="Y68" i="28"/>
  <c r="Y69" i="28" s="1"/>
  <c r="Z124" i="28"/>
  <c r="AC123" i="28"/>
  <c r="R123" i="28" s="1"/>
  <c r="Y126" i="28"/>
  <c r="Y127" i="28" s="1"/>
  <c r="Z65" i="89"/>
  <c r="BA14" i="110" s="1"/>
  <c r="D29" i="106"/>
  <c r="M56" i="93"/>
  <c r="M56" i="89"/>
  <c r="M56" i="87"/>
  <c r="M56" i="91"/>
  <c r="Z117" i="87"/>
  <c r="X102" i="87"/>
  <c r="AK49" i="110" s="1"/>
  <c r="Y102" i="87"/>
  <c r="AL49" i="110" s="1"/>
  <c r="U103" i="87"/>
  <c r="W102" i="87"/>
  <c r="AJ49" i="110" s="1"/>
  <c r="S73" i="87"/>
  <c r="BD28" i="87"/>
  <c r="BD21" i="87"/>
  <c r="BD23" i="91"/>
  <c r="BD26" i="87"/>
  <c r="BD27" i="91"/>
  <c r="Y84" i="28"/>
  <c r="Y85" i="28" s="1"/>
  <c r="U72" i="87"/>
  <c r="W88" i="87"/>
  <c r="AJ35" i="110" s="1"/>
  <c r="V89" i="87"/>
  <c r="Z81" i="87"/>
  <c r="AM28" i="110" s="1"/>
  <c r="Y82" i="93"/>
  <c r="CB29" i="110" s="1"/>
  <c r="Z96" i="28"/>
  <c r="Z82" i="28"/>
  <c r="W88" i="28"/>
  <c r="Z81" i="93"/>
  <c r="CC28" i="110" s="1"/>
  <c r="Y82" i="91"/>
  <c r="BN29" i="110" s="1"/>
  <c r="Z81" i="91"/>
  <c r="BO28" i="110" s="1"/>
  <c r="W102" i="28"/>
  <c r="Z82" i="89"/>
  <c r="BA29" i="110" s="1"/>
  <c r="Y82" i="87"/>
  <c r="AL29" i="110" s="1"/>
  <c r="V73" i="91"/>
  <c r="Y66" i="93"/>
  <c r="CB15" i="110" s="1"/>
  <c r="Z64" i="28"/>
  <c r="X68" i="89"/>
  <c r="X69" i="89" s="1"/>
  <c r="Y66" i="91"/>
  <c r="BN15" i="110" s="1"/>
  <c r="Y64" i="87"/>
  <c r="AE53" i="87"/>
  <c r="BD53" i="89"/>
  <c r="BC56" i="89"/>
  <c r="BD56" i="89" s="1"/>
  <c r="AE53" i="89"/>
  <c r="BC56" i="93"/>
  <c r="BD53" i="93"/>
  <c r="AE53" i="93"/>
  <c r="AE53" i="91"/>
  <c r="BC56" i="91"/>
  <c r="BD53" i="91"/>
  <c r="AF23" i="28"/>
  <c r="BD46" i="93"/>
  <c r="BA56" i="93"/>
  <c r="BD43" i="93"/>
  <c r="Z56" i="93"/>
  <c r="BD49" i="93"/>
  <c r="BD29" i="93"/>
  <c r="BD44" i="93"/>
  <c r="BD48" i="93"/>
  <c r="BD45" i="93"/>
  <c r="BD51" i="93"/>
  <c r="BD47" i="93"/>
  <c r="BD52" i="93"/>
  <c r="BD50" i="93"/>
  <c r="BD40" i="89"/>
  <c r="BA40" i="89"/>
  <c r="BD47" i="87"/>
  <c r="BD29" i="91"/>
  <c r="BD51" i="91"/>
  <c r="BD40" i="28"/>
  <c r="BA40" i="28"/>
  <c r="BD49" i="87"/>
  <c r="BD43" i="87"/>
  <c r="Z56" i="87"/>
  <c r="BD52" i="87"/>
  <c r="BD43" i="91"/>
  <c r="Z56" i="91"/>
  <c r="BA56" i="87"/>
  <c r="BD46" i="87"/>
  <c r="BD45" i="87"/>
  <c r="BD50" i="87"/>
  <c r="BD45" i="91"/>
  <c r="BD50" i="91"/>
  <c r="BD52" i="91"/>
  <c r="BD29" i="87"/>
  <c r="BA56" i="91"/>
  <c r="BD56" i="28"/>
  <c r="Y113" i="28" l="1"/>
  <c r="AH2" i="107"/>
  <c r="BK22" i="110"/>
  <c r="V73" i="89"/>
  <c r="X68" i="93"/>
  <c r="AR2" i="107"/>
  <c r="I38" i="106"/>
  <c r="I45" i="110" s="1"/>
  <c r="AK46" i="110"/>
  <c r="AE56" i="28"/>
  <c r="AF53" i="28"/>
  <c r="AA41" i="110"/>
  <c r="AB41" i="110" s="1"/>
  <c r="M34" i="106"/>
  <c r="M41" i="110" s="1"/>
  <c r="AA69" i="110"/>
  <c r="AB69" i="110" s="1"/>
  <c r="M62" i="106"/>
  <c r="M69" i="110" s="1"/>
  <c r="K69" i="110"/>
  <c r="K41" i="110"/>
  <c r="BI56" i="28"/>
  <c r="AF35" i="89"/>
  <c r="R37" i="28"/>
  <c r="AC36" i="87"/>
  <c r="R36" i="87" s="1"/>
  <c r="AB64" i="89"/>
  <c r="BC13" i="110" s="1"/>
  <c r="BD13" i="110" s="1"/>
  <c r="R33" i="89"/>
  <c r="AC38" i="93"/>
  <c r="R38" i="93" s="1"/>
  <c r="AC39" i="87"/>
  <c r="AF39" i="87" s="1"/>
  <c r="AC31" i="87"/>
  <c r="BJ35" i="93"/>
  <c r="AC35" i="93"/>
  <c r="BJ37" i="87"/>
  <c r="AC37" i="87"/>
  <c r="R37" i="89"/>
  <c r="AF37" i="89"/>
  <c r="R30" i="28"/>
  <c r="AF30" i="28"/>
  <c r="BJ36" i="91"/>
  <c r="AC36" i="91"/>
  <c r="BJ37" i="93"/>
  <c r="AC37" i="93"/>
  <c r="R31" i="28"/>
  <c r="AF31" i="28"/>
  <c r="BJ30" i="87"/>
  <c r="AC30" i="87"/>
  <c r="R35" i="28"/>
  <c r="AF35" i="28"/>
  <c r="R33" i="28"/>
  <c r="AF33" i="28"/>
  <c r="BJ38" i="91"/>
  <c r="AC38" i="91"/>
  <c r="BJ30" i="93"/>
  <c r="AC30" i="93"/>
  <c r="BJ39" i="93"/>
  <c r="AC39" i="93"/>
  <c r="R39" i="89"/>
  <c r="AF39" i="89"/>
  <c r="BJ32" i="87"/>
  <c r="AC32" i="87"/>
  <c r="BJ33" i="91"/>
  <c r="AC33" i="91"/>
  <c r="BJ32" i="93"/>
  <c r="AC32" i="93"/>
  <c r="BJ31" i="93"/>
  <c r="AC31" i="93"/>
  <c r="R38" i="28"/>
  <c r="AF38" i="28"/>
  <c r="BJ34" i="87"/>
  <c r="AC34" i="87"/>
  <c r="R31" i="89"/>
  <c r="AF31" i="89"/>
  <c r="R32" i="28"/>
  <c r="AF32" i="28"/>
  <c r="BJ35" i="91"/>
  <c r="AC35" i="91"/>
  <c r="AC32" i="91"/>
  <c r="BJ34" i="93"/>
  <c r="AC34" i="93"/>
  <c r="R34" i="28"/>
  <c r="AF34" i="28"/>
  <c r="R30" i="89"/>
  <c r="AF30" i="89"/>
  <c r="BJ37" i="91"/>
  <c r="AC37" i="91"/>
  <c r="AC33" i="87"/>
  <c r="BJ36" i="93"/>
  <c r="AC36" i="93"/>
  <c r="R38" i="89"/>
  <c r="AF38" i="89"/>
  <c r="R34" i="89"/>
  <c r="AF34" i="89"/>
  <c r="BJ38" i="87"/>
  <c r="AC38" i="87"/>
  <c r="R32" i="89"/>
  <c r="AF32" i="89"/>
  <c r="BJ30" i="91"/>
  <c r="AC30" i="91"/>
  <c r="BJ39" i="91"/>
  <c r="AC39" i="91"/>
  <c r="BJ31" i="91"/>
  <c r="AC31" i="91"/>
  <c r="R39" i="28"/>
  <c r="AF39" i="28"/>
  <c r="BJ33" i="93"/>
  <c r="AC33" i="93"/>
  <c r="R36" i="89"/>
  <c r="AF36" i="89"/>
  <c r="BJ35" i="87"/>
  <c r="AC35" i="87"/>
  <c r="R36" i="28"/>
  <c r="AF36" i="28"/>
  <c r="BJ34" i="91"/>
  <c r="AC34" i="91"/>
  <c r="BD14" i="110"/>
  <c r="J36" i="106"/>
  <c r="J43" i="110" s="1"/>
  <c r="I8" i="106"/>
  <c r="I15" i="110" s="1"/>
  <c r="H39" i="106"/>
  <c r="H46" i="110" s="1"/>
  <c r="G71" i="106"/>
  <c r="X45" i="110"/>
  <c r="I43" i="110"/>
  <c r="D50" i="110"/>
  <c r="G63" i="110"/>
  <c r="G17" i="110"/>
  <c r="W74" i="110"/>
  <c r="I67" i="106"/>
  <c r="I74" i="110" s="1"/>
  <c r="V35" i="110"/>
  <c r="V36" i="110" s="1"/>
  <c r="X31" i="110"/>
  <c r="AZ18" i="110"/>
  <c r="AZ17" i="110"/>
  <c r="AK32" i="110"/>
  <c r="AK31" i="110"/>
  <c r="Z15" i="110"/>
  <c r="Y57" i="110"/>
  <c r="K50" i="106"/>
  <c r="K57" i="110" s="1"/>
  <c r="D78" i="110"/>
  <c r="W17" i="110"/>
  <c r="L36" i="106"/>
  <c r="L43" i="110" s="1"/>
  <c r="Z43" i="110"/>
  <c r="AO60" i="110"/>
  <c r="AP60" i="110" s="1"/>
  <c r="AO59" i="110"/>
  <c r="AP59" i="110" s="1"/>
  <c r="J57" i="110"/>
  <c r="I24" i="106"/>
  <c r="AI18" i="110"/>
  <c r="AI22" i="110" s="1"/>
  <c r="G11" i="106"/>
  <c r="L7" i="106"/>
  <c r="L14" i="110" s="1"/>
  <c r="Y43" i="110"/>
  <c r="CE60" i="110"/>
  <c r="CF60" i="110" s="1"/>
  <c r="CE59" i="110"/>
  <c r="CF59" i="110" s="1"/>
  <c r="AA56" i="110"/>
  <c r="AB56" i="110" s="1"/>
  <c r="M49" i="106"/>
  <c r="M56" i="110" s="1"/>
  <c r="N56" i="110" s="1"/>
  <c r="V89" i="93"/>
  <c r="U2" i="107" s="1"/>
  <c r="BY35" i="110"/>
  <c r="BY36" i="110" s="1"/>
  <c r="Z71" i="110"/>
  <c r="L64" i="106"/>
  <c r="L71" i="110" s="1"/>
  <c r="BZ18" i="110"/>
  <c r="BZ17" i="110"/>
  <c r="G28" i="106"/>
  <c r="K70" i="110"/>
  <c r="W117" i="28"/>
  <c r="V63" i="110"/>
  <c r="H56" i="106"/>
  <c r="H63" i="110" s="1"/>
  <c r="AA70" i="110"/>
  <c r="AB70" i="110" s="1"/>
  <c r="M63" i="106"/>
  <c r="M70" i="110" s="1"/>
  <c r="Z57" i="110"/>
  <c r="L50" i="106"/>
  <c r="L57" i="110" s="1"/>
  <c r="AA55" i="110"/>
  <c r="AB55" i="110" s="1"/>
  <c r="M48" i="106"/>
  <c r="W60" i="110"/>
  <c r="I53" i="106"/>
  <c r="I60" i="110" s="1"/>
  <c r="W32" i="110"/>
  <c r="H25" i="106"/>
  <c r="AH21" i="110"/>
  <c r="AH22" i="110" s="1"/>
  <c r="F14" i="106"/>
  <c r="F21" i="110" s="1"/>
  <c r="CA32" i="110"/>
  <c r="CA31" i="110"/>
  <c r="BM32" i="110"/>
  <c r="BM31" i="110"/>
  <c r="AA28" i="110"/>
  <c r="AB28" i="110" s="1"/>
  <c r="BQ60" i="110"/>
  <c r="BR60" i="110" s="1"/>
  <c r="BQ59" i="110"/>
  <c r="BR59" i="110" s="1"/>
  <c r="CB63" i="110"/>
  <c r="CB64" i="110" s="1"/>
  <c r="AC95" i="28"/>
  <c r="R95" i="28" s="1"/>
  <c r="AA42" i="110"/>
  <c r="AB42" i="110" s="1"/>
  <c r="M35" i="106"/>
  <c r="M42" i="110" s="1"/>
  <c r="N42" i="110" s="1"/>
  <c r="I29" i="110"/>
  <c r="X17" i="110"/>
  <c r="BC60" i="110"/>
  <c r="BD60" i="110" s="1"/>
  <c r="BC59" i="110"/>
  <c r="BD59" i="110" s="1"/>
  <c r="AY18" i="110"/>
  <c r="AY17" i="110"/>
  <c r="V21" i="110"/>
  <c r="V22" i="110" s="1"/>
  <c r="AA14" i="110"/>
  <c r="AB14" i="110" s="1"/>
  <c r="Z29" i="110"/>
  <c r="AA27" i="110"/>
  <c r="AB27" i="110" s="1"/>
  <c r="J22" i="106"/>
  <c r="J29" i="110" s="1"/>
  <c r="J14" i="110"/>
  <c r="D21" i="110"/>
  <c r="D22" i="110" s="1"/>
  <c r="W46" i="110"/>
  <c r="L6" i="106"/>
  <c r="L13" i="110" s="1"/>
  <c r="L20" i="106"/>
  <c r="L27" i="110" s="1"/>
  <c r="X59" i="110"/>
  <c r="J52" i="106"/>
  <c r="J59" i="110" s="1"/>
  <c r="Y29" i="110"/>
  <c r="AL13" i="110"/>
  <c r="J6" i="106"/>
  <c r="J13" i="110" s="1"/>
  <c r="V49" i="110"/>
  <c r="V50" i="110" s="1"/>
  <c r="H42" i="106"/>
  <c r="H49" i="110" s="1"/>
  <c r="X73" i="110"/>
  <c r="J66" i="106"/>
  <c r="AZ32" i="110"/>
  <c r="AZ31" i="110"/>
  <c r="AK45" i="110"/>
  <c r="CD63" i="110"/>
  <c r="CD64" i="110" s="1"/>
  <c r="Y13" i="110"/>
  <c r="Y71" i="110"/>
  <c r="K64" i="106"/>
  <c r="K71" i="110" s="1"/>
  <c r="V77" i="110"/>
  <c r="V78" i="110" s="1"/>
  <c r="H70" i="106"/>
  <c r="H77" i="110" s="1"/>
  <c r="H78" i="110" s="1"/>
  <c r="H45" i="110"/>
  <c r="K20" i="106"/>
  <c r="K27" i="110" s="1"/>
  <c r="R22" i="110"/>
  <c r="K21" i="106"/>
  <c r="K28" i="110" s="1"/>
  <c r="H10" i="106"/>
  <c r="H17" i="110" s="1"/>
  <c r="L21" i="106"/>
  <c r="L28" i="110" s="1"/>
  <c r="R20" i="89"/>
  <c r="AC20" i="91"/>
  <c r="AF20" i="91" s="1"/>
  <c r="AB40" i="91"/>
  <c r="AC40" i="91" s="1"/>
  <c r="AF40" i="91" s="1"/>
  <c r="AB80" i="91"/>
  <c r="BQ27" i="110" s="1"/>
  <c r="BR27" i="110" s="1"/>
  <c r="AB80" i="93"/>
  <c r="CE27" i="110" s="1"/>
  <c r="CF27" i="110" s="1"/>
  <c r="AB40" i="93"/>
  <c r="AC40" i="93" s="1"/>
  <c r="AF40" i="93" s="1"/>
  <c r="AF20" i="28"/>
  <c r="AB64" i="28"/>
  <c r="AB80" i="87"/>
  <c r="AO27" i="110" s="1"/>
  <c r="AP27" i="110" s="1"/>
  <c r="AB40" i="87"/>
  <c r="AC40" i="87" s="1"/>
  <c r="AF40" i="87" s="1"/>
  <c r="AC20" i="87"/>
  <c r="AF20" i="87" s="1"/>
  <c r="AF28" i="89"/>
  <c r="V73" i="87"/>
  <c r="AA112" i="28"/>
  <c r="Z112" i="28"/>
  <c r="D28" i="104"/>
  <c r="F29" i="106"/>
  <c r="R26" i="89"/>
  <c r="D24" i="104"/>
  <c r="D24" i="102"/>
  <c r="AC24" i="93"/>
  <c r="AF24" i="93" s="1"/>
  <c r="D26" i="102"/>
  <c r="R43" i="28"/>
  <c r="D26" i="104"/>
  <c r="X68" i="87"/>
  <c r="X69" i="87" s="1"/>
  <c r="G57" i="106"/>
  <c r="X88" i="28"/>
  <c r="AF25" i="28"/>
  <c r="AA126" i="28"/>
  <c r="AA127" i="28" s="1"/>
  <c r="X68" i="91"/>
  <c r="X69" i="91" s="1"/>
  <c r="W88" i="93"/>
  <c r="H28" i="106" s="1"/>
  <c r="H35" i="110" s="1"/>
  <c r="X130" i="28"/>
  <c r="W131" i="28"/>
  <c r="AA117" i="93"/>
  <c r="Y117" i="93"/>
  <c r="V72" i="93"/>
  <c r="W72" i="93"/>
  <c r="BZ21" i="110" s="1"/>
  <c r="BV22" i="110"/>
  <c r="Z116" i="93"/>
  <c r="CC63" i="110" s="1"/>
  <c r="U73" i="93"/>
  <c r="CA64" i="110"/>
  <c r="AC112" i="91"/>
  <c r="R112" i="91" s="1"/>
  <c r="AC81" i="89"/>
  <c r="R81" i="89" s="1"/>
  <c r="G43" i="106"/>
  <c r="AC112" i="93"/>
  <c r="R112" i="93" s="1"/>
  <c r="AC112" i="89"/>
  <c r="R112" i="89" s="1"/>
  <c r="AF45" i="28"/>
  <c r="X102" i="28"/>
  <c r="X116" i="28"/>
  <c r="U78" i="110"/>
  <c r="R51" i="91"/>
  <c r="AF51" i="91"/>
  <c r="AF48" i="89"/>
  <c r="R48" i="89"/>
  <c r="AF47" i="87"/>
  <c r="R47" i="87"/>
  <c r="AF48" i="91"/>
  <c r="R48" i="91"/>
  <c r="AF45" i="91"/>
  <c r="AF50" i="93"/>
  <c r="R50" i="93"/>
  <c r="AF51" i="93"/>
  <c r="R51" i="93"/>
  <c r="AF26" i="28"/>
  <c r="R26" i="28"/>
  <c r="AF52" i="91"/>
  <c r="R52" i="91"/>
  <c r="AF49" i="91"/>
  <c r="R49" i="91"/>
  <c r="AF49" i="93"/>
  <c r="R49" i="93"/>
  <c r="AF23" i="89"/>
  <c r="R23" i="89"/>
  <c r="AF50" i="87"/>
  <c r="R50" i="87"/>
  <c r="AF47" i="91"/>
  <c r="R47" i="91"/>
  <c r="AF21" i="89"/>
  <c r="R21" i="89"/>
  <c r="AF24" i="89"/>
  <c r="R24" i="89"/>
  <c r="AF51" i="87"/>
  <c r="R51" i="87"/>
  <c r="AF29" i="28"/>
  <c r="R29" i="28"/>
  <c r="AF45" i="93"/>
  <c r="AF28" i="28"/>
  <c r="R28" i="28"/>
  <c r="R22" i="89"/>
  <c r="AF22" i="89"/>
  <c r="AF50" i="89"/>
  <c r="R50" i="89"/>
  <c r="AF51" i="89"/>
  <c r="R51" i="89"/>
  <c r="AF44" i="87"/>
  <c r="AF43" i="91"/>
  <c r="R43" i="91"/>
  <c r="AF48" i="87"/>
  <c r="R48" i="87"/>
  <c r="AF44" i="93"/>
  <c r="AF27" i="28"/>
  <c r="R27" i="28"/>
  <c r="AF29" i="89"/>
  <c r="R29" i="89"/>
  <c r="R27" i="89"/>
  <c r="AF27" i="89"/>
  <c r="AF24" i="28"/>
  <c r="R24" i="28"/>
  <c r="AF52" i="87"/>
  <c r="R52" i="87"/>
  <c r="AF46" i="91"/>
  <c r="R46" i="91"/>
  <c r="AF43" i="93"/>
  <c r="R43" i="93"/>
  <c r="AF48" i="93"/>
  <c r="R48" i="93"/>
  <c r="AF22" i="28"/>
  <c r="R22" i="28"/>
  <c r="AF50" i="28"/>
  <c r="R50" i="28"/>
  <c r="AF44" i="91"/>
  <c r="AF50" i="91"/>
  <c r="R50" i="91"/>
  <c r="AF46" i="93"/>
  <c r="R46" i="93"/>
  <c r="AF25" i="89"/>
  <c r="R25" i="89"/>
  <c r="R21" i="28"/>
  <c r="AB124" i="28"/>
  <c r="AF44" i="28"/>
  <c r="AC109" i="28"/>
  <c r="R109" i="28" s="1"/>
  <c r="AC65" i="28"/>
  <c r="R65" i="28" s="1"/>
  <c r="AC56" i="28"/>
  <c r="BG56" i="28" s="1"/>
  <c r="AC56" i="89"/>
  <c r="AC28" i="93"/>
  <c r="Y98" i="87"/>
  <c r="Y99" i="87" s="1"/>
  <c r="AC25" i="87"/>
  <c r="AC81" i="28"/>
  <c r="R81" i="28" s="1"/>
  <c r="AC24" i="91"/>
  <c r="AC80" i="28"/>
  <c r="R80" i="28" s="1"/>
  <c r="AC27" i="91"/>
  <c r="AC24" i="87"/>
  <c r="AC25" i="93"/>
  <c r="AC94" i="28"/>
  <c r="R94" i="28" s="1"/>
  <c r="AC80" i="89"/>
  <c r="R80" i="89" s="1"/>
  <c r="AC22" i="91"/>
  <c r="AC28" i="87"/>
  <c r="AC112" i="87"/>
  <c r="R112" i="87" s="1"/>
  <c r="AC21" i="87"/>
  <c r="E15" i="106"/>
  <c r="E22" i="110"/>
  <c r="BL36" i="110"/>
  <c r="R40" i="28"/>
  <c r="AC29" i="91"/>
  <c r="AC27" i="93"/>
  <c r="AC22" i="93"/>
  <c r="AC26" i="93"/>
  <c r="AC27" i="87"/>
  <c r="AC22" i="87"/>
  <c r="AC28" i="91"/>
  <c r="AC25" i="91"/>
  <c r="AC23" i="93"/>
  <c r="AB96" i="28"/>
  <c r="BG45" i="87"/>
  <c r="BJ45" i="87"/>
  <c r="AB110" i="28"/>
  <c r="AC108" i="28"/>
  <c r="R108" i="28" s="1"/>
  <c r="AC45" i="87"/>
  <c r="R45" i="87" s="1"/>
  <c r="BG52" i="87"/>
  <c r="BJ52" i="87"/>
  <c r="BJ49" i="87"/>
  <c r="BG49" i="87"/>
  <c r="AB82" i="89"/>
  <c r="BC29" i="110" s="1"/>
  <c r="BD29" i="110" s="1"/>
  <c r="BJ46" i="91"/>
  <c r="BG46" i="91"/>
  <c r="BG45" i="93"/>
  <c r="BJ45" i="93"/>
  <c r="BJ20" i="93"/>
  <c r="AC21" i="93"/>
  <c r="AC23" i="87"/>
  <c r="AA66" i="87"/>
  <c r="AN15" i="110" s="1"/>
  <c r="R40" i="89"/>
  <c r="AC29" i="93"/>
  <c r="BG44" i="91"/>
  <c r="BJ44" i="91"/>
  <c r="BG50" i="91"/>
  <c r="BJ50" i="91"/>
  <c r="AA66" i="91"/>
  <c r="BP15" i="110" s="1"/>
  <c r="AA68" i="89"/>
  <c r="AA69" i="89" s="1"/>
  <c r="AA84" i="28"/>
  <c r="AA85" i="28" s="1"/>
  <c r="AA98" i="28"/>
  <c r="AA99" i="28" s="1"/>
  <c r="BG48" i="87"/>
  <c r="BJ48" i="87"/>
  <c r="AB56" i="87"/>
  <c r="AB65" i="87" s="1"/>
  <c r="AO14" i="110" s="1"/>
  <c r="AB81" i="87"/>
  <c r="AO28" i="110" s="1"/>
  <c r="AP28" i="110" s="1"/>
  <c r="BG43" i="87"/>
  <c r="BJ43" i="87"/>
  <c r="AA82" i="87"/>
  <c r="AN29" i="110" s="1"/>
  <c r="AA82" i="93"/>
  <c r="CD29" i="110" s="1"/>
  <c r="AB63" i="87"/>
  <c r="AB79" i="87" s="1"/>
  <c r="AB93" i="87" s="1"/>
  <c r="AB107" i="87" s="1"/>
  <c r="AB121" i="87" s="1"/>
  <c r="AA79" i="87"/>
  <c r="AA93" i="87" s="1"/>
  <c r="AA107" i="87" s="1"/>
  <c r="AA121" i="87" s="1"/>
  <c r="AC43" i="87"/>
  <c r="BJ47" i="87"/>
  <c r="BG47" i="87"/>
  <c r="BJ48" i="91"/>
  <c r="BG48" i="91"/>
  <c r="BJ45" i="91"/>
  <c r="BG45" i="91"/>
  <c r="BJ44" i="93"/>
  <c r="BG44" i="93"/>
  <c r="AC29" i="87"/>
  <c r="AA66" i="93"/>
  <c r="CD15" i="110" s="1"/>
  <c r="AC49" i="87"/>
  <c r="BJ20" i="87"/>
  <c r="BJ51" i="87"/>
  <c r="BG51" i="87"/>
  <c r="BG46" i="87"/>
  <c r="BJ46" i="87"/>
  <c r="AB82" i="28"/>
  <c r="AC23" i="91"/>
  <c r="BJ52" i="91"/>
  <c r="BG52" i="91"/>
  <c r="BG49" i="91"/>
  <c r="BJ49" i="91"/>
  <c r="AB56" i="93"/>
  <c r="AB65" i="93" s="1"/>
  <c r="CE14" i="110" s="1"/>
  <c r="AB81" i="93"/>
  <c r="CE28" i="110" s="1"/>
  <c r="CF28" i="110" s="1"/>
  <c r="BJ43" i="93"/>
  <c r="BG43" i="93"/>
  <c r="BJ48" i="93"/>
  <c r="BG48" i="93"/>
  <c r="BG50" i="87"/>
  <c r="BJ50" i="87"/>
  <c r="AC46" i="87"/>
  <c r="BG47" i="91"/>
  <c r="BJ47" i="91"/>
  <c r="AA84" i="89"/>
  <c r="AA85" i="89" s="1"/>
  <c r="BJ46" i="93"/>
  <c r="BG46" i="93"/>
  <c r="BJ47" i="93"/>
  <c r="BG47" i="93"/>
  <c r="BJ52" i="93"/>
  <c r="BG52" i="93"/>
  <c r="AC47" i="93"/>
  <c r="AC52" i="93"/>
  <c r="AC26" i="91"/>
  <c r="AC20" i="93"/>
  <c r="AC21" i="91"/>
  <c r="AC64" i="89"/>
  <c r="R64" i="89" s="1"/>
  <c r="BJ51" i="91"/>
  <c r="BG51" i="91"/>
  <c r="BG50" i="93"/>
  <c r="BJ50" i="93"/>
  <c r="BJ51" i="93"/>
  <c r="BG51" i="93"/>
  <c r="AC26" i="87"/>
  <c r="BG44" i="87"/>
  <c r="BJ44" i="87"/>
  <c r="AA82" i="91"/>
  <c r="BP29" i="110" s="1"/>
  <c r="BJ20" i="91"/>
  <c r="AB81" i="91"/>
  <c r="BQ28" i="110" s="1"/>
  <c r="BR28" i="110" s="1"/>
  <c r="AB56" i="91"/>
  <c r="AB65" i="91" s="1"/>
  <c r="BQ14" i="110" s="1"/>
  <c r="BG43" i="91"/>
  <c r="BJ43" i="91"/>
  <c r="BJ49" i="93"/>
  <c r="BG49" i="93"/>
  <c r="AA68" i="28"/>
  <c r="AA69" i="28" s="1"/>
  <c r="W89" i="91"/>
  <c r="X89" i="89"/>
  <c r="AY36" i="110"/>
  <c r="AM64" i="110"/>
  <c r="Y84" i="87"/>
  <c r="Y85" i="87" s="1"/>
  <c r="AC65" i="89"/>
  <c r="R65" i="89" s="1"/>
  <c r="AW22" i="110"/>
  <c r="Y84" i="91"/>
  <c r="Y85" i="91" s="1"/>
  <c r="BX22" i="110"/>
  <c r="W73" i="91"/>
  <c r="BL22" i="110"/>
  <c r="AJ36" i="110"/>
  <c r="Y84" i="93"/>
  <c r="Y85" i="93" s="1"/>
  <c r="W72" i="87"/>
  <c r="AJ21" i="110" s="1"/>
  <c r="AJ50" i="110"/>
  <c r="BA64" i="110"/>
  <c r="W73" i="28"/>
  <c r="F43" i="106"/>
  <c r="F50" i="110"/>
  <c r="AC124" i="28"/>
  <c r="R124" i="28" s="1"/>
  <c r="Z64" i="93"/>
  <c r="CC13" i="110" s="1"/>
  <c r="AC94" i="87"/>
  <c r="R94" i="87" s="1"/>
  <c r="Z126" i="28"/>
  <c r="Z127" i="28" s="1"/>
  <c r="W103" i="87"/>
  <c r="Z117" i="91"/>
  <c r="Z66" i="89"/>
  <c r="BA15" i="110" s="1"/>
  <c r="Y68" i="91"/>
  <c r="Y69" i="91" s="1"/>
  <c r="Z65" i="91"/>
  <c r="BO14" i="110" s="1"/>
  <c r="Z65" i="87"/>
  <c r="Z65" i="93"/>
  <c r="CC14" i="110" s="1"/>
  <c r="Y68" i="93"/>
  <c r="Y69" i="93" s="1"/>
  <c r="Z117" i="89"/>
  <c r="W89" i="87"/>
  <c r="D15" i="106"/>
  <c r="Z96" i="87"/>
  <c r="AM43" i="110" s="1"/>
  <c r="AP43" i="110" s="1"/>
  <c r="Z98" i="28"/>
  <c r="Z99" i="28" s="1"/>
  <c r="Z84" i="89"/>
  <c r="Z85" i="89" s="1"/>
  <c r="X88" i="87"/>
  <c r="AK35" i="110" s="1"/>
  <c r="U73" i="87"/>
  <c r="Z84" i="28"/>
  <c r="Z85" i="28" s="1"/>
  <c r="W89" i="28"/>
  <c r="Z82" i="91"/>
  <c r="BO29" i="110" s="1"/>
  <c r="W103" i="28"/>
  <c r="Z82" i="93"/>
  <c r="CC29" i="110" s="1"/>
  <c r="Z82" i="87"/>
  <c r="AM29" i="110" s="1"/>
  <c r="Y66" i="87"/>
  <c r="Z66" i="28"/>
  <c r="AE56" i="89"/>
  <c r="AF53" i="89"/>
  <c r="AE56" i="87"/>
  <c r="AF53" i="87"/>
  <c r="AE56" i="91"/>
  <c r="AF53" i="91"/>
  <c r="AE56" i="93"/>
  <c r="AF53" i="93"/>
  <c r="BD56" i="93"/>
  <c r="BA40" i="93"/>
  <c r="BD40" i="93"/>
  <c r="BD56" i="91"/>
  <c r="BD40" i="91"/>
  <c r="BA40" i="91"/>
  <c r="BA40" i="87"/>
  <c r="BD40" i="87"/>
  <c r="BD56" i="87"/>
  <c r="Z113" i="28" l="1"/>
  <c r="Z116" i="28" s="1"/>
  <c r="AI2" i="107"/>
  <c r="AA113" i="28"/>
  <c r="AA116" i="28" s="1"/>
  <c r="AJ2" i="107"/>
  <c r="X69" i="93"/>
  <c r="CA18" i="110" s="1"/>
  <c r="CA17" i="110"/>
  <c r="AT2" i="107"/>
  <c r="AS2" i="107"/>
  <c r="N34" i="106"/>
  <c r="N41" i="110"/>
  <c r="N62" i="106"/>
  <c r="N69" i="110"/>
  <c r="AB66" i="89"/>
  <c r="BC15" i="110" s="1"/>
  <c r="R39" i="87"/>
  <c r="AF38" i="93"/>
  <c r="AF36" i="87"/>
  <c r="AB64" i="87"/>
  <c r="AO13" i="110" s="1"/>
  <c r="AP13" i="110" s="1"/>
  <c r="R20" i="91"/>
  <c r="R20" i="87"/>
  <c r="AB64" i="91"/>
  <c r="BQ13" i="110" s="1"/>
  <c r="BR13" i="110" s="1"/>
  <c r="R35" i="87"/>
  <c r="AF35" i="87"/>
  <c r="R30" i="91"/>
  <c r="AF30" i="91"/>
  <c r="R31" i="93"/>
  <c r="AF31" i="93"/>
  <c r="R32" i="87"/>
  <c r="AF32" i="87"/>
  <c r="R38" i="91"/>
  <c r="AF38" i="91"/>
  <c r="R31" i="91"/>
  <c r="AF31" i="91"/>
  <c r="R36" i="93"/>
  <c r="AF36" i="93"/>
  <c r="R32" i="93"/>
  <c r="AF32" i="93"/>
  <c r="R37" i="93"/>
  <c r="AF37" i="93"/>
  <c r="R37" i="87"/>
  <c r="AF37" i="87"/>
  <c r="R34" i="93"/>
  <c r="AF34" i="93"/>
  <c r="R34" i="91"/>
  <c r="AF34" i="91"/>
  <c r="R38" i="87"/>
  <c r="AF38" i="87"/>
  <c r="R33" i="87"/>
  <c r="AF33" i="87"/>
  <c r="R34" i="87"/>
  <c r="AF34" i="87"/>
  <c r="R33" i="91"/>
  <c r="AF33" i="91"/>
  <c r="R39" i="93"/>
  <c r="AF39" i="93"/>
  <c r="R36" i="91"/>
  <c r="AF36" i="91"/>
  <c r="R35" i="93"/>
  <c r="AF35" i="93"/>
  <c r="R37" i="91"/>
  <c r="AF37" i="91"/>
  <c r="R32" i="91"/>
  <c r="AF32" i="91"/>
  <c r="R33" i="93"/>
  <c r="AF33" i="93"/>
  <c r="R39" i="91"/>
  <c r="AF39" i="91"/>
  <c r="R35" i="91"/>
  <c r="AF35" i="91"/>
  <c r="R30" i="93"/>
  <c r="AF30" i="93"/>
  <c r="R30" i="87"/>
  <c r="AF30" i="87"/>
  <c r="R31" i="87"/>
  <c r="AF31" i="87"/>
  <c r="BR14" i="110"/>
  <c r="I10" i="106"/>
  <c r="I17" i="110" s="1"/>
  <c r="N70" i="110"/>
  <c r="N35" i="106"/>
  <c r="H11" i="106"/>
  <c r="H18" i="110" s="1"/>
  <c r="I25" i="106"/>
  <c r="I32" i="110" s="1"/>
  <c r="I39" i="106"/>
  <c r="I46" i="110" s="1"/>
  <c r="H57" i="106"/>
  <c r="AL15" i="110"/>
  <c r="J8" i="106"/>
  <c r="N49" i="106"/>
  <c r="K36" i="106"/>
  <c r="AL46" i="110"/>
  <c r="AL45" i="110"/>
  <c r="BZ35" i="110"/>
  <c r="BZ36" i="110" s="1"/>
  <c r="AA13" i="110"/>
  <c r="AB13" i="110" s="1"/>
  <c r="K22" i="106"/>
  <c r="G35" i="110"/>
  <c r="G36" i="110" s="1"/>
  <c r="Y45" i="110"/>
  <c r="BB32" i="110"/>
  <c r="BB31" i="110"/>
  <c r="Z31" i="110"/>
  <c r="V73" i="93"/>
  <c r="BY21" i="110"/>
  <c r="BY22" i="110" s="1"/>
  <c r="G14" i="106"/>
  <c r="AA130" i="28"/>
  <c r="L66" i="106"/>
  <c r="L73" i="110" s="1"/>
  <c r="Z73" i="110"/>
  <c r="Z59" i="110"/>
  <c r="L52" i="106"/>
  <c r="L59" i="110" s="1"/>
  <c r="K6" i="106"/>
  <c r="K13" i="110" s="1"/>
  <c r="J73" i="110"/>
  <c r="H14" i="106"/>
  <c r="H21" i="110" s="1"/>
  <c r="X18" i="110"/>
  <c r="M21" i="106"/>
  <c r="Z45" i="110"/>
  <c r="L38" i="106"/>
  <c r="L45" i="110" s="1"/>
  <c r="BM18" i="110"/>
  <c r="BM17" i="110"/>
  <c r="Y59" i="110"/>
  <c r="K52" i="106"/>
  <c r="CB32" i="110"/>
  <c r="CB31" i="110"/>
  <c r="AL32" i="110"/>
  <c r="AL31" i="110"/>
  <c r="AA57" i="110"/>
  <c r="AB57" i="110" s="1"/>
  <c r="M50" i="106"/>
  <c r="M57" i="110" s="1"/>
  <c r="N57" i="110" s="1"/>
  <c r="BN18" i="110"/>
  <c r="BN17" i="110"/>
  <c r="Z17" i="110"/>
  <c r="AA29" i="110"/>
  <c r="AB29" i="110" s="1"/>
  <c r="BB18" i="110"/>
  <c r="BB17" i="110"/>
  <c r="M20" i="106"/>
  <c r="H32" i="110"/>
  <c r="H36" i="110" s="1"/>
  <c r="M55" i="110"/>
  <c r="N55" i="110" s="1"/>
  <c r="N48" i="106"/>
  <c r="G18" i="110"/>
  <c r="W18" i="110"/>
  <c r="J67" i="106"/>
  <c r="X74" i="110"/>
  <c r="J38" i="106"/>
  <c r="BA32" i="110"/>
  <c r="BA31" i="110"/>
  <c r="W49" i="110"/>
  <c r="I42" i="106"/>
  <c r="I49" i="110" s="1"/>
  <c r="X60" i="110"/>
  <c r="J53" i="106"/>
  <c r="L22" i="106"/>
  <c r="L29" i="110" s="1"/>
  <c r="AM14" i="110"/>
  <c r="AP14" i="110" s="1"/>
  <c r="K7" i="106"/>
  <c r="W35" i="110"/>
  <c r="CF14" i="110"/>
  <c r="AA43" i="110"/>
  <c r="AB43" i="110" s="1"/>
  <c r="M36" i="106"/>
  <c r="M43" i="110" s="1"/>
  <c r="AK18" i="110"/>
  <c r="AK17" i="110"/>
  <c r="N63" i="106"/>
  <c r="I31" i="110"/>
  <c r="J24" i="106"/>
  <c r="J31" i="110" s="1"/>
  <c r="X46" i="110"/>
  <c r="X117" i="28"/>
  <c r="W63" i="110"/>
  <c r="W64" i="110" s="1"/>
  <c r="I56" i="106"/>
  <c r="I63" i="110" s="1"/>
  <c r="I64" i="110" s="1"/>
  <c r="Y31" i="110"/>
  <c r="Y15" i="110"/>
  <c r="CB18" i="110"/>
  <c r="CB17" i="110"/>
  <c r="Y73" i="110"/>
  <c r="K66" i="106"/>
  <c r="K73" i="110" s="1"/>
  <c r="BN32" i="110"/>
  <c r="BN31" i="110"/>
  <c r="AA71" i="110"/>
  <c r="AB71" i="110" s="1"/>
  <c r="M64" i="106"/>
  <c r="M71" i="110" s="1"/>
  <c r="N71" i="110" s="1"/>
  <c r="X131" i="28"/>
  <c r="W77" i="110"/>
  <c r="W78" i="110" s="1"/>
  <c r="I70" i="106"/>
  <c r="I77" i="110" s="1"/>
  <c r="I78" i="110" s="1"/>
  <c r="M7" i="106"/>
  <c r="M14" i="110" s="1"/>
  <c r="L8" i="106"/>
  <c r="L15" i="110" s="1"/>
  <c r="X32" i="110"/>
  <c r="G64" i="110"/>
  <c r="AC64" i="28"/>
  <c r="R64" i="28" s="1"/>
  <c r="AB66" i="28"/>
  <c r="AB68" i="28" s="1"/>
  <c r="AB69" i="28" s="1"/>
  <c r="AB64" i="93"/>
  <c r="CE13" i="110" s="1"/>
  <c r="CF13" i="110" s="1"/>
  <c r="C8" i="112"/>
  <c r="AK50" i="110"/>
  <c r="BZ22" i="110"/>
  <c r="W89" i="93"/>
  <c r="V2" i="107" s="1"/>
  <c r="R24" i="93"/>
  <c r="G29" i="106"/>
  <c r="W73" i="93"/>
  <c r="X89" i="28"/>
  <c r="H71" i="106"/>
  <c r="X103" i="87"/>
  <c r="X72" i="28"/>
  <c r="Y130" i="28"/>
  <c r="Y72" i="28"/>
  <c r="CC64" i="110"/>
  <c r="Z117" i="93"/>
  <c r="X88" i="93"/>
  <c r="CA35" i="110" s="1"/>
  <c r="AB116" i="93"/>
  <c r="X72" i="93"/>
  <c r="X103" i="28"/>
  <c r="Y102" i="28"/>
  <c r="Y88" i="28"/>
  <c r="V64" i="110"/>
  <c r="G78" i="110"/>
  <c r="Y116" i="28"/>
  <c r="AB117" i="87"/>
  <c r="AC117" i="87" s="1"/>
  <c r="R117" i="87" s="1"/>
  <c r="AO64" i="110"/>
  <c r="AP64" i="110" s="1"/>
  <c r="BG40" i="89"/>
  <c r="AF24" i="91"/>
  <c r="R24" i="91"/>
  <c r="AF47" i="93"/>
  <c r="R47" i="93"/>
  <c r="AF23" i="91"/>
  <c r="R23" i="91"/>
  <c r="AF45" i="87"/>
  <c r="AF27" i="87"/>
  <c r="R27" i="87"/>
  <c r="AF23" i="87"/>
  <c r="R23" i="87"/>
  <c r="AF26" i="93"/>
  <c r="R26" i="93"/>
  <c r="AF25" i="87"/>
  <c r="R25" i="87"/>
  <c r="AF46" i="87"/>
  <c r="R46" i="87"/>
  <c r="AF49" i="87"/>
  <c r="R49" i="87"/>
  <c r="AF21" i="93"/>
  <c r="R21" i="93"/>
  <c r="AF23" i="93"/>
  <c r="R23" i="93"/>
  <c r="AF22" i="93"/>
  <c r="R22" i="93"/>
  <c r="AF28" i="87"/>
  <c r="R28" i="87"/>
  <c r="AF25" i="91"/>
  <c r="R25" i="91"/>
  <c r="AF27" i="93"/>
  <c r="R27" i="93"/>
  <c r="AF22" i="91"/>
  <c r="R22" i="91"/>
  <c r="AF25" i="93"/>
  <c r="R25" i="93"/>
  <c r="AF26" i="87"/>
  <c r="R26" i="87"/>
  <c r="AF21" i="91"/>
  <c r="R21" i="91"/>
  <c r="AF29" i="91"/>
  <c r="R29" i="91"/>
  <c r="AF21" i="87"/>
  <c r="R21" i="87"/>
  <c r="AF24" i="87"/>
  <c r="R24" i="87"/>
  <c r="AF28" i="93"/>
  <c r="R28" i="93"/>
  <c r="AF20" i="93"/>
  <c r="R20" i="93"/>
  <c r="AF29" i="87"/>
  <c r="R29" i="87"/>
  <c r="AF29" i="93"/>
  <c r="R29" i="93"/>
  <c r="AF28" i="91"/>
  <c r="R28" i="91"/>
  <c r="AF27" i="91"/>
  <c r="R27" i="91"/>
  <c r="BG56" i="89"/>
  <c r="R56" i="89"/>
  <c r="AF52" i="93"/>
  <c r="R52" i="93"/>
  <c r="AF26" i="91"/>
  <c r="R26" i="91"/>
  <c r="AF43" i="87"/>
  <c r="R43" i="87"/>
  <c r="AF22" i="87"/>
  <c r="R22" i="87"/>
  <c r="AB126" i="28"/>
  <c r="AB127" i="28" s="1"/>
  <c r="AC113" i="89"/>
  <c r="R113" i="89" s="1"/>
  <c r="AF56" i="28"/>
  <c r="BJ56" i="28" s="1"/>
  <c r="R56" i="28"/>
  <c r="BJ40" i="89"/>
  <c r="AC96" i="28"/>
  <c r="R96" i="28" s="1"/>
  <c r="AC113" i="91"/>
  <c r="R113" i="91" s="1"/>
  <c r="AC56" i="87"/>
  <c r="AC56" i="91"/>
  <c r="R40" i="93"/>
  <c r="R40" i="87"/>
  <c r="AC82" i="89"/>
  <c r="R82" i="89" s="1"/>
  <c r="AC56" i="93"/>
  <c r="AC113" i="93"/>
  <c r="R113" i="93" s="1"/>
  <c r="BQ64" i="110"/>
  <c r="BC64" i="110"/>
  <c r="BD64" i="110" s="1"/>
  <c r="BG40" i="28"/>
  <c r="BJ40" i="28"/>
  <c r="AC82" i="28"/>
  <c r="R82" i="28" s="1"/>
  <c r="AC113" i="87"/>
  <c r="R113" i="87" s="1"/>
  <c r="AB117" i="91"/>
  <c r="AC117" i="91" s="1"/>
  <c r="R117" i="91" s="1"/>
  <c r="AB117" i="89"/>
  <c r="AC117" i="89" s="1"/>
  <c r="R117" i="89" s="1"/>
  <c r="AC81" i="87"/>
  <c r="R81" i="87" s="1"/>
  <c r="AB82" i="91"/>
  <c r="BQ29" i="110" s="1"/>
  <c r="BR29" i="110" s="1"/>
  <c r="AA84" i="91"/>
  <c r="AA85" i="91" s="1"/>
  <c r="AA68" i="91"/>
  <c r="AA69" i="91" s="1"/>
  <c r="AC81" i="91"/>
  <c r="R81" i="91" s="1"/>
  <c r="AB84" i="28"/>
  <c r="AB85" i="28" s="1"/>
  <c r="AB82" i="93"/>
  <c r="CE29" i="110" s="1"/>
  <c r="CF29" i="110" s="1"/>
  <c r="AB84" i="89"/>
  <c r="AB85" i="89" s="1"/>
  <c r="AB82" i="87"/>
  <c r="AO29" i="110" s="1"/>
  <c r="AP29" i="110" s="1"/>
  <c r="AC80" i="93"/>
  <c r="R80" i="93" s="1"/>
  <c r="AB112" i="28"/>
  <c r="AC110" i="28"/>
  <c r="R110" i="28" s="1"/>
  <c r="R40" i="91"/>
  <c r="AA84" i="93"/>
  <c r="AA85" i="93" s="1"/>
  <c r="AA68" i="87"/>
  <c r="AA69" i="87" s="1"/>
  <c r="AB98" i="28"/>
  <c r="AB99" i="28" s="1"/>
  <c r="AA68" i="93"/>
  <c r="AA69" i="93" s="1"/>
  <c r="AC81" i="93"/>
  <c r="R81" i="93" s="1"/>
  <c r="AC80" i="87"/>
  <c r="R80" i="87" s="1"/>
  <c r="AC80" i="91"/>
  <c r="R80" i="91" s="1"/>
  <c r="AA84" i="87"/>
  <c r="AA85" i="87" s="1"/>
  <c r="AZ36" i="110"/>
  <c r="X89" i="91"/>
  <c r="BM36" i="110"/>
  <c r="Y89" i="89"/>
  <c r="BO64" i="110"/>
  <c r="W73" i="87"/>
  <c r="AC96" i="87"/>
  <c r="R96" i="87" s="1"/>
  <c r="AJ22" i="110"/>
  <c r="AC65" i="93"/>
  <c r="R65" i="93" s="1"/>
  <c r="AC65" i="91"/>
  <c r="R65" i="91" s="1"/>
  <c r="Y73" i="89"/>
  <c r="AZ22" i="110"/>
  <c r="Z68" i="89"/>
  <c r="Z69" i="89" s="1"/>
  <c r="F15" i="106"/>
  <c r="H50" i="110"/>
  <c r="H43" i="106"/>
  <c r="F22" i="110"/>
  <c r="AC65" i="87"/>
  <c r="R65" i="87" s="1"/>
  <c r="AC126" i="28"/>
  <c r="Z66" i="91"/>
  <c r="BO15" i="110" s="1"/>
  <c r="Z66" i="87"/>
  <c r="AM15" i="110" s="1"/>
  <c r="Z66" i="93"/>
  <c r="CC15" i="110" s="1"/>
  <c r="Z84" i="87"/>
  <c r="Z85" i="87" s="1"/>
  <c r="Z98" i="87"/>
  <c r="Z99" i="87" s="1"/>
  <c r="Z84" i="91"/>
  <c r="Z85" i="91" s="1"/>
  <c r="Z84" i="93"/>
  <c r="Z85" i="93" s="1"/>
  <c r="X72" i="87"/>
  <c r="AK21" i="110" s="1"/>
  <c r="X89" i="87"/>
  <c r="Y88" i="87"/>
  <c r="AL35" i="110" s="1"/>
  <c r="Z68" i="28"/>
  <c r="Z69" i="28" s="1"/>
  <c r="X73" i="89"/>
  <c r="Y68" i="87"/>
  <c r="Y69" i="87" s="1"/>
  <c r="AF56" i="89"/>
  <c r="BJ56" i="89" s="1"/>
  <c r="AB113" i="28" l="1"/>
  <c r="AK2" i="107"/>
  <c r="AU2" i="107"/>
  <c r="BD15" i="110"/>
  <c r="AC66" i="89"/>
  <c r="R66" i="89" s="1"/>
  <c r="AB68" i="89"/>
  <c r="AB69" i="89" s="1"/>
  <c r="AB66" i="87"/>
  <c r="AO15" i="110" s="1"/>
  <c r="AP15" i="110" s="1"/>
  <c r="AC64" i="87"/>
  <c r="R64" i="87" s="1"/>
  <c r="AC64" i="91"/>
  <c r="R64" i="91" s="1"/>
  <c r="N50" i="106"/>
  <c r="AB66" i="91"/>
  <c r="BQ15" i="110" s="1"/>
  <c r="BR15" i="110" s="1"/>
  <c r="K24" i="106"/>
  <c r="K31" i="110" s="1"/>
  <c r="L24" i="106"/>
  <c r="L31" i="110" s="1"/>
  <c r="L10" i="106"/>
  <c r="L17" i="110" s="1"/>
  <c r="AC66" i="28"/>
  <c r="R66" i="28" s="1"/>
  <c r="I11" i="106"/>
  <c r="I18" i="110" s="1"/>
  <c r="J39" i="106"/>
  <c r="J46" i="110" s="1"/>
  <c r="N64" i="106"/>
  <c r="Y46" i="110"/>
  <c r="W21" i="110"/>
  <c r="W22" i="110" s="1"/>
  <c r="I14" i="106"/>
  <c r="I21" i="110" s="1"/>
  <c r="L70" i="106"/>
  <c r="L77" i="110" s="1"/>
  <c r="Z77" i="110"/>
  <c r="AA15" i="110"/>
  <c r="AB15" i="110" s="1"/>
  <c r="W50" i="110"/>
  <c r="M28" i="110"/>
  <c r="N28" i="110" s="1"/>
  <c r="N21" i="106"/>
  <c r="BA18" i="110"/>
  <c r="BA17" i="110"/>
  <c r="BR64" i="110"/>
  <c r="M27" i="110"/>
  <c r="N27" i="110" s="1"/>
  <c r="N20" i="106"/>
  <c r="CC32" i="110"/>
  <c r="CC31" i="110"/>
  <c r="AA59" i="110"/>
  <c r="AB59" i="110" s="1"/>
  <c r="M52" i="106"/>
  <c r="M59" i="110" s="1"/>
  <c r="BO32" i="110"/>
  <c r="BO31" i="110"/>
  <c r="CD18" i="110"/>
  <c r="CD17" i="110"/>
  <c r="AC64" i="93"/>
  <c r="R64" i="93" s="1"/>
  <c r="X35" i="110"/>
  <c r="X36" i="110" s="1"/>
  <c r="K8" i="106"/>
  <c r="K15" i="110" s="1"/>
  <c r="Z18" i="110"/>
  <c r="Y60" i="110"/>
  <c r="K53" i="106"/>
  <c r="K60" i="110" s="1"/>
  <c r="Z60" i="110"/>
  <c r="L53" i="106"/>
  <c r="L60" i="110" s="1"/>
  <c r="X77" i="110"/>
  <c r="X78" i="110" s="1"/>
  <c r="J70" i="106"/>
  <c r="J77" i="110" s="1"/>
  <c r="K59" i="110"/>
  <c r="I28" i="106"/>
  <c r="Z32" i="110"/>
  <c r="K29" i="110"/>
  <c r="AB117" i="93"/>
  <c r="AC117" i="93" s="1"/>
  <c r="R117" i="93" s="1"/>
  <c r="CE63" i="110"/>
  <c r="CF63" i="110" s="1"/>
  <c r="AM46" i="110"/>
  <c r="AP46" i="110" s="1"/>
  <c r="AM45" i="110"/>
  <c r="AP45" i="110" s="1"/>
  <c r="BP18" i="110"/>
  <c r="BP17" i="110"/>
  <c r="J74" i="110"/>
  <c r="M6" i="106"/>
  <c r="M13" i="110" s="1"/>
  <c r="N13" i="110" s="1"/>
  <c r="K43" i="110"/>
  <c r="N43" i="110" s="1"/>
  <c r="N36" i="106"/>
  <c r="AM32" i="110"/>
  <c r="AM31" i="110"/>
  <c r="AB102" i="28"/>
  <c r="AA45" i="110"/>
  <c r="AB45" i="110" s="1"/>
  <c r="M38" i="106"/>
  <c r="M45" i="110" s="1"/>
  <c r="Y17" i="110"/>
  <c r="X49" i="110"/>
  <c r="X50" i="110" s="1"/>
  <c r="J42" i="106"/>
  <c r="J49" i="110" s="1"/>
  <c r="J25" i="106"/>
  <c r="W36" i="110"/>
  <c r="J60" i="110"/>
  <c r="J45" i="110"/>
  <c r="Z74" i="110"/>
  <c r="L67" i="106"/>
  <c r="L74" i="110" s="1"/>
  <c r="AN18" i="110"/>
  <c r="AN17" i="110"/>
  <c r="BP32" i="110"/>
  <c r="BP31" i="110"/>
  <c r="CD32" i="110"/>
  <c r="CD31" i="110"/>
  <c r="AA17" i="110"/>
  <c r="Z63" i="110"/>
  <c r="L56" i="106"/>
  <c r="L63" i="110" s="1"/>
  <c r="Y63" i="110"/>
  <c r="K56" i="106"/>
  <c r="K63" i="110" s="1"/>
  <c r="Y32" i="110"/>
  <c r="K14" i="110"/>
  <c r="N14" i="110" s="1"/>
  <c r="N7" i="106"/>
  <c r="M22" i="106"/>
  <c r="M29" i="110" s="1"/>
  <c r="G21" i="110"/>
  <c r="G22" i="110" s="1"/>
  <c r="K38" i="106"/>
  <c r="K45" i="110" s="1"/>
  <c r="J15" i="110"/>
  <c r="AA31" i="110"/>
  <c r="AB31" i="110" s="1"/>
  <c r="AL17" i="110"/>
  <c r="J10" i="106"/>
  <c r="AB66" i="93"/>
  <c r="CE15" i="110" s="1"/>
  <c r="CF15" i="110" s="1"/>
  <c r="AN32" i="110"/>
  <c r="AN31" i="110"/>
  <c r="BC32" i="110"/>
  <c r="BD32" i="110" s="1"/>
  <c r="BC31" i="110"/>
  <c r="BD31" i="110" s="1"/>
  <c r="AA73" i="110"/>
  <c r="AB73" i="110" s="1"/>
  <c r="M66" i="106"/>
  <c r="M73" i="110" s="1"/>
  <c r="N73" i="110" s="1"/>
  <c r="X63" i="110"/>
  <c r="X64" i="110" s="1"/>
  <c r="J56" i="106"/>
  <c r="X73" i="93"/>
  <c r="CA21" i="110"/>
  <c r="CA22" i="110" s="1"/>
  <c r="X21" i="110"/>
  <c r="X22" i="110" s="1"/>
  <c r="Y74" i="110"/>
  <c r="K67" i="106"/>
  <c r="K74" i="110" s="1"/>
  <c r="Z46" i="110"/>
  <c r="L39" i="106"/>
  <c r="L46" i="110" s="1"/>
  <c r="BM22" i="110"/>
  <c r="AL50" i="110"/>
  <c r="AA117" i="28"/>
  <c r="H29" i="106"/>
  <c r="I71" i="106"/>
  <c r="AA131" i="28"/>
  <c r="Y103" i="87"/>
  <c r="X73" i="91"/>
  <c r="G15" i="106"/>
  <c r="Y131" i="28"/>
  <c r="Y73" i="28"/>
  <c r="X73" i="28"/>
  <c r="I50" i="110"/>
  <c r="Z117" i="28"/>
  <c r="CA36" i="110"/>
  <c r="Y72" i="93"/>
  <c r="X89" i="93"/>
  <c r="W2" i="107" s="1"/>
  <c r="Y88" i="93"/>
  <c r="J28" i="106" s="1"/>
  <c r="J35" i="110" s="1"/>
  <c r="AC116" i="93"/>
  <c r="R116" i="93" s="1"/>
  <c r="AC82" i="87"/>
  <c r="R82" i="87" s="1"/>
  <c r="I43" i="106"/>
  <c r="R126" i="28"/>
  <c r="I57" i="106"/>
  <c r="Y103" i="28"/>
  <c r="AA102" i="28"/>
  <c r="Y117" i="28"/>
  <c r="AA88" i="28"/>
  <c r="H64" i="110"/>
  <c r="Y89" i="28"/>
  <c r="Z102" i="28"/>
  <c r="Z130" i="28"/>
  <c r="AA72" i="28"/>
  <c r="BG56" i="87"/>
  <c r="R56" i="87"/>
  <c r="BG56" i="93"/>
  <c r="R56" i="93"/>
  <c r="BG40" i="91"/>
  <c r="BG40" i="87"/>
  <c r="AF56" i="87"/>
  <c r="BJ56" i="87" s="1"/>
  <c r="BG40" i="93"/>
  <c r="BG56" i="91"/>
  <c r="R56" i="91"/>
  <c r="AB130" i="28"/>
  <c r="BJ40" i="87"/>
  <c r="BJ40" i="93"/>
  <c r="AF56" i="91"/>
  <c r="BJ56" i="91" s="1"/>
  <c r="BJ40" i="91"/>
  <c r="AF56" i="93"/>
  <c r="BJ56" i="93" s="1"/>
  <c r="AC82" i="91"/>
  <c r="R82" i="91" s="1"/>
  <c r="AC84" i="28"/>
  <c r="R84" i="28" s="1"/>
  <c r="AC82" i="93"/>
  <c r="R82" i="93" s="1"/>
  <c r="BN36" i="110"/>
  <c r="AC98" i="28"/>
  <c r="R98" i="28" s="1"/>
  <c r="BB36" i="110"/>
  <c r="AB84" i="87"/>
  <c r="AB85" i="87" s="1"/>
  <c r="AB84" i="93"/>
  <c r="AB85" i="93" s="1"/>
  <c r="AC84" i="89"/>
  <c r="R84" i="89" s="1"/>
  <c r="AC112" i="28"/>
  <c r="R112" i="28" s="1"/>
  <c r="AA89" i="89"/>
  <c r="AA73" i="89"/>
  <c r="AB84" i="91"/>
  <c r="AB85" i="91" s="1"/>
  <c r="BB22" i="110"/>
  <c r="Y89" i="91"/>
  <c r="Z68" i="87"/>
  <c r="Z69" i="87" s="1"/>
  <c r="H22" i="110"/>
  <c r="H15" i="106"/>
  <c r="AY22" i="110"/>
  <c r="AL36" i="110"/>
  <c r="AK22" i="110"/>
  <c r="Z68" i="91"/>
  <c r="Z69" i="91" s="1"/>
  <c r="Y73" i="91"/>
  <c r="BN22" i="110"/>
  <c r="AK36" i="110"/>
  <c r="AC68" i="28"/>
  <c r="O5" i="28" s="1"/>
  <c r="AC127" i="28"/>
  <c r="R127" i="28" s="1"/>
  <c r="Z68" i="93"/>
  <c r="Z69" i="93" s="1"/>
  <c r="AC98" i="87"/>
  <c r="R98" i="87" s="1"/>
  <c r="Z89" i="89"/>
  <c r="Z88" i="28"/>
  <c r="Y89" i="87"/>
  <c r="Z88" i="87"/>
  <c r="AM35" i="110" s="1"/>
  <c r="AP35" i="110" s="1"/>
  <c r="X73" i="87"/>
  <c r="AB68" i="87" l="1"/>
  <c r="AC66" i="87"/>
  <c r="R66" i="87" s="1"/>
  <c r="AC68" i="89"/>
  <c r="O5" i="89" s="1"/>
  <c r="BC18" i="110"/>
  <c r="BD18" i="110" s="1"/>
  <c r="BC17" i="110"/>
  <c r="BD17" i="110" s="1"/>
  <c r="AB68" i="91"/>
  <c r="AB69" i="91" s="1"/>
  <c r="AC66" i="91"/>
  <c r="R66" i="91" s="1"/>
  <c r="N6" i="106"/>
  <c r="K10" i="106"/>
  <c r="K17" i="110" s="1"/>
  <c r="M24" i="106"/>
  <c r="M31" i="110" s="1"/>
  <c r="CE64" i="110"/>
  <c r="CF64" i="110" s="1"/>
  <c r="J71" i="106"/>
  <c r="N52" i="106"/>
  <c r="J78" i="110"/>
  <c r="Z78" i="110"/>
  <c r="AB17" i="110"/>
  <c r="N59" i="110"/>
  <c r="K39" i="106"/>
  <c r="K46" i="110" s="1"/>
  <c r="Y64" i="110"/>
  <c r="Z64" i="110"/>
  <c r="CC18" i="110"/>
  <c r="CC17" i="110"/>
  <c r="AC66" i="93"/>
  <c r="R66" i="93" s="1"/>
  <c r="N45" i="110"/>
  <c r="J63" i="110"/>
  <c r="J64" i="110" s="1"/>
  <c r="Y77" i="110"/>
  <c r="K70" i="106"/>
  <c r="K71" i="106" s="1"/>
  <c r="Z49" i="110"/>
  <c r="Z50" i="110" s="1"/>
  <c r="L42" i="106"/>
  <c r="L49" i="110" s="1"/>
  <c r="L50" i="110" s="1"/>
  <c r="AA32" i="110"/>
  <c r="AB32" i="110" s="1"/>
  <c r="M8" i="106"/>
  <c r="M15" i="110" s="1"/>
  <c r="N15" i="110" s="1"/>
  <c r="L25" i="106"/>
  <c r="L32" i="110" s="1"/>
  <c r="Z103" i="28"/>
  <c r="Y49" i="110"/>
  <c r="Y18" i="110"/>
  <c r="I35" i="110"/>
  <c r="I36" i="110" s="1"/>
  <c r="K25" i="106"/>
  <c r="K32" i="110" s="1"/>
  <c r="J32" i="110"/>
  <c r="J36" i="110" s="1"/>
  <c r="AA60" i="110"/>
  <c r="AB60" i="110" s="1"/>
  <c r="M53" i="106"/>
  <c r="BO18" i="110"/>
  <c r="BO17" i="110"/>
  <c r="AA49" i="110"/>
  <c r="M42" i="106"/>
  <c r="M49" i="110" s="1"/>
  <c r="AA74" i="110"/>
  <c r="AB74" i="110" s="1"/>
  <c r="M67" i="106"/>
  <c r="M74" i="110" s="1"/>
  <c r="N74" i="110" s="1"/>
  <c r="J17" i="110"/>
  <c r="AA18" i="110"/>
  <c r="L11" i="106"/>
  <c r="L18" i="110" s="1"/>
  <c r="AB68" i="93"/>
  <c r="AB69" i="93" s="1"/>
  <c r="AM18" i="110"/>
  <c r="AM17" i="110"/>
  <c r="CB35" i="110"/>
  <c r="CB36" i="110" s="1"/>
  <c r="AA77" i="110"/>
  <c r="M70" i="106"/>
  <c r="M77" i="110" s="1"/>
  <c r="CE32" i="110"/>
  <c r="CF32" i="110" s="1"/>
  <c r="CE31" i="110"/>
  <c r="CF31" i="110" s="1"/>
  <c r="N66" i="106"/>
  <c r="AA46" i="110"/>
  <c r="AB46" i="110" s="1"/>
  <c r="M39" i="106"/>
  <c r="M46" i="110" s="1"/>
  <c r="AA73" i="28"/>
  <c r="Z21" i="110"/>
  <c r="Z22" i="110" s="1"/>
  <c r="Y35" i="110"/>
  <c r="BQ32" i="110"/>
  <c r="BR32" i="110" s="1"/>
  <c r="BQ31" i="110"/>
  <c r="BR31" i="110" s="1"/>
  <c r="AO32" i="110"/>
  <c r="AP32" i="110" s="1"/>
  <c r="AO31" i="110"/>
  <c r="AP31" i="110" s="1"/>
  <c r="AA89" i="28"/>
  <c r="Z35" i="110"/>
  <c r="Z36" i="110" s="1"/>
  <c r="CB21" i="110"/>
  <c r="CB22" i="110" s="1"/>
  <c r="AL18" i="110"/>
  <c r="J11" i="106"/>
  <c r="N38" i="106"/>
  <c r="N22" i="106"/>
  <c r="L64" i="110"/>
  <c r="J50" i="110"/>
  <c r="L78" i="110"/>
  <c r="L71" i="106"/>
  <c r="I29" i="106"/>
  <c r="Y73" i="93"/>
  <c r="K57" i="106"/>
  <c r="AA88" i="93"/>
  <c r="AB116" i="28"/>
  <c r="Y89" i="93"/>
  <c r="X2" i="107" s="1"/>
  <c r="Z88" i="93"/>
  <c r="CC35" i="110" s="1"/>
  <c r="AA72" i="93"/>
  <c r="R68" i="28"/>
  <c r="J43" i="106"/>
  <c r="L57" i="106"/>
  <c r="J57" i="106"/>
  <c r="AB72" i="28"/>
  <c r="AC130" i="28"/>
  <c r="R130" i="28" s="1"/>
  <c r="Z131" i="28"/>
  <c r="AC131" i="28" s="1"/>
  <c r="R131" i="28" s="1"/>
  <c r="AA103" i="28"/>
  <c r="AC102" i="28"/>
  <c r="R102" i="28" s="1"/>
  <c r="AB88" i="28"/>
  <c r="N29" i="110"/>
  <c r="AB131" i="28"/>
  <c r="AC99" i="28"/>
  <c r="R99" i="28" s="1"/>
  <c r="AC84" i="87"/>
  <c r="R84" i="87" s="1"/>
  <c r="AC84" i="91"/>
  <c r="R84" i="91" s="1"/>
  <c r="AB103" i="28"/>
  <c r="AC84" i="93"/>
  <c r="R84" i="93" s="1"/>
  <c r="AC85" i="28"/>
  <c r="AN36" i="110"/>
  <c r="BP36" i="110"/>
  <c r="BP22" i="110"/>
  <c r="AB89" i="89"/>
  <c r="AC89" i="89" s="1"/>
  <c r="R89" i="89" s="1"/>
  <c r="O4" i="89" s="1"/>
  <c r="AA89" i="91"/>
  <c r="AA73" i="87"/>
  <c r="AN22" i="110"/>
  <c r="AA73" i="91"/>
  <c r="AC113" i="28"/>
  <c r="R113" i="28" s="1"/>
  <c r="AC85" i="89"/>
  <c r="R85" i="89" s="1"/>
  <c r="AA89" i="87"/>
  <c r="I22" i="110"/>
  <c r="BA36" i="110"/>
  <c r="AC88" i="87"/>
  <c r="R88" i="87" s="1"/>
  <c r="Z73" i="89"/>
  <c r="AC99" i="87"/>
  <c r="R99" i="87" s="1"/>
  <c r="K64" i="110"/>
  <c r="Y72" i="87"/>
  <c r="Z72" i="28"/>
  <c r="AC69" i="28"/>
  <c r="R69" i="28" s="1"/>
  <c r="I15" i="106"/>
  <c r="Z102" i="87"/>
  <c r="AM49" i="110" s="1"/>
  <c r="AP49" i="110" s="1"/>
  <c r="Z89" i="91"/>
  <c r="Z89" i="28"/>
  <c r="Z72" i="87"/>
  <c r="AM21" i="110" s="1"/>
  <c r="Z89" i="87"/>
  <c r="AB69" i="87" l="1"/>
  <c r="AO18" i="110" s="1"/>
  <c r="AO17" i="110"/>
  <c r="AC68" i="87"/>
  <c r="O5" i="87" s="1"/>
  <c r="AC69" i="89"/>
  <c r="R69" i="89" s="1"/>
  <c r="AB73" i="89"/>
  <c r="R68" i="89"/>
  <c r="BQ18" i="110"/>
  <c r="BR18" i="110" s="1"/>
  <c r="AC68" i="93"/>
  <c r="O5" i="93" s="1"/>
  <c r="CE18" i="110"/>
  <c r="CF18" i="110" s="1"/>
  <c r="BC22" i="110"/>
  <c r="BQ17" i="110"/>
  <c r="BR17" i="110" s="1"/>
  <c r="AC68" i="91"/>
  <c r="O5" i="91" s="1"/>
  <c r="N24" i="106"/>
  <c r="N46" i="110"/>
  <c r="K28" i="106"/>
  <c r="K35" i="110" s="1"/>
  <c r="N39" i="106"/>
  <c r="AB49" i="110"/>
  <c r="K11" i="106"/>
  <c r="K18" i="110" s="1"/>
  <c r="M25" i="106"/>
  <c r="M32" i="110" s="1"/>
  <c r="AB18" i="110"/>
  <c r="N8" i="106"/>
  <c r="C9" i="112" s="1"/>
  <c r="AB77" i="110"/>
  <c r="CD35" i="110"/>
  <c r="CD36" i="110" s="1"/>
  <c r="L28" i="106"/>
  <c r="L35" i="110" s="1"/>
  <c r="L36" i="110" s="1"/>
  <c r="AL21" i="110"/>
  <c r="AL22" i="110" s="1"/>
  <c r="J14" i="106"/>
  <c r="AB73" i="28"/>
  <c r="AA21" i="110"/>
  <c r="AA22" i="110" s="1"/>
  <c r="N67" i="106"/>
  <c r="AB89" i="28"/>
  <c r="AC89" i="28" s="1"/>
  <c r="R89" i="28" s="1"/>
  <c r="O4" i="28" s="1"/>
  <c r="AA35" i="110"/>
  <c r="AB35" i="110" s="1"/>
  <c r="CD21" i="110"/>
  <c r="CD22" i="110" s="1"/>
  <c r="AP17" i="110"/>
  <c r="CE17" i="110"/>
  <c r="CF17" i="110" s="1"/>
  <c r="K42" i="106"/>
  <c r="K77" i="110"/>
  <c r="N77" i="110" s="1"/>
  <c r="N70" i="106"/>
  <c r="L14" i="106"/>
  <c r="L21" i="110" s="1"/>
  <c r="L22" i="110" s="1"/>
  <c r="J18" i="110"/>
  <c r="Y21" i="110"/>
  <c r="AA63" i="110"/>
  <c r="AB63" i="110" s="1"/>
  <c r="M56" i="106"/>
  <c r="M60" i="110"/>
  <c r="N60" i="110" s="1"/>
  <c r="N53" i="106"/>
  <c r="M10" i="106"/>
  <c r="R85" i="28"/>
  <c r="AA89" i="93"/>
  <c r="Z2" i="107" s="1"/>
  <c r="J29" i="106"/>
  <c r="AC116" i="28"/>
  <c r="R116" i="28" s="1"/>
  <c r="AB88" i="93"/>
  <c r="Z89" i="93"/>
  <c r="Y2" i="107" s="1"/>
  <c r="AB117" i="28"/>
  <c r="AB72" i="93"/>
  <c r="AA73" i="93"/>
  <c r="Z72" i="93"/>
  <c r="CC21" i="110" s="1"/>
  <c r="AA78" i="110"/>
  <c r="R68" i="87"/>
  <c r="AC103" i="28"/>
  <c r="AC88" i="28"/>
  <c r="R88" i="28" s="1"/>
  <c r="AA50" i="110"/>
  <c r="Y78" i="110"/>
  <c r="L43" i="106"/>
  <c r="Y50" i="110"/>
  <c r="M78" i="110"/>
  <c r="M71" i="106"/>
  <c r="N71" i="106" s="1"/>
  <c r="BC36" i="110"/>
  <c r="BD36" i="110" s="1"/>
  <c r="AO36" i="110"/>
  <c r="BQ36" i="110"/>
  <c r="AC73" i="89"/>
  <c r="O6" i="89" s="1"/>
  <c r="AC85" i="87"/>
  <c r="R85" i="87" s="1"/>
  <c r="AC85" i="91"/>
  <c r="R85" i="91" s="1"/>
  <c r="AC85" i="93"/>
  <c r="R85" i="93" s="1"/>
  <c r="AB89" i="87"/>
  <c r="AC89" i="87" s="1"/>
  <c r="R89" i="87" s="1"/>
  <c r="O4" i="87" s="1"/>
  <c r="AB89" i="91"/>
  <c r="AC89" i="91" s="1"/>
  <c r="R89" i="91" s="1"/>
  <c r="O4" i="91" s="1"/>
  <c r="M43" i="106"/>
  <c r="N31" i="110"/>
  <c r="M50" i="110"/>
  <c r="Y36" i="110"/>
  <c r="Z73" i="91"/>
  <c r="AM36" i="110"/>
  <c r="BA22" i="110"/>
  <c r="BO36" i="110"/>
  <c r="Y73" i="87"/>
  <c r="AC72" i="28"/>
  <c r="R72" i="28" s="1"/>
  <c r="Z103" i="87"/>
  <c r="AC102" i="87"/>
  <c r="R102" i="87" s="1"/>
  <c r="AC72" i="87"/>
  <c r="R72" i="87" s="1"/>
  <c r="Z73" i="87"/>
  <c r="Z73" i="28"/>
  <c r="AC69" i="87" l="1"/>
  <c r="AB73" i="87"/>
  <c r="AO22" i="110"/>
  <c r="AP18" i="110"/>
  <c r="AB73" i="91"/>
  <c r="AC69" i="91"/>
  <c r="R69" i="91" s="1"/>
  <c r="R68" i="93"/>
  <c r="BD22" i="110"/>
  <c r="BQ22" i="110"/>
  <c r="R68" i="91"/>
  <c r="K29" i="106"/>
  <c r="AB21" i="110"/>
  <c r="M11" i="106"/>
  <c r="M18" i="110" s="1"/>
  <c r="N18" i="110" s="1"/>
  <c r="AC69" i="93"/>
  <c r="R69" i="93" s="1"/>
  <c r="N25" i="106"/>
  <c r="AP21" i="110"/>
  <c r="AP36" i="110"/>
  <c r="AA36" i="110"/>
  <c r="AB36" i="110" s="1"/>
  <c r="AB50" i="110"/>
  <c r="CE35" i="110"/>
  <c r="CF35" i="110" s="1"/>
  <c r="M28" i="106"/>
  <c r="M17" i="110"/>
  <c r="N17" i="110" s="1"/>
  <c r="N10" i="106"/>
  <c r="AB78" i="110"/>
  <c r="K49" i="110"/>
  <c r="N49" i="110" s="1"/>
  <c r="N42" i="106"/>
  <c r="M63" i="110"/>
  <c r="N63" i="110" s="1"/>
  <c r="N56" i="106"/>
  <c r="J21" i="110"/>
  <c r="J22" i="110" s="1"/>
  <c r="CE21" i="110"/>
  <c r="CF21" i="110" s="1"/>
  <c r="M14" i="106"/>
  <c r="M21" i="110" s="1"/>
  <c r="AA64" i="110"/>
  <c r="AB64" i="110" s="1"/>
  <c r="BR36" i="110"/>
  <c r="K14" i="106"/>
  <c r="K21" i="110" s="1"/>
  <c r="AC103" i="87"/>
  <c r="AC117" i="28"/>
  <c r="R117" i="28" s="1"/>
  <c r="L15" i="106"/>
  <c r="L29" i="106"/>
  <c r="AB89" i="93"/>
  <c r="AC89" i="93" s="1"/>
  <c r="D22" i="104" s="1"/>
  <c r="M57" i="106"/>
  <c r="N57" i="106" s="1"/>
  <c r="Z73" i="93"/>
  <c r="AC88" i="93"/>
  <c r="R88" i="93" s="1"/>
  <c r="CC36" i="110"/>
  <c r="AC72" i="93"/>
  <c r="R72" i="93" s="1"/>
  <c r="AB73" i="93"/>
  <c r="R69" i="87"/>
  <c r="R103" i="28"/>
  <c r="K78" i="110"/>
  <c r="N78" i="110" s="1"/>
  <c r="AM22" i="110"/>
  <c r="R73" i="89"/>
  <c r="AM50" i="110"/>
  <c r="AP50" i="110" s="1"/>
  <c r="AC73" i="91"/>
  <c r="O6" i="91" s="1"/>
  <c r="Y22" i="110"/>
  <c r="AB22" i="110" s="1"/>
  <c r="BO22" i="110"/>
  <c r="K36" i="110"/>
  <c r="AC73" i="28"/>
  <c r="R73" i="28" s="1"/>
  <c r="J15" i="106"/>
  <c r="AC73" i="87"/>
  <c r="K43" i="106"/>
  <c r="N43" i="106" s="1"/>
  <c r="AP22" i="110" l="1"/>
  <c r="BR22" i="110"/>
  <c r="N11" i="106"/>
  <c r="C10" i="112" s="1"/>
  <c r="N21" i="110"/>
  <c r="K15" i="106"/>
  <c r="M64" i="110"/>
  <c r="N64" i="110" s="1"/>
  <c r="M35" i="110"/>
  <c r="N35" i="110" s="1"/>
  <c r="N28" i="106"/>
  <c r="CE22" i="110"/>
  <c r="N14" i="106"/>
  <c r="C12" i="112" s="1"/>
  <c r="CE36" i="110"/>
  <c r="CF36" i="110" s="1"/>
  <c r="AA2" i="107"/>
  <c r="D3" i="104"/>
  <c r="Q2" i="107"/>
  <c r="R103" i="87"/>
  <c r="O6" i="87"/>
  <c r="O6" i="28"/>
  <c r="D23" i="102"/>
  <c r="D23" i="104"/>
  <c r="D34" i="104" s="1"/>
  <c r="D22" i="102"/>
  <c r="D3" i="102" s="1"/>
  <c r="M29" i="106"/>
  <c r="N29" i="106" s="1"/>
  <c r="R89" i="93"/>
  <c r="O4" i="93" s="1"/>
  <c r="AC73" i="93"/>
  <c r="O6" i="93" s="1"/>
  <c r="M15" i="106"/>
  <c r="CC22" i="110"/>
  <c r="M22" i="110"/>
  <c r="R73" i="91"/>
  <c r="R73" i="87"/>
  <c r="N32" i="110"/>
  <c r="K50" i="110"/>
  <c r="N50" i="110" s="1"/>
  <c r="K22" i="110"/>
  <c r="B64" i="117" l="1"/>
  <c r="B65" i="117" s="1"/>
  <c r="CF22" i="110"/>
  <c r="C14" i="112"/>
  <c r="M36" i="110"/>
  <c r="N36" i="110" s="1"/>
  <c r="N15" i="106"/>
  <c r="D2" i="106" s="1"/>
  <c r="D32" i="104"/>
  <c r="D33" i="104"/>
  <c r="D32" i="102"/>
  <c r="D21" i="104"/>
  <c r="D21" i="102"/>
  <c r="G26" i="102" s="1"/>
  <c r="R73" i="93"/>
  <c r="N22" i="110"/>
  <c r="G26" i="10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Allan Bøge Ochwat</author>
    <author>Betina Sehested Gade</author>
    <author>Helle S. Simonsen</author>
    <author>Lasse Bjerg</author>
  </authors>
  <commentList>
    <comment ref="B3" authorId="0" shapeId="0" xr:uid="{323BDDAA-73AE-4DA0-B414-406E3E378EE5}">
      <text>
        <r>
          <rPr>
            <sz val="9"/>
            <color indexed="81"/>
            <rFont val="Tahoma"/>
            <family val="2"/>
          </rPr>
          <t>Please fill in the red cells as this information is used in ReAp.</t>
        </r>
      </text>
    </comment>
    <comment ref="B7" authorId="0" shapeId="0" xr:uid="{A4B264E1-88E8-4BBA-B629-DA07C93E634C}">
      <text>
        <r>
          <rPr>
            <sz val="9"/>
            <color indexed="81"/>
            <rFont val="Tahoma"/>
            <family val="2"/>
          </rPr>
          <t>Add only a new grant source if you cannot find it in the list.
It is not necessary to download a new version</t>
        </r>
      </text>
    </comment>
    <comment ref="B8" authorId="0" shapeId="0" xr:uid="{F593AF8F-D75D-41D3-B7A0-7B34277B97BD}">
      <text>
        <r>
          <rPr>
            <sz val="9"/>
            <color indexed="81"/>
            <rFont val="Tahoma"/>
            <family val="2"/>
          </rPr>
          <t>Add only a new instrument if you cannot find it in the list.</t>
        </r>
      </text>
    </comment>
    <comment ref="D9" authorId="1" shapeId="0" xr:uid="{0C30EA60-208C-46C4-97D2-85B3F7F41554}">
      <text>
        <r>
          <rPr>
            <sz val="9"/>
            <color indexed="81"/>
            <rFont val="Tahoma"/>
            <family val="2"/>
          </rPr>
          <t>Is there involvement in the project from a country (as of 01.01.2025: Russia, China, Iran, Saudi Arabia, Turkey, Armenia, Azerbaijan, Georgia, Kazakhstan, USA...) that constitutes a threat (e.g., espionage) to Denmark according to the guidelines from URIS (Committee on Guidelines for International Research and Innovation Cooperation)?  : https://pet.dk/en/-/media/mediefiler/pet/dokumenter/analyser-og-vurderinger/vurdering-af-spionagetruslen-mod-danmark/vurdering-af-spionagetruslen-mod-danmark-2023_uk_web.pdf</t>
        </r>
      </text>
    </comment>
    <comment ref="D20" authorId="1" shapeId="0" xr:uid="{BA12DEDF-0D8B-43C0-8C14-FAA7AB75B738}">
      <text>
        <r>
          <rPr>
            <sz val="9"/>
            <color indexed="81"/>
            <rFont val="Tahoma"/>
            <family val="2"/>
          </rPr>
          <t>Only insert number</t>
        </r>
      </text>
    </comment>
    <comment ref="G26" authorId="2" shapeId="0" xr:uid="{35AA61F8-B74D-4A6B-B703-EB459334A3AA}">
      <text>
        <r>
          <rPr>
            <sz val="9"/>
            <color indexed="81"/>
            <rFont val="Tahoma"/>
            <family val="2"/>
          </rPr>
          <t xml:space="preserve">
(Dept. co-financing salary+Dept. co-financing others)/Total budget (incl. overhead)</t>
        </r>
      </text>
    </comment>
    <comment ref="G30" authorId="2" shapeId="0" xr:uid="{C5B41D2F-A7CC-472C-869E-7FF433142702}">
      <text>
        <r>
          <rPr>
            <sz val="9"/>
            <color indexed="81"/>
            <rFont val="Tahoma"/>
            <family val="2"/>
          </rPr>
          <t xml:space="preserve">
Scrap value</t>
        </r>
      </text>
    </comment>
    <comment ref="D32" authorId="2" shapeId="0" xr:uid="{CAB6B800-37E8-4CC1-8484-1989A1FF219F}">
      <text>
        <r>
          <rPr>
            <sz val="9"/>
            <color indexed="81"/>
            <rFont val="Tahoma"/>
            <family val="2"/>
          </rPr>
          <t xml:space="preserve">
(Overhead/Projectsupplement/BenchFee/EBIT+PhDtuitionFee to dept.-Dept. co-financing salary-Dept. co-financing others-Depreciation covered by dept….)/Applied amount to the dept. incl. overhead</t>
        </r>
      </text>
    </comment>
    <comment ref="D33" authorId="2" shapeId="0" xr:uid="{7DB51578-2AE9-4387-A9D5-E7497E931887}">
      <text>
        <r>
          <rPr>
            <sz val="9"/>
            <color indexed="81"/>
            <rFont val="Tahoma"/>
            <family val="2"/>
          </rPr>
          <t xml:space="preserve">
(Overhead/Projectsupplement/+BenchFee/EBIT+Cost Coverage salary+Cost Coverage others+PhDtuitionFee to dept.-Dept. co-financing salary-Dept. co-financing others-Depreciation covered by dept...)/Applied amount to the dept. incl. overhead</t>
        </r>
      </text>
    </comment>
    <comment ref="D34" authorId="2" shapeId="0" xr:uid="{2CD06D43-4BDD-49B5-9DA4-7C36F0743096}">
      <text>
        <r>
          <rPr>
            <sz val="9"/>
            <color indexed="81"/>
            <rFont val="Tahoma"/>
            <family val="2"/>
          </rPr>
          <t xml:space="preserve">
(Overhead/Projectsupplement/BenchFee/EBIT+Cost Coverage Salary+Cost Coverage Others+PhDtuitionFee to department-Dept. co-financing others-Depreciation covered by dept...)/Applied amount to the dept. incl. overhead</t>
        </r>
      </text>
    </comment>
    <comment ref="G39" authorId="3" shapeId="0" xr:uid="{934E3FE5-D5A1-4F2B-91BD-E4F8CDD22C26}">
      <text>
        <r>
          <rPr>
            <b/>
            <sz val="9"/>
            <color indexed="81"/>
            <rFont val="Tahoma"/>
            <family val="2"/>
          </rPr>
          <t>Approval is only required if more than 30 months are applied for. The maximum is 34 months of funding pr. PhD student.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Allan Bøge Ochwat</author>
    <author>Betina Sehested Gade</author>
    <author>Helle S. Simonsen</author>
    <author>Lasse Bjerg</author>
  </authors>
  <commentList>
    <comment ref="B3" authorId="0" shapeId="0" xr:uid="{09DBD57E-7457-4EA4-A9F7-871A32B49F8E}">
      <text>
        <r>
          <rPr>
            <sz val="9"/>
            <color indexed="81"/>
            <rFont val="Tahoma"/>
            <family val="2"/>
          </rPr>
          <t>Please fill in the yellow cells as this information is used in ReAp.</t>
        </r>
      </text>
    </comment>
    <comment ref="B7" authorId="0" shapeId="0" xr:uid="{D9D84470-B629-41D5-80B2-6A25135C084F}">
      <text>
        <r>
          <rPr>
            <sz val="9"/>
            <color indexed="81"/>
            <rFont val="Tahoma"/>
            <family val="2"/>
          </rPr>
          <t>Add only a new grant source if you cannot find it in the list.
It is not necessary to download a new version</t>
        </r>
      </text>
    </comment>
    <comment ref="B8" authorId="0" shapeId="0" xr:uid="{AD9F2090-9196-4DFE-B9D3-B4DB844236DD}">
      <text>
        <r>
          <rPr>
            <sz val="9"/>
            <color indexed="81"/>
            <rFont val="Tahoma"/>
            <family val="2"/>
          </rPr>
          <t>Add only a new instrument if you cannot find it in the list.</t>
        </r>
      </text>
    </comment>
    <comment ref="D9" authorId="1" shapeId="0" xr:uid="{AF27293A-5F92-44B2-8DFB-6A4BC7DA1F78}">
      <text>
        <r>
          <rPr>
            <sz val="9"/>
            <color indexed="81"/>
            <rFont val="Tahoma"/>
            <family val="2"/>
          </rPr>
          <t>Is there involvement in the project from a country (as of 01.01.2025: Russia, China, Iran, Saudi Arabia, Turkey, Armenia, Azerbaijan, Georgia, Kazakhstan, USA...) that constitutes a threat (e.g., espionage) to Denmark according to the guidelines from URIS (Committee on Guidelines for International Research and Innovation Cooperation)?   : https://pet.dk/en/-/media/mediefiler/pet/dokumenter/analyser-og-vurderinger/vurdering-af-spionagetruslen-mod-danmark/vurdering-af-spionagetruslen-mod-danmark-2023_uk_web.pdf</t>
        </r>
      </text>
    </comment>
    <comment ref="D20" authorId="0" shapeId="0" xr:uid="{10872960-C13A-4DB7-8280-092E652225D8}">
      <text>
        <r>
          <rPr>
            <sz val="9"/>
            <color indexed="81"/>
            <rFont val="Tahoma"/>
            <family val="2"/>
          </rPr>
          <t>Insert only numbers</t>
        </r>
      </text>
    </comment>
    <comment ref="G26" authorId="2" shapeId="0" xr:uid="{AB81B1E3-3283-4E9F-B076-5C87717A2775}">
      <text>
        <r>
          <rPr>
            <sz val="9"/>
            <color indexed="81"/>
            <rFont val="Tahoma"/>
            <family val="2"/>
          </rPr>
          <t>(Dept. co-financing salary+Dept. co-financing others)/Total budget (incl. overhead)</t>
        </r>
      </text>
    </comment>
    <comment ref="G30" authorId="2" shapeId="0" xr:uid="{5F8FC036-80F4-442A-B09F-4FB2EB7F4FE8}">
      <text>
        <r>
          <rPr>
            <sz val="9"/>
            <color indexed="81"/>
            <rFont val="Tahoma"/>
            <family val="2"/>
          </rPr>
          <t xml:space="preserve">
Scrap value</t>
        </r>
      </text>
    </comment>
    <comment ref="D32" authorId="2" shapeId="0" xr:uid="{74E3E315-EB5C-4785-BD9F-6017D85C2AD6}">
      <text>
        <r>
          <rPr>
            <sz val="9"/>
            <color indexed="81"/>
            <rFont val="Tahoma"/>
            <family val="2"/>
          </rPr>
          <t>(Overhead/Projectsupplement/BenchFee/EBIT+Cost Covarage salary+Cost Coverage others-Dept. co-financing salary-Dept. co-financing others)/(Applied amount to the dept. incl. Overhead-Overhead/Projectsupplement/BenchFee/EBIT-Cost Covarage salary-Cost Coverage others+Department co-financing salary+Department co-financing others)</t>
        </r>
      </text>
    </comment>
    <comment ref="G43" authorId="3" shapeId="0" xr:uid="{A2D7C85E-324E-41C8-AE63-02967FC68DC7}">
      <text>
        <r>
          <rPr>
            <b/>
            <sz val="9"/>
            <color indexed="81"/>
            <rFont val="Tahoma"/>
            <family val="2"/>
          </rPr>
          <t>Approval is only required if more than 30 months are applied for. The maximum is 34 months of funding pr. PhD student.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Helle S. Simonsen</author>
    <author>Betina Sehested Gade</author>
  </authors>
  <commentList>
    <comment ref="O4" authorId="0" shapeId="0" xr:uid="{39E5E542-900A-4022-9654-3DF34B693BEA}">
      <text>
        <r>
          <rPr>
            <sz val="9"/>
            <color indexed="81"/>
            <rFont val="Tahoma"/>
            <family val="2"/>
          </rPr>
          <t>(Overhead/Projectsupplement/BenchFee/EBIT+Covarage salary+operations--Dept. co-financing salary+operations)/(Applied amount to the dept. incl. Overhead-Overhead/Projectsupplement/BenchFee/EBIT-Covarage salary+operations+Dept. co-financing salary+operations)</t>
        </r>
      </text>
    </comment>
    <comment ref="C5" authorId="0" shapeId="0" xr:uid="{977E8036-8922-4D43-BD00-2CC4845FD436}">
      <text>
        <r>
          <rPr>
            <sz val="9"/>
            <color indexed="81"/>
            <rFont val="Tahoma"/>
            <family val="2"/>
          </rPr>
          <t>Select a grant source from the list and the overhead and hours will be filled in automatically. If you enter a funder that is not on the list, you will need to fill in the overhead and hours correctly yourself</t>
        </r>
      </text>
    </comment>
    <comment ref="O5" authorId="1" shapeId="0" xr:uid="{4548F6FB-C553-4F1D-863B-E002A12113E8}">
      <text>
        <r>
          <rPr>
            <sz val="9"/>
            <color indexed="81"/>
            <rFont val="Tahoma"/>
            <family val="2"/>
          </rPr>
          <t>Co-financing from department(excl overhead)/Total budget(excel overhead)</t>
        </r>
      </text>
    </comment>
    <comment ref="C6" authorId="0" shapeId="0" xr:uid="{FD5B171A-89B4-48F8-AE07-E7B2CE5444FE}">
      <text>
        <r>
          <rPr>
            <sz val="9"/>
            <color indexed="81"/>
            <rFont val="Tahoma"/>
            <family val="2"/>
          </rPr>
          <t>This field is automatically filled based on "Grant Source". If you do not select a grant source from the list, you must ensure that the field is filled in correctly. Note - if the field is overwritten, the automatic filling function will disappear.</t>
        </r>
      </text>
    </comment>
    <comment ref="G6" authorId="0" shapeId="0" xr:uid="{12EAEC61-D4E6-4CD2-BEEA-F537CFAD9C36}">
      <text>
        <r>
          <rPr>
            <sz val="9"/>
            <color indexed="81"/>
            <rFont val="Tahoma"/>
            <family val="2"/>
          </rPr>
          <t xml:space="preserve">Indicates the costs on which the overhead calculation is based
</t>
        </r>
      </text>
    </comment>
    <comment ref="O6" authorId="1" shapeId="0" xr:uid="{A36168B5-6EFE-434B-B73C-5F424C0B2E49}">
      <text>
        <r>
          <rPr>
            <sz val="9"/>
            <color indexed="81"/>
            <rFont val="Tahoma"/>
            <family val="2"/>
          </rPr>
          <t>Co-financing total/Total costs</t>
        </r>
        <r>
          <rPr>
            <sz val="9"/>
            <color indexed="81"/>
            <rFont val="Tahoma"/>
            <family val="2"/>
          </rPr>
          <t xml:space="preserve">
</t>
        </r>
      </text>
    </comment>
    <comment ref="C7" authorId="0" shapeId="0" xr:uid="{BF3785E6-D41D-42ED-9D5F-58428967A048}">
      <text>
        <r>
          <rPr>
            <sz val="9"/>
            <color indexed="81"/>
            <rFont val="Tahoma"/>
            <family val="2"/>
          </rPr>
          <t>This field is automatically filled based on "Grant Source". If you do not select a grant source from the list, you must ensure that the field is filled in correctly. Note - if the field is overwritten, the automatic filling function will disappear</t>
        </r>
      </text>
    </comment>
    <comment ref="G7" authorId="0" shapeId="0" xr:uid="{83136386-5E73-4209-82BF-5EBC7ABD3F61}">
      <text>
        <r>
          <rPr>
            <sz val="9"/>
            <color indexed="81"/>
            <rFont val="Tahoma"/>
            <family val="2"/>
          </rPr>
          <t>Coverage of indirect costs for technical assistance is calculated automatically. Please specify the basis for the calculation.</t>
        </r>
      </text>
    </comment>
    <comment ref="C8" authorId="0" shapeId="0" xr:uid="{3CE8841B-2BBD-4C57-836B-B3C4347D0686}">
      <text>
        <r>
          <rPr>
            <sz val="9"/>
            <color indexed="81"/>
            <rFont val="Tahoma"/>
            <family val="2"/>
          </rPr>
          <t>If the grant source is Novo Nordisk, Lundbeck, Villum, Velux, Carlsberg, Leo, the field will be filled with project supplement. You can select bench fee from the list if the call indicates that a bench fee should be applied for.</t>
        </r>
      </text>
    </comment>
    <comment ref="H8" authorId="0" shapeId="0" xr:uid="{5F6D619A-AF36-4ECA-9F89-FCD832EA14B0}">
      <text>
        <r>
          <rPr>
            <sz val="9"/>
            <color indexed="81"/>
            <rFont val="Tahoma"/>
            <family val="2"/>
          </rPr>
          <t xml:space="preserve">Choose </t>
        </r>
        <r>
          <rPr>
            <b/>
            <sz val="9"/>
            <color indexed="81"/>
            <rFont val="Tahoma"/>
            <family val="2"/>
          </rPr>
          <t xml:space="preserve">YES </t>
        </r>
        <r>
          <rPr>
            <sz val="9"/>
            <color indexed="81"/>
            <rFont val="Tahoma"/>
            <family val="2"/>
          </rPr>
          <t>if the application contains GDPR data</t>
        </r>
      </text>
    </comment>
    <comment ref="C13" authorId="0" shapeId="0" xr:uid="{81E28BA8-D021-40D3-831C-CF563C87B64F}">
      <text>
        <r>
          <rPr>
            <sz val="9"/>
            <color indexed="81"/>
            <rFont val="Tahoma"/>
            <family val="2"/>
          </rPr>
          <t>AU’s minimum profit margin - EBIT is 10%. If possible, a higher EBIT should be aimed for. If a lower EBIT is used, documentation must be provided. In monopoly-like situations, EBIT should be set to zero.</t>
        </r>
      </text>
    </comment>
    <comment ref="C19" authorId="1" shapeId="0" xr:uid="{721FAB29-68FD-46C4-8C8D-46B6317999B6}">
      <text>
        <r>
          <rPr>
            <sz val="9"/>
            <color indexed="81"/>
            <rFont val="Tahoma"/>
            <family val="2"/>
          </rPr>
          <t xml:space="preserve">In case there is a need for mere than the existing 6 years, please contact your controller, which is able to unlock more years
</t>
        </r>
      </text>
    </comment>
    <comment ref="N19" authorId="1" shapeId="0" xr:uid="{E1148321-7C02-4746-9B5C-6EEC255C6923}">
      <text>
        <r>
          <rPr>
            <sz val="9"/>
            <color indexed="81"/>
            <rFont val="Tahoma"/>
            <family val="2"/>
          </rPr>
          <t xml:space="preserve">Please type name
</t>
        </r>
      </text>
    </comment>
    <comment ref="O19" authorId="0" shapeId="0" xr:uid="{BD7B432F-FCD7-48E2-8911-9483BC4EAD30}">
      <text>
        <r>
          <rPr>
            <sz val="9"/>
            <color indexed="81"/>
            <rFont val="Tahoma"/>
            <family val="2"/>
          </rPr>
          <t xml:space="preserve">Choose type of budget:
</t>
        </r>
        <r>
          <rPr>
            <b/>
            <sz val="9"/>
            <color indexed="81"/>
            <rFont val="Tahoma"/>
            <family val="2"/>
          </rPr>
          <t>External funding:</t>
        </r>
        <r>
          <rPr>
            <sz val="9"/>
            <color indexed="81"/>
            <rFont val="Tahoma"/>
            <family val="2"/>
          </rPr>
          <t xml:space="preserve"> Costs that are sought to be covered by the grant source.
</t>
        </r>
        <r>
          <rPr>
            <b/>
            <sz val="9"/>
            <color indexed="81"/>
            <rFont val="Tahoma"/>
            <family val="2"/>
          </rPr>
          <t>Coverage:</t>
        </r>
        <r>
          <rPr>
            <sz val="9"/>
            <color indexed="81"/>
            <rFont val="Tahoma"/>
            <family val="2"/>
          </rPr>
          <t xml:space="preserve"> Costs that are part of the department’s existing expenses and are sought to be covered by the grant source. 
</t>
        </r>
        <r>
          <rPr>
            <b/>
            <sz val="9"/>
            <color indexed="81"/>
            <rFont val="Tahoma"/>
            <family val="2"/>
          </rPr>
          <t>Co-financing covered by department:</t>
        </r>
        <r>
          <rPr>
            <sz val="9"/>
            <color indexed="81"/>
            <rFont val="Tahoma"/>
            <family val="2"/>
          </rPr>
          <t xml:space="preserve"> Co-financing that is sought to be covered by the department. This can include both existing and new expenses.
</t>
        </r>
        <r>
          <rPr>
            <b/>
            <sz val="9"/>
            <color indexed="81"/>
            <rFont val="Tahoma"/>
            <family val="2"/>
          </rPr>
          <t>Co-financing covered by external funding:</t>
        </r>
        <r>
          <rPr>
            <sz val="9"/>
            <color indexed="81"/>
            <rFont val="Tahoma"/>
            <family val="2"/>
          </rPr>
          <t xml:space="preserve"> Co-financing that is already covered by other external grants.</t>
        </r>
      </text>
    </comment>
    <comment ref="A53" authorId="0" shapeId="0" xr:uid="{89A208B3-1490-4AB4-A367-2D0CADCBDCF1}">
      <text>
        <r>
          <rPr>
            <sz val="9"/>
            <color indexed="81"/>
            <rFont val="Tahoma"/>
            <family val="2"/>
          </rPr>
          <t xml:space="preserve">Calculated based on VIP months except PhD and on TAP/Other master degree months - labeled external funding or Coverage. </t>
        </r>
      </text>
    </comment>
    <comment ref="A54" authorId="0" shapeId="0" xr:uid="{A9C0C12B-CCD0-47E0-B1FA-B8DF195BA606}">
      <text>
        <r>
          <rPr>
            <sz val="9"/>
            <color indexed="81"/>
            <rFont val="Tahoma"/>
            <family val="2"/>
          </rPr>
          <t xml:space="preserve">Calculated based on VIP months except PhD and on TAP/Other master degree months - labeled Co-financing covered by department and Co-financing covered by external funding. </t>
        </r>
      </text>
    </comment>
    <comment ref="A55" authorId="0" shapeId="0" xr:uid="{377AB878-534B-4A8D-B651-CF40CED45DF0}">
      <text>
        <r>
          <rPr>
            <sz val="9"/>
            <color indexed="81"/>
            <rFont val="Tahoma"/>
            <family val="2"/>
          </rPr>
          <t xml:space="preserve">Calculated based on Tenure Track and Research Assistant and TAP(except for student, data/It,other TAP) labeled extern funding and coverage
</t>
        </r>
      </text>
    </comment>
    <comment ref="A73" authorId="0" shapeId="0" xr:uid="{FE85B367-4631-447A-9298-958B5DEDC359}">
      <text>
        <r>
          <rPr>
            <sz val="9"/>
            <color indexed="81"/>
            <rFont val="Tahoma"/>
            <family val="2"/>
          </rPr>
          <t xml:space="preserve">Calculated based on TAP Laboratory technican - labeled External funding and Coverage
</t>
        </r>
      </text>
    </comment>
    <comment ref="A74" authorId="0" shapeId="0" xr:uid="{2E00DD45-8310-4636-9EE8-E7334D941A6B}">
      <text>
        <r>
          <rPr>
            <sz val="9"/>
            <color indexed="81"/>
            <rFont val="Tahoma"/>
            <family val="2"/>
          </rPr>
          <t xml:space="preserve">Calculated based on TAP Laboratory technican - labeled Cofinancing by department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Helle S. Simonsen</author>
    <author>Betina Sehested Gade</author>
  </authors>
  <commentList>
    <comment ref="O4" authorId="0" shapeId="0" xr:uid="{BDD6D24F-C3D3-4120-9EFA-52D8D753162B}">
      <text>
        <r>
          <rPr>
            <sz val="9"/>
            <color indexed="81"/>
            <rFont val="Tahoma"/>
            <family val="2"/>
          </rPr>
          <t>(Overhead/Projectsupplement/BenchFee/EBIT+Covarage salary+operations--Dept. co-financing salary+operations)/(Applied amount to the dept. incl. Overhead-Overhead/Projectsupplement/BenchFee/EBIT-Covarage salary+operations+Dept. co-financing salary+operations)</t>
        </r>
      </text>
    </comment>
    <comment ref="C5" authorId="0" shapeId="0" xr:uid="{A58AAEEE-3261-4950-89BF-75E32C427AD8}">
      <text>
        <r>
          <rPr>
            <sz val="9"/>
            <color indexed="81"/>
            <rFont val="Tahoma"/>
            <family val="2"/>
          </rPr>
          <t>Select a grant source from the list and the overhead and hours will be filled in automatically. If you enter a funder that is not on the list, you will need to fill in the overhead and hours correctly yourself</t>
        </r>
      </text>
    </comment>
    <comment ref="O5" authorId="1" shapeId="0" xr:uid="{B8829007-343A-4891-AE8F-831863AE1076}">
      <text>
        <r>
          <rPr>
            <sz val="9"/>
            <color indexed="81"/>
            <rFont val="Tahoma"/>
            <family val="2"/>
          </rPr>
          <t xml:space="preserve">Co-financing from department(excl overhead)/Total budget(excel overhead)
</t>
        </r>
      </text>
    </comment>
    <comment ref="C6" authorId="0" shapeId="0" xr:uid="{81595647-9938-4C35-989C-030BBB92B020}">
      <text>
        <r>
          <rPr>
            <sz val="9"/>
            <color indexed="81"/>
            <rFont val="Tahoma"/>
            <family val="2"/>
          </rPr>
          <t xml:space="preserve">
This field is automatically filled based on "Grant Source". If you do not select a grant source from the list, you must ensure that the field is filled in correctly. Note - if the field is overwritten, the automatic filling function will disappear.</t>
        </r>
      </text>
    </comment>
    <comment ref="G6" authorId="0" shapeId="0" xr:uid="{C35C4331-B847-4FB2-B05B-C922EDA2669A}">
      <text>
        <r>
          <rPr>
            <sz val="9"/>
            <color indexed="81"/>
            <rFont val="Tahoma"/>
            <family val="2"/>
          </rPr>
          <t>Indicates the costs on which the overhead calculation is based</t>
        </r>
      </text>
    </comment>
    <comment ref="O6" authorId="1" shapeId="0" xr:uid="{F58DF2BC-5844-49D5-A7CC-42C8B656FBFC}">
      <text>
        <r>
          <rPr>
            <sz val="9"/>
            <color indexed="81"/>
            <rFont val="Tahoma"/>
            <family val="2"/>
          </rPr>
          <t>Co-financing total/Total costs</t>
        </r>
        <r>
          <rPr>
            <sz val="9"/>
            <color indexed="81"/>
            <rFont val="Tahoma"/>
            <family val="2"/>
          </rPr>
          <t xml:space="preserve">
</t>
        </r>
      </text>
    </comment>
    <comment ref="C7" authorId="0" shapeId="0" xr:uid="{609D2B2F-6AE7-4FC8-BF9E-AEFD93EE6340}">
      <text>
        <r>
          <rPr>
            <sz val="9"/>
            <color indexed="81"/>
            <rFont val="Tahoma"/>
            <family val="2"/>
          </rPr>
          <t>This field is automatically filled based on "Grant Source". If you do not select a grant source from the list, you must ensure that the field is filled in correctly. Note - if the field is overwritten, the automatic filling function will disappear</t>
        </r>
      </text>
    </comment>
    <comment ref="G7" authorId="0" shapeId="0" xr:uid="{4EA412F0-3B94-42A0-B2F9-57023859C2DD}">
      <text>
        <r>
          <rPr>
            <sz val="9"/>
            <color indexed="81"/>
            <rFont val="Tahoma"/>
            <family val="2"/>
          </rPr>
          <t>Coverage of indirect costs for technical assistance is calculated automatically. Please specify the basis for the calculation.</t>
        </r>
      </text>
    </comment>
    <comment ref="C8" authorId="0" shapeId="0" xr:uid="{2D842284-D7CC-4CDC-9927-49BBEE24F76E}">
      <text>
        <r>
          <rPr>
            <sz val="9"/>
            <color indexed="81"/>
            <rFont val="Tahoma"/>
            <family val="2"/>
          </rPr>
          <t>If the grant source is Novo Nordisk, Lundbeck, Villum, Velux, Carlsberg, Leo, the field will be filled with project supplement. You can select bench fee from the list if the call indicates that a bench fee should be applied for.</t>
        </r>
      </text>
    </comment>
    <comment ref="H8" authorId="0" shapeId="0" xr:uid="{DFCD7179-765B-4F3C-A578-7DB885392EF8}">
      <text>
        <r>
          <rPr>
            <sz val="9"/>
            <color indexed="81"/>
            <rFont val="Tahoma"/>
            <family val="2"/>
          </rPr>
          <t xml:space="preserve">Choose </t>
        </r>
        <r>
          <rPr>
            <b/>
            <sz val="9"/>
            <color indexed="81"/>
            <rFont val="Tahoma"/>
            <family val="2"/>
          </rPr>
          <t>YES</t>
        </r>
        <r>
          <rPr>
            <sz val="9"/>
            <color indexed="81"/>
            <rFont val="Tahoma"/>
            <family val="2"/>
          </rPr>
          <t xml:space="preserve"> if the application contains GDPR data</t>
        </r>
      </text>
    </comment>
    <comment ref="C13" authorId="0" shapeId="0" xr:uid="{9753C95C-A5E7-42C5-AC2E-8ED55A3E5234}">
      <text>
        <r>
          <rPr>
            <sz val="9"/>
            <color indexed="81"/>
            <rFont val="Tahoma"/>
            <family val="2"/>
          </rPr>
          <t>AU’s minimum profit margin - EBIT is 10%. If possible, a higher EBIT should be aimed for. If a lower EBIT is used, documentation must be provided. In monopoly-like situations, EBIT should be set to zero.</t>
        </r>
      </text>
    </comment>
    <comment ref="C19" authorId="1" shapeId="0" xr:uid="{809D9DE5-07BE-4D27-AAB1-BC740412147A}">
      <text>
        <r>
          <rPr>
            <sz val="9"/>
            <color indexed="81"/>
            <rFont val="Tahoma"/>
            <family val="2"/>
          </rPr>
          <t xml:space="preserve">In case there is a need for mere than the existing 6 years, please contact your controller, which is able to unlock more years
</t>
        </r>
      </text>
    </comment>
    <comment ref="N19" authorId="1" shapeId="0" xr:uid="{610E7A21-C0E4-4B59-9892-199B409043F0}">
      <text>
        <r>
          <rPr>
            <sz val="9"/>
            <color indexed="81"/>
            <rFont val="Tahoma"/>
            <family val="2"/>
          </rPr>
          <t xml:space="preserve">Please type name
</t>
        </r>
      </text>
    </comment>
    <comment ref="O19" authorId="0" shapeId="0" xr:uid="{B5AD9F12-2E3A-4304-B081-49A294298153}">
      <text>
        <r>
          <rPr>
            <sz val="9"/>
            <color indexed="81"/>
            <rFont val="Tahoma"/>
            <family val="2"/>
          </rPr>
          <t xml:space="preserve">Choose type of budget:
</t>
        </r>
        <r>
          <rPr>
            <b/>
            <sz val="9"/>
            <color indexed="81"/>
            <rFont val="Tahoma"/>
            <family val="2"/>
          </rPr>
          <t>External funding:</t>
        </r>
        <r>
          <rPr>
            <sz val="9"/>
            <color indexed="81"/>
            <rFont val="Tahoma"/>
            <family val="2"/>
          </rPr>
          <t xml:space="preserve"> Costs that are sought to be covered by the grant source.
</t>
        </r>
        <r>
          <rPr>
            <b/>
            <sz val="9"/>
            <color indexed="81"/>
            <rFont val="Tahoma"/>
            <family val="2"/>
          </rPr>
          <t>Coverage:</t>
        </r>
        <r>
          <rPr>
            <sz val="9"/>
            <color indexed="81"/>
            <rFont val="Tahoma"/>
            <family val="2"/>
          </rPr>
          <t xml:space="preserve"> Costs that are part of the department’s existing expenses and are sought to be covered by the grant source. 
</t>
        </r>
        <r>
          <rPr>
            <b/>
            <sz val="9"/>
            <color indexed="81"/>
            <rFont val="Tahoma"/>
            <family val="2"/>
          </rPr>
          <t xml:space="preserve">Co-financing covered by department: </t>
        </r>
        <r>
          <rPr>
            <sz val="9"/>
            <color indexed="81"/>
            <rFont val="Tahoma"/>
            <family val="2"/>
          </rPr>
          <t xml:space="preserve">Co-financing that is sought to be covered by the department. This can include both existing and new expenses.
</t>
        </r>
        <r>
          <rPr>
            <b/>
            <sz val="9"/>
            <color indexed="81"/>
            <rFont val="Tahoma"/>
            <family val="2"/>
          </rPr>
          <t>Co-financing covered by external funding</t>
        </r>
        <r>
          <rPr>
            <sz val="9"/>
            <color indexed="81"/>
            <rFont val="Tahoma"/>
            <family val="2"/>
          </rPr>
          <t>: Co-financing that is already covered by other external grants.</t>
        </r>
      </text>
    </comment>
    <comment ref="A53" authorId="0" shapeId="0" xr:uid="{0BA6E1E8-3845-4C68-BE06-B691366A6C7B}">
      <text>
        <r>
          <rPr>
            <sz val="9"/>
            <color indexed="81"/>
            <rFont val="Tahoma"/>
            <family val="2"/>
          </rPr>
          <t xml:space="preserve">Calculated based on VIP months except PhD and on TAP/Other master degree months - labeled external funding or Coverage. </t>
        </r>
      </text>
    </comment>
    <comment ref="A54" authorId="0" shapeId="0" xr:uid="{BF1BFD50-7C15-4C54-8A67-58C9C6255446}">
      <text>
        <r>
          <rPr>
            <sz val="9"/>
            <color indexed="81"/>
            <rFont val="Tahoma"/>
            <family val="2"/>
          </rPr>
          <t xml:space="preserve">Calculated based on VIP months except PhD and on TAP/Other master degree months - labeled Co-financing covered by department and Co-financing covered by external funding. </t>
        </r>
      </text>
    </comment>
    <comment ref="A55" authorId="1" shapeId="0" xr:uid="{3CABF49E-4E91-4DA0-8BCA-F49DC266B763}">
      <text>
        <r>
          <rPr>
            <sz val="9"/>
            <color indexed="81"/>
            <rFont val="Tahoma"/>
            <family val="2"/>
          </rPr>
          <t xml:space="preserve">Calculated based on Tenure Track and Research Assistant and TAP(except for student, data/It,other TAP) labeled extern funding and coverage
</t>
        </r>
      </text>
    </comment>
    <comment ref="A73" authorId="0" shapeId="0" xr:uid="{15F83923-C09C-4FF9-A4A9-2E843DE10FC8}">
      <text>
        <r>
          <rPr>
            <sz val="9"/>
            <color indexed="81"/>
            <rFont val="Tahoma"/>
            <family val="2"/>
          </rPr>
          <t>Calculated based on TAP Laboratory technican - labeled External funding and Coverage</t>
        </r>
      </text>
    </comment>
    <comment ref="A74" authorId="0" shapeId="0" xr:uid="{574AE263-1424-4ED2-AAD7-744FA5645E20}">
      <text>
        <r>
          <rPr>
            <sz val="9"/>
            <color indexed="81"/>
            <rFont val="Tahoma"/>
            <family val="2"/>
          </rPr>
          <t xml:space="preserve">Calculated based on TAP Laboratory technican - labeled Cofinancing by department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Helle S. Simonsen</author>
    <author>Betina Sehested Gade</author>
  </authors>
  <commentList>
    <comment ref="O4" authorId="0" shapeId="0" xr:uid="{053F09E7-24A7-4B07-B054-7BB1AE0803F5}">
      <text>
        <r>
          <rPr>
            <sz val="9"/>
            <color indexed="81"/>
            <rFont val="Tahoma"/>
            <family val="2"/>
          </rPr>
          <t>(Overhead/Projectsupplement/BenchFee/EBIT+Covarage salary+operations--Dept. co-financing salary+operations)/(Applied amount to the dept. incl. Overhead-Overhead/Projectsupplement/BenchFee/EBIT-Covarage salary+operations+Dept. co-financing salary+operations)</t>
        </r>
      </text>
    </comment>
    <comment ref="C5" authorId="0" shapeId="0" xr:uid="{8AE00FA7-8DB8-4367-A396-45C40A9B58AF}">
      <text>
        <r>
          <rPr>
            <sz val="9"/>
            <color indexed="81"/>
            <rFont val="Tahoma"/>
            <family val="2"/>
          </rPr>
          <t>Select a grant source from the list and the overhead and hours will be filled in automatically. If you enter a funder that is not on the list, you will need to fill in the overhead and hours correctly yourself</t>
        </r>
      </text>
    </comment>
    <comment ref="O5" authorId="1" shapeId="0" xr:uid="{F8E6955C-7AB4-48F1-9CC5-F79E45A4849B}">
      <text>
        <r>
          <rPr>
            <b/>
            <sz val="9"/>
            <color indexed="81"/>
            <rFont val="Tahoma"/>
            <family val="2"/>
          </rPr>
          <t>Co-financing from department(excl overhead)/Total budget(excel overhead)</t>
        </r>
        <r>
          <rPr>
            <sz val="9"/>
            <color indexed="81"/>
            <rFont val="Tahoma"/>
            <family val="2"/>
          </rPr>
          <t xml:space="preserve">
</t>
        </r>
      </text>
    </comment>
    <comment ref="C6" authorId="0" shapeId="0" xr:uid="{DCA86FB8-488B-469D-A448-D93F053678E7}">
      <text>
        <r>
          <rPr>
            <sz val="9"/>
            <color indexed="81"/>
            <rFont val="Tahoma"/>
            <family val="2"/>
          </rPr>
          <t>This field is automatically filled based on "Grant Source". If you do not select a grant source from the list, you must ensure that the field is filled in correctly. Note - if the field is overwritten, the automatic filling function will disappear.</t>
        </r>
      </text>
    </comment>
    <comment ref="G6" authorId="0" shapeId="0" xr:uid="{74A7D4A0-BED7-49BA-BC18-5C2BBA5DEFFE}">
      <text>
        <r>
          <rPr>
            <sz val="9"/>
            <color indexed="81"/>
            <rFont val="Tahoma"/>
            <family val="2"/>
          </rPr>
          <t>Indicates the costs on which the overhead calculation is based</t>
        </r>
      </text>
    </comment>
    <comment ref="O6" authorId="1" shapeId="0" xr:uid="{53B1CB29-8F79-4642-9E0C-E3EEA53B7B6E}">
      <text>
        <r>
          <rPr>
            <sz val="9"/>
            <color indexed="81"/>
            <rFont val="Tahoma"/>
            <family val="2"/>
          </rPr>
          <t>Co-financing total/Total costs</t>
        </r>
        <r>
          <rPr>
            <sz val="9"/>
            <color indexed="81"/>
            <rFont val="Tahoma"/>
            <family val="2"/>
          </rPr>
          <t xml:space="preserve">
</t>
        </r>
      </text>
    </comment>
    <comment ref="C7" authorId="0" shapeId="0" xr:uid="{F49AEC4A-6A0E-4E6D-8DF6-117D84068227}">
      <text>
        <r>
          <rPr>
            <sz val="9"/>
            <color indexed="81"/>
            <rFont val="Tahoma"/>
            <family val="2"/>
          </rPr>
          <t>This field is automatically filled based on "Grant Source". If you do not select a grant source from the list, you must ensure that the field is filled in correctly. Note - if the field is overwritten, the automatic filling function will disappear</t>
        </r>
      </text>
    </comment>
    <comment ref="G7" authorId="0" shapeId="0" xr:uid="{B14CA991-2D04-4508-BE62-A84CE59BC52B}">
      <text>
        <r>
          <rPr>
            <sz val="9"/>
            <color indexed="81"/>
            <rFont val="Tahoma"/>
            <family val="2"/>
          </rPr>
          <t>Coverage of indirect costs for technical assistance is calculated automatically. Please specify the basis for the calculation.</t>
        </r>
      </text>
    </comment>
    <comment ref="C8" authorId="0" shapeId="0" xr:uid="{53C1954B-BD73-4744-BD90-E7B64BF43E2B}">
      <text>
        <r>
          <rPr>
            <sz val="9"/>
            <color indexed="81"/>
            <rFont val="Tahoma"/>
            <family val="2"/>
          </rPr>
          <t>If the grant source is Novo Nordisk, Lundbeck, Villum, Velux, Carlsberg, Leo, the field will be filled with project supplement. You can select bench fee from the list if the call indicates that a bench fee should be applied for.</t>
        </r>
      </text>
    </comment>
    <comment ref="H8" authorId="0" shapeId="0" xr:uid="{61E1878A-67DB-4E4A-898D-54055BA1A5B9}">
      <text>
        <r>
          <rPr>
            <sz val="9"/>
            <color indexed="81"/>
            <rFont val="Tahoma"/>
            <family val="2"/>
          </rPr>
          <t xml:space="preserve">Choose </t>
        </r>
        <r>
          <rPr>
            <b/>
            <sz val="9"/>
            <color indexed="81"/>
            <rFont val="Tahoma"/>
            <family val="2"/>
          </rPr>
          <t>YES</t>
        </r>
        <r>
          <rPr>
            <sz val="9"/>
            <color indexed="81"/>
            <rFont val="Tahoma"/>
            <family val="2"/>
          </rPr>
          <t xml:space="preserve"> if the application contains GDPR data</t>
        </r>
      </text>
    </comment>
    <comment ref="C13" authorId="0" shapeId="0" xr:uid="{51F75998-7DA0-4E9C-BF74-4BC84718FFDC}">
      <text>
        <r>
          <rPr>
            <sz val="9"/>
            <color indexed="81"/>
            <rFont val="Tahoma"/>
            <family val="2"/>
          </rPr>
          <t>AU’s minimum profit margin - EBIT is 10%. If possible, a higher EBIT should be aimed for. If a lower EBIT is used, documentation must be provided. In monopoly-like situations, EBIT should be set to zero.</t>
        </r>
      </text>
    </comment>
    <comment ref="C19" authorId="1" shapeId="0" xr:uid="{CA865FE9-56B2-4045-BC03-3511E334234B}">
      <text>
        <r>
          <rPr>
            <sz val="9"/>
            <color indexed="81"/>
            <rFont val="Tahoma"/>
            <family val="2"/>
          </rPr>
          <t xml:space="preserve">In case there is a need for mere than the existing 6 years, please contact your controller, which is able to unlock more years
</t>
        </r>
      </text>
    </comment>
    <comment ref="N19" authorId="1" shapeId="0" xr:uid="{F1AB8672-051C-4054-A229-16E7AB15BBA6}">
      <text>
        <r>
          <rPr>
            <sz val="9"/>
            <color indexed="81"/>
            <rFont val="Tahoma"/>
            <family val="2"/>
          </rPr>
          <t xml:space="preserve">Please type name
</t>
        </r>
      </text>
    </comment>
    <comment ref="O19" authorId="0" shapeId="0" xr:uid="{E01AC9A7-0E69-47D0-BC0F-D2C22478478C}">
      <text>
        <r>
          <rPr>
            <sz val="9"/>
            <color indexed="81"/>
            <rFont val="Tahoma"/>
            <family val="2"/>
          </rPr>
          <t xml:space="preserve">Choose type of budget:
</t>
        </r>
        <r>
          <rPr>
            <b/>
            <sz val="9"/>
            <color indexed="81"/>
            <rFont val="Tahoma"/>
            <family val="2"/>
          </rPr>
          <t xml:space="preserve">External funding: </t>
        </r>
        <r>
          <rPr>
            <sz val="9"/>
            <color indexed="81"/>
            <rFont val="Tahoma"/>
            <family val="2"/>
          </rPr>
          <t xml:space="preserve">Costs that are sought to be covered by the grant source.
</t>
        </r>
        <r>
          <rPr>
            <b/>
            <sz val="9"/>
            <color indexed="81"/>
            <rFont val="Tahoma"/>
            <family val="2"/>
          </rPr>
          <t xml:space="preserve">Coverage: </t>
        </r>
        <r>
          <rPr>
            <sz val="9"/>
            <color indexed="81"/>
            <rFont val="Tahoma"/>
            <family val="2"/>
          </rPr>
          <t xml:space="preserve">Costs that are part of the department’s existing expenses and are sought to be covered by the grant source. 
</t>
        </r>
        <r>
          <rPr>
            <b/>
            <sz val="9"/>
            <color indexed="81"/>
            <rFont val="Tahoma"/>
            <family val="2"/>
          </rPr>
          <t>Co-financing covered by department:</t>
        </r>
        <r>
          <rPr>
            <sz val="9"/>
            <color indexed="81"/>
            <rFont val="Tahoma"/>
            <family val="2"/>
          </rPr>
          <t xml:space="preserve"> Co-financing that is sought to be covered by the department. This can include both existing and new expenses.
</t>
        </r>
        <r>
          <rPr>
            <b/>
            <sz val="9"/>
            <color indexed="81"/>
            <rFont val="Tahoma"/>
            <family val="2"/>
          </rPr>
          <t>Co-financing covered by external funding:</t>
        </r>
        <r>
          <rPr>
            <sz val="9"/>
            <color indexed="81"/>
            <rFont val="Tahoma"/>
            <family val="2"/>
          </rPr>
          <t xml:space="preserve"> Co-financing that is already covered by other external grants.</t>
        </r>
      </text>
    </comment>
    <comment ref="A53" authorId="0" shapeId="0" xr:uid="{16831B56-61CE-40F4-8D9B-1EAF6B8FD15D}">
      <text>
        <r>
          <rPr>
            <sz val="9"/>
            <color indexed="81"/>
            <rFont val="Tahoma"/>
            <family val="2"/>
          </rPr>
          <t xml:space="preserve">Calculated based on VIP months except PhD and on TAP/Other master degree months - labeled external funding or Coverage. </t>
        </r>
      </text>
    </comment>
    <comment ref="A54" authorId="0" shapeId="0" xr:uid="{85628EE9-5355-4475-92FE-A183CD6A9498}">
      <text>
        <r>
          <rPr>
            <sz val="9"/>
            <color indexed="81"/>
            <rFont val="Tahoma"/>
            <family val="2"/>
          </rPr>
          <t xml:space="preserve">Calculated based on VIP months except PhD and on TAP/Other master degree months - labeled Co-financing covered by department and Co-financing covered by external funding. </t>
        </r>
      </text>
    </comment>
    <comment ref="A55" authorId="1" shapeId="0" xr:uid="{DDAFB6BB-85B4-4684-A02F-F81C5B1D110C}">
      <text>
        <r>
          <rPr>
            <sz val="9"/>
            <color indexed="81"/>
            <rFont val="Tahoma"/>
            <family val="2"/>
          </rPr>
          <t xml:space="preserve">Calculated based on Tenure Track and Research Assistant and TAP(except for student, data/It,other TAP) labeled extern funding and coverage
</t>
        </r>
      </text>
    </comment>
    <comment ref="A73" authorId="0" shapeId="0" xr:uid="{D9822C77-6545-4B01-B1C1-79A39BF68D8D}">
      <text>
        <r>
          <rPr>
            <sz val="9"/>
            <color indexed="81"/>
            <rFont val="Tahoma"/>
            <family val="2"/>
          </rPr>
          <t>Calculated based on TAP Laboratory technican - labeled External funding and Coverage</t>
        </r>
      </text>
    </comment>
    <comment ref="A74" authorId="0" shapeId="0" xr:uid="{11568554-CFAB-428D-AF35-590D8AE0B6DD}">
      <text>
        <r>
          <rPr>
            <sz val="9"/>
            <color indexed="81"/>
            <rFont val="Tahoma"/>
            <family val="2"/>
          </rPr>
          <t xml:space="preserve">Calculated based on TAP Laboratory technican - labeled Cofinancing by department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Helle S. Simonsen</author>
    <author>Betina Sehested Gade</author>
  </authors>
  <commentList>
    <comment ref="O4" authorId="0" shapeId="0" xr:uid="{CF4BDA35-7F2D-44CA-A619-277688B1C052}">
      <text>
        <r>
          <rPr>
            <sz val="9"/>
            <color indexed="81"/>
            <rFont val="Tahoma"/>
            <family val="2"/>
          </rPr>
          <t>(Overhead/Projectsupplement/BenchFee/EBIT+Covarage salary+operations--Dept. co-financing salary+operations)/(Applied amount to the dept. incl. Overhead-Overhead/Projectsupplement/BenchFee/EBIT-Covarage salary+operations+Dept. co-financing salary+operations)</t>
        </r>
      </text>
    </comment>
    <comment ref="C5" authorId="0" shapeId="0" xr:uid="{4D887546-ED62-446F-9413-D637CD60EFE1}">
      <text>
        <r>
          <rPr>
            <sz val="9"/>
            <color indexed="81"/>
            <rFont val="Tahoma"/>
            <family val="2"/>
          </rPr>
          <t>Select a grant source from the list and the overhead and hours will be filled in automatically. If you enter a funder that is not on the list, you will need to fill in the overhead and hours correctly yourself</t>
        </r>
      </text>
    </comment>
    <comment ref="O5" authorId="1" shapeId="0" xr:uid="{D0047D34-BC68-4B29-83FF-1365FFA9DDA3}">
      <text>
        <r>
          <rPr>
            <b/>
            <sz val="9"/>
            <color indexed="81"/>
            <rFont val="Tahoma"/>
            <family val="2"/>
          </rPr>
          <t>Co-financing from department(excl overhead)/Total budget(excel overhead)</t>
        </r>
        <r>
          <rPr>
            <sz val="9"/>
            <color indexed="81"/>
            <rFont val="Tahoma"/>
            <family val="2"/>
          </rPr>
          <t xml:space="preserve">
</t>
        </r>
      </text>
    </comment>
    <comment ref="C6" authorId="0" shapeId="0" xr:uid="{DDECFF2C-BA86-4EED-B51E-F814B931F448}">
      <text>
        <r>
          <rPr>
            <sz val="9"/>
            <color indexed="81"/>
            <rFont val="Tahoma"/>
            <family val="2"/>
          </rPr>
          <t>This field is automatically filled based on "Grant Source". If you do not select a grant source from the list, you must ensure that the field is filled in correctly. Note - if the field is overwritten, the automatic filling function will disappear.</t>
        </r>
      </text>
    </comment>
    <comment ref="G6" authorId="0" shapeId="0" xr:uid="{5E665193-207F-44A5-A149-932B4CE83D41}">
      <text>
        <r>
          <rPr>
            <sz val="9"/>
            <color indexed="81"/>
            <rFont val="Tahoma"/>
            <family val="2"/>
          </rPr>
          <t>Indicates the costs on which the overhead calculation is based</t>
        </r>
      </text>
    </comment>
    <comment ref="O6" authorId="1" shapeId="0" xr:uid="{2D8BC6A9-2075-473C-AB7A-546C2F9EE1DB}">
      <text>
        <r>
          <rPr>
            <sz val="9"/>
            <color indexed="81"/>
            <rFont val="Tahoma"/>
            <family val="2"/>
          </rPr>
          <t>Co-financing total/Total costs</t>
        </r>
        <r>
          <rPr>
            <sz val="9"/>
            <color indexed="81"/>
            <rFont val="Tahoma"/>
            <family val="2"/>
          </rPr>
          <t xml:space="preserve">
</t>
        </r>
      </text>
    </comment>
    <comment ref="C7" authorId="0" shapeId="0" xr:uid="{A811FFE4-976F-4E05-85E6-A6B938B210EE}">
      <text>
        <r>
          <rPr>
            <sz val="9"/>
            <color indexed="81"/>
            <rFont val="Tahoma"/>
            <family val="2"/>
          </rPr>
          <t>This field is automatically filled based on "Grant Source". If you do not select a grant source from the list, you must ensure that the field is filled in correctly. Note - if the field is overwritten, the automatic filling function will disappear</t>
        </r>
      </text>
    </comment>
    <comment ref="G7" authorId="0" shapeId="0" xr:uid="{CB06A8C2-4273-4D91-B531-BC94F430F49C}">
      <text>
        <r>
          <rPr>
            <sz val="9"/>
            <color indexed="81"/>
            <rFont val="Tahoma"/>
            <family val="2"/>
          </rPr>
          <t>Coverage of indirect costs for technical assistance is calculated automatically. Please specify the basis for the calculation.</t>
        </r>
      </text>
    </comment>
    <comment ref="C8" authorId="0" shapeId="0" xr:uid="{57B87071-8657-47D2-9128-4158D36531F8}">
      <text>
        <r>
          <rPr>
            <b/>
            <sz val="9"/>
            <color indexed="81"/>
            <rFont val="Tahoma"/>
            <family val="2"/>
          </rPr>
          <t>Helle S. Simonsen:</t>
        </r>
        <r>
          <rPr>
            <sz val="9"/>
            <color indexed="81"/>
            <rFont val="Tahoma"/>
            <family val="2"/>
          </rPr>
          <t xml:space="preserve">
If the grant source is Novo Nordisk, Lundbeck, Villum, Velux, Carlsberg, Leo, the field will be filled with project supplement. You can select bench fee from the list if the call indicates that a bench fee should be applied for.</t>
        </r>
      </text>
    </comment>
    <comment ref="H8" authorId="0" shapeId="0" xr:uid="{46AE7649-03D6-4854-9C1A-C2DCCFD2B845}">
      <text>
        <r>
          <rPr>
            <sz val="9"/>
            <color indexed="81"/>
            <rFont val="Tahoma"/>
            <family val="2"/>
          </rPr>
          <t xml:space="preserve">Choose </t>
        </r>
        <r>
          <rPr>
            <b/>
            <sz val="9"/>
            <color indexed="81"/>
            <rFont val="Tahoma"/>
            <family val="2"/>
          </rPr>
          <t>YES</t>
        </r>
        <r>
          <rPr>
            <sz val="9"/>
            <color indexed="81"/>
            <rFont val="Tahoma"/>
            <family val="2"/>
          </rPr>
          <t xml:space="preserve"> if the application contains GDPR data</t>
        </r>
      </text>
    </comment>
    <comment ref="C13" authorId="0" shapeId="0" xr:uid="{B33445FE-2A86-4618-93A6-53B90532A9E3}">
      <text>
        <r>
          <rPr>
            <sz val="9"/>
            <color indexed="81"/>
            <rFont val="Tahoma"/>
            <family val="2"/>
          </rPr>
          <t>AU’s minimum profit margin - EBIT is 10%. If possible, a higher EBIT should be aimed for. If a lower EBIT is used, documentation must be provided. In monopoly-like situations, EBIT should be set to zero.</t>
        </r>
      </text>
    </comment>
    <comment ref="C19" authorId="1" shapeId="0" xr:uid="{51D473F4-A771-4C79-8525-F5B4B878417C}">
      <text>
        <r>
          <rPr>
            <sz val="9"/>
            <color indexed="81"/>
            <rFont val="Tahoma"/>
            <family val="2"/>
          </rPr>
          <t xml:space="preserve">In case there is a need for mere than the existing 6 years, please contact your controller, which is able to unlock more years
</t>
        </r>
      </text>
    </comment>
    <comment ref="N19" authorId="1" shapeId="0" xr:uid="{A047DD8C-A954-4906-9E4E-FF2056338985}">
      <text>
        <r>
          <rPr>
            <sz val="9"/>
            <color indexed="81"/>
            <rFont val="Tahoma"/>
            <family val="2"/>
          </rPr>
          <t xml:space="preserve">Please type name
</t>
        </r>
      </text>
    </comment>
    <comment ref="O19" authorId="0" shapeId="0" xr:uid="{0B4E2961-C8D7-4735-BC65-7A0558016B29}">
      <text>
        <r>
          <rPr>
            <sz val="9"/>
            <color indexed="81"/>
            <rFont val="Tahoma"/>
            <family val="2"/>
          </rPr>
          <t xml:space="preserve">Choose type of budget:
</t>
        </r>
        <r>
          <rPr>
            <b/>
            <sz val="9"/>
            <color indexed="81"/>
            <rFont val="Tahoma"/>
            <family val="2"/>
          </rPr>
          <t xml:space="preserve">External funding: </t>
        </r>
        <r>
          <rPr>
            <sz val="9"/>
            <color indexed="81"/>
            <rFont val="Tahoma"/>
            <family val="2"/>
          </rPr>
          <t xml:space="preserve">Costs that are sought to be covered by the grant source.
</t>
        </r>
        <r>
          <rPr>
            <b/>
            <sz val="9"/>
            <color indexed="81"/>
            <rFont val="Tahoma"/>
            <family val="2"/>
          </rPr>
          <t xml:space="preserve">Coverage: </t>
        </r>
        <r>
          <rPr>
            <sz val="9"/>
            <color indexed="81"/>
            <rFont val="Tahoma"/>
            <family val="2"/>
          </rPr>
          <t xml:space="preserve">Costs that are part of the department’s existing expenses and are sought to be covered by the grant source. 
</t>
        </r>
        <r>
          <rPr>
            <b/>
            <sz val="9"/>
            <color indexed="81"/>
            <rFont val="Tahoma"/>
            <family val="2"/>
          </rPr>
          <t xml:space="preserve">Co-financing covered by department: </t>
        </r>
        <r>
          <rPr>
            <sz val="9"/>
            <color indexed="81"/>
            <rFont val="Tahoma"/>
            <family val="2"/>
          </rPr>
          <t xml:space="preserve">Co-financing that is sought to be covered by the department. This can include both existing and new expenses.
</t>
        </r>
        <r>
          <rPr>
            <b/>
            <sz val="9"/>
            <color indexed="81"/>
            <rFont val="Tahoma"/>
            <family val="2"/>
          </rPr>
          <t xml:space="preserve">Co-financing covered by external funding: </t>
        </r>
        <r>
          <rPr>
            <sz val="9"/>
            <color indexed="81"/>
            <rFont val="Tahoma"/>
            <family val="2"/>
          </rPr>
          <t>Co-financing that is already covered by other external grants.</t>
        </r>
      </text>
    </comment>
    <comment ref="A53" authorId="0" shapeId="0" xr:uid="{1BFCB92F-BF0B-453B-B42C-467A2436998F}">
      <text>
        <r>
          <rPr>
            <sz val="9"/>
            <color indexed="81"/>
            <rFont val="Tahoma"/>
            <family val="2"/>
          </rPr>
          <t xml:space="preserve">Calculated based on VIP months except PhD and on TAP/Other master degree months - labeled external funding or Coverage. </t>
        </r>
      </text>
    </comment>
    <comment ref="A54" authorId="0" shapeId="0" xr:uid="{10516F44-0AE3-48C9-9BEB-752E3130D2A0}">
      <text>
        <r>
          <rPr>
            <sz val="9"/>
            <color indexed="81"/>
            <rFont val="Tahoma"/>
            <family val="2"/>
          </rPr>
          <t xml:space="preserve">Calculated based on VIP months except PhD and on TAP/Other master degree months - labeled Co-financing covered by department and Co-financing covered by external funding. </t>
        </r>
      </text>
    </comment>
    <comment ref="A55" authorId="1" shapeId="0" xr:uid="{4786BE7F-5198-4393-B965-EF57746D02EA}">
      <text>
        <r>
          <rPr>
            <sz val="9"/>
            <color indexed="81"/>
            <rFont val="Tahoma"/>
            <family val="2"/>
          </rPr>
          <t>Calculated based on Tenure Track and Research Assistant and TAP(except for student, data/It,other TAP) labeled extern funding and coverage</t>
        </r>
        <r>
          <rPr>
            <sz val="9"/>
            <color indexed="81"/>
            <rFont val="Tahoma"/>
            <family val="2"/>
          </rPr>
          <t xml:space="preserve">
</t>
        </r>
      </text>
    </comment>
    <comment ref="A73" authorId="0" shapeId="0" xr:uid="{21731509-4465-4C56-B87E-E7C895ADBA08}">
      <text>
        <r>
          <rPr>
            <sz val="9"/>
            <color indexed="81"/>
            <rFont val="Tahoma"/>
            <family val="2"/>
          </rPr>
          <t>Calculated based on TAP Laboratory technican - labeled External funding and Coverage</t>
        </r>
      </text>
    </comment>
    <comment ref="A74" authorId="0" shapeId="0" xr:uid="{488913B2-09A0-4682-A402-F76FA2D02BC1}">
      <text>
        <r>
          <rPr>
            <sz val="9"/>
            <color indexed="81"/>
            <rFont val="Tahoma"/>
            <family val="2"/>
          </rPr>
          <t xml:space="preserve">Calculated based on TAP Laboratory technican - labeled Cofinancing by department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Helle S. Simonsen</author>
    <author>Betina Sehested Gade</author>
  </authors>
  <commentList>
    <comment ref="O4" authorId="0" shapeId="0" xr:uid="{3CC1FD95-FC31-44CF-BCBE-7CFF6396BA4D}">
      <text>
        <r>
          <rPr>
            <sz val="9"/>
            <color indexed="81"/>
            <rFont val="Tahoma"/>
            <family val="2"/>
          </rPr>
          <t>(Overhead/Projectsupplement/BenchFee/EBIT+Covarage salary+operations--Dept. co-financing salary+operations)/(Applied amount to the dept. incl. Overhead-Overhead/Projectsupplement/BenchFee/EBIT-Covarage salary+operations+Dept. co-financing salary+operations)</t>
        </r>
      </text>
    </comment>
    <comment ref="C5" authorId="0" shapeId="0" xr:uid="{8ADA9962-7246-4907-8858-72652AAD7569}">
      <text>
        <r>
          <rPr>
            <sz val="9"/>
            <color indexed="81"/>
            <rFont val="Tahoma"/>
            <family val="2"/>
          </rPr>
          <t>Select a grant source from the list and the overhead and hours will be filled in automatically. If you enter a funder that is not on the list, you will need to fill in the overhead and hours correctly yourself</t>
        </r>
      </text>
    </comment>
    <comment ref="O5" authorId="1" shapeId="0" xr:uid="{1B4FB49E-BC30-4518-BC76-5366FED0DF9D}">
      <text>
        <r>
          <rPr>
            <b/>
            <sz val="9"/>
            <color indexed="81"/>
            <rFont val="Tahoma"/>
            <family val="2"/>
          </rPr>
          <t>Co-financing from department(excl overhead)/Total budget(excel overhead)</t>
        </r>
        <r>
          <rPr>
            <sz val="9"/>
            <color indexed="81"/>
            <rFont val="Tahoma"/>
            <family val="2"/>
          </rPr>
          <t xml:space="preserve">
</t>
        </r>
      </text>
    </comment>
    <comment ref="C6" authorId="0" shapeId="0" xr:uid="{D41C4C81-FC30-463C-875E-E5A42C9AA533}">
      <text>
        <r>
          <rPr>
            <sz val="9"/>
            <color indexed="81"/>
            <rFont val="Tahoma"/>
            <family val="2"/>
          </rPr>
          <t>This field is automatically filled based on "Grant Source". If you do not select a grant source from the list, you must ensure that the field is filled in correctly. Note - if the field is overwritten, the automatic filling function will disappear.</t>
        </r>
      </text>
    </comment>
    <comment ref="G6" authorId="0" shapeId="0" xr:uid="{0E071E97-ECFF-491D-9678-D536A840F4AC}">
      <text>
        <r>
          <rPr>
            <sz val="9"/>
            <color indexed="81"/>
            <rFont val="Tahoma"/>
            <family val="2"/>
          </rPr>
          <t>Indicates the costs on which the overhead calculation is based</t>
        </r>
      </text>
    </comment>
    <comment ref="O6" authorId="1" shapeId="0" xr:uid="{EAF63F07-25D5-4ACF-BE2A-95A5F5BDADB4}">
      <text>
        <r>
          <rPr>
            <sz val="9"/>
            <color indexed="81"/>
            <rFont val="Tahoma"/>
            <family val="2"/>
          </rPr>
          <t>Co-financing total/Total costs</t>
        </r>
        <r>
          <rPr>
            <sz val="9"/>
            <color indexed="81"/>
            <rFont val="Tahoma"/>
            <family val="2"/>
          </rPr>
          <t xml:space="preserve">
</t>
        </r>
      </text>
    </comment>
    <comment ref="C7" authorId="0" shapeId="0" xr:uid="{551F998C-D2F0-4853-B6EA-6BF7E1FAD547}">
      <text>
        <r>
          <rPr>
            <sz val="9"/>
            <color indexed="81"/>
            <rFont val="Tahoma"/>
            <family val="2"/>
          </rPr>
          <t>This field is automatically filled based on "Grant Source". If you do not select a grant source from the list, you must ensure that the field is filled in correctly. Note - if the field is overwritten, the automatic filling function will disappear</t>
        </r>
      </text>
    </comment>
    <comment ref="G7" authorId="0" shapeId="0" xr:uid="{FB5C79D3-69E6-4460-8561-51FED2B23F79}">
      <text>
        <r>
          <rPr>
            <sz val="9"/>
            <color indexed="81"/>
            <rFont val="Tahoma"/>
            <family val="2"/>
          </rPr>
          <t>Coverage of indirect costs for technical assistance is calculated automatically. Please specify the basis for the calculation.</t>
        </r>
      </text>
    </comment>
    <comment ref="C8" authorId="0" shapeId="0" xr:uid="{725B9CF4-9F13-4207-82BF-65A07A8CB878}">
      <text>
        <r>
          <rPr>
            <sz val="9"/>
            <color indexed="81"/>
            <rFont val="Tahoma"/>
            <family val="2"/>
          </rPr>
          <t>If the grant source is Novo Nordisk, Lundbeck, Villum, Velux, Carlsberg, Leo, the field will be filled with project supplement. You can select bench fee from the list if the call indicates that a bench fee should be applied for.</t>
        </r>
      </text>
    </comment>
    <comment ref="H8" authorId="0" shapeId="0" xr:uid="{C0AD95CC-A5EB-47BE-914E-97380B426237}">
      <text>
        <r>
          <rPr>
            <sz val="9"/>
            <color indexed="81"/>
            <rFont val="Tahoma"/>
            <family val="2"/>
          </rPr>
          <t xml:space="preserve">Choose </t>
        </r>
        <r>
          <rPr>
            <b/>
            <sz val="9"/>
            <color indexed="81"/>
            <rFont val="Tahoma"/>
            <family val="2"/>
          </rPr>
          <t>YES</t>
        </r>
        <r>
          <rPr>
            <sz val="9"/>
            <color indexed="81"/>
            <rFont val="Tahoma"/>
            <family val="2"/>
          </rPr>
          <t xml:space="preserve"> if the application contains GDPR data</t>
        </r>
      </text>
    </comment>
    <comment ref="C13" authorId="0" shapeId="0" xr:uid="{FE7A8EA7-98D7-4ED7-84C0-E6A3429B5FCF}">
      <text>
        <r>
          <rPr>
            <sz val="9"/>
            <color indexed="81"/>
            <rFont val="Tahoma"/>
            <family val="2"/>
          </rPr>
          <t>AU’s minimum profit margin - EBIT is 10%. If possible, a higher EBIT should be aimed for. If a lower EBIT is used, documentation must be provided. In monopoly-like situations, EBIT should be set to zero.</t>
        </r>
      </text>
    </comment>
    <comment ref="C19" authorId="1" shapeId="0" xr:uid="{FA8275BC-41B1-4E1C-AC44-8FBEB1464321}">
      <text>
        <r>
          <rPr>
            <sz val="9"/>
            <color indexed="81"/>
            <rFont val="Tahoma"/>
            <family val="2"/>
          </rPr>
          <t xml:space="preserve">In case there is a need for mere than the existing 6 years, please contact your controller, which is able to unlock more years
</t>
        </r>
      </text>
    </comment>
    <comment ref="N19" authorId="1" shapeId="0" xr:uid="{72A702B8-046F-408B-B0C4-4E6226ECAC0B}">
      <text>
        <r>
          <rPr>
            <sz val="9"/>
            <color indexed="81"/>
            <rFont val="Tahoma"/>
            <family val="2"/>
          </rPr>
          <t xml:space="preserve">Please type name
</t>
        </r>
      </text>
    </comment>
    <comment ref="O19" authorId="0" shapeId="0" xr:uid="{802B0D38-0CA7-466D-A180-FECF64AF55F0}">
      <text>
        <r>
          <rPr>
            <sz val="9"/>
            <color indexed="81"/>
            <rFont val="Tahoma"/>
            <family val="2"/>
          </rPr>
          <t xml:space="preserve">Choose type of budget:
</t>
        </r>
        <r>
          <rPr>
            <b/>
            <sz val="9"/>
            <color indexed="81"/>
            <rFont val="Tahoma"/>
            <family val="2"/>
          </rPr>
          <t xml:space="preserve">External funding: </t>
        </r>
        <r>
          <rPr>
            <sz val="9"/>
            <color indexed="81"/>
            <rFont val="Tahoma"/>
            <family val="2"/>
          </rPr>
          <t>Costs that are sought to be covered by the grant source.</t>
        </r>
        <r>
          <rPr>
            <b/>
            <sz val="9"/>
            <color indexed="81"/>
            <rFont val="Tahoma"/>
            <family val="2"/>
          </rPr>
          <t xml:space="preserve">
Coverage: </t>
        </r>
        <r>
          <rPr>
            <sz val="9"/>
            <color indexed="81"/>
            <rFont val="Tahoma"/>
            <family val="2"/>
          </rPr>
          <t xml:space="preserve">Costs that are part of the department’s existing expenses and are sought to be covered by the grant source. </t>
        </r>
        <r>
          <rPr>
            <b/>
            <sz val="9"/>
            <color indexed="81"/>
            <rFont val="Tahoma"/>
            <family val="2"/>
          </rPr>
          <t xml:space="preserve">
Co-financing covered by department: </t>
        </r>
        <r>
          <rPr>
            <sz val="9"/>
            <color indexed="81"/>
            <rFont val="Tahoma"/>
            <family val="2"/>
          </rPr>
          <t>Co-financing that is sought to be covered by the department. This can include both existing and new expenses</t>
        </r>
        <r>
          <rPr>
            <b/>
            <sz val="9"/>
            <color indexed="81"/>
            <rFont val="Tahoma"/>
            <family val="2"/>
          </rPr>
          <t xml:space="preserve">.
Co-financing covered by external funding: </t>
        </r>
        <r>
          <rPr>
            <sz val="9"/>
            <color indexed="81"/>
            <rFont val="Tahoma"/>
            <family val="2"/>
          </rPr>
          <t>Co-financing that is already covered by other external grants.</t>
        </r>
      </text>
    </comment>
    <comment ref="A53" authorId="0" shapeId="0" xr:uid="{5E2ADDF6-CCDD-4441-AC09-128925D79241}">
      <text>
        <r>
          <rPr>
            <sz val="9"/>
            <color indexed="81"/>
            <rFont val="Tahoma"/>
            <family val="2"/>
          </rPr>
          <t xml:space="preserve">Calculated based on VIP months except PhD and on TAP/Other master degree months - labeled external funding or Coverage. </t>
        </r>
      </text>
    </comment>
    <comment ref="A54" authorId="0" shapeId="0" xr:uid="{287D4E59-03C2-4CC4-9B47-61F150714FE2}">
      <text>
        <r>
          <rPr>
            <sz val="9"/>
            <color indexed="81"/>
            <rFont val="Tahoma"/>
            <family val="2"/>
          </rPr>
          <t xml:space="preserve">Calculated based on VIP months except PhD and on TAP/Other master degree months - labeled Co-financing covered by department and Co-financing covered by external funding. </t>
        </r>
      </text>
    </comment>
    <comment ref="A55" authorId="1" shapeId="0" xr:uid="{24427DA9-73F6-406E-AE5B-428F926D3EA4}">
      <text>
        <r>
          <rPr>
            <sz val="9"/>
            <color indexed="81"/>
            <rFont val="Tahoma"/>
            <family val="2"/>
          </rPr>
          <t>Calculated based on Tenure Track and Research Assistant and TAP(except for student, data/It,other TAP) labeled extern funding and coverage</t>
        </r>
        <r>
          <rPr>
            <sz val="9"/>
            <color indexed="81"/>
            <rFont val="Tahoma"/>
            <family val="2"/>
          </rPr>
          <t xml:space="preserve">
</t>
        </r>
      </text>
    </comment>
    <comment ref="A73" authorId="0" shapeId="0" xr:uid="{C1B1632D-15D9-4A7B-AB2E-B1BD5C2E750C}">
      <text>
        <r>
          <rPr>
            <sz val="9"/>
            <color indexed="81"/>
            <rFont val="Tahoma"/>
            <family val="2"/>
          </rPr>
          <t>Calculated based on TAP Laboratory technican - labeled External funding and Coverage</t>
        </r>
      </text>
    </comment>
    <comment ref="A74" authorId="0" shapeId="0" xr:uid="{95814F1B-4E1F-4ADE-94B1-BF9A49811C55}">
      <text>
        <r>
          <rPr>
            <sz val="9"/>
            <color indexed="81"/>
            <rFont val="Tahoma"/>
            <family val="2"/>
          </rPr>
          <t xml:space="preserve">Calculated based on TAP Laboratory technican - labeled Cofinancing by department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D47027-62EF-4CE2-8BE1-A4B37B448C14}" keepAlive="1" name="Forespørgsel - currencyratesxml?lang=en" description="Forbindelse til forespørgslen 'currencyratesxml?lang=en' i projektmappen." type="5" refreshedVersion="8" background="1" saveData="1">
    <dbPr connection="Provider=Microsoft.Mashup.OleDb.1;Data Source=$Workbook$;Location=&quot;currencyratesxml?lang=en&quot;;Extended Properties=&quot;&quot;" command="SELECT * FROM [currencyratesxml?lang=en]"/>
  </connection>
  <connection id="2" xr16:uid="{4807151C-0006-471E-9C52-A8D48E08F4A0}" keepAlive="1" name="Forespørgsel - Economists" description="Forbindelse til forespørgslen 'Economists' i projektmappen." type="5" refreshedVersion="8" background="1" saveData="1">
    <dbPr connection="Provider=Microsoft.Mashup.OleDb.1;Data Source=$Workbook$;Location=Economists;Extended Properties=&quot;&quot;" command="SELECT * FROM [Economists]"/>
  </connection>
  <connection id="3" xr16:uid="{D0FFBC72-29E6-4689-A140-C9390F73E659}" keepAlive="1" name="Forespørgsel - GrantSource" description="Forbindelse til forespørgslen 'GrantSource' i projektmappen." type="5" refreshedVersion="8" background="1" saveData="1">
    <dbPr connection="Provider=Microsoft.Mashup.OleDb.1;Data Source=$Workbook$;Location=GrantSource;Extended Properties=&quot;&quot;" command="SELECT * FROM [GrantSource]"/>
  </connection>
  <connection id="4" xr16:uid="{51B8B430-D5B8-4963-88CF-581AE521B7B2}" keepAlive="1" name="Forespørgsel - GrantSourceCategory" description="Forbindelse til forespørgslen 'GrantSourceCategory' i projektmappen." type="5" refreshedVersion="8" background="1" saveData="1">
    <dbPr connection="Provider=Microsoft.Mashup.OleDb.1;Data Source=$Workbook$;Location=GrantSourceCategory;Extended Properties=&quot;&quot;" command="SELECT * FROM [GrantSourceCategory]"/>
  </connection>
  <connection id="5" xr16:uid="{1930940B-F5C6-4F5C-A070-D0A99ACB2DB3}" keepAlive="1" name="Forespørgsel - Instrument" description="Forbindelse til forespørgslen 'Instrument' i projektmappen." type="5" refreshedVersion="8" background="1" saveData="1">
    <dbPr connection="Provider=Microsoft.Mashup.OleDb.1;Data Source=$Workbook$;Location=Instrument;Extended Properties=&quot;&quot;" command="SELECT * FROM [Instrument]"/>
  </connection>
  <connection id="6" xr16:uid="{AB6AD3FF-B158-4732-9363-4CAF368C68B3}" keepAlive="1" name="Forespørgsel - Section" description="Forbindelse til forespørgslen 'Section' i projektmappen." type="5" refreshedVersion="8" background="1" saveData="1">
    <dbPr connection="Provider=Microsoft.Mashup.OleDb.1;Data Source=$Workbook$;Location=Section;Extended Properties=&quot;&quot;" command="SELECT * FROM [Section]"/>
  </connection>
  <connection id="7" xr16:uid="{C915E5D5-50E1-4A1A-9876-319111E8D5A1}" keepAlive="1" name="Query - Section (2)" description="Connection to the 'Section (2)' query in the workbook." type="5" refreshedVersion="8" background="1" saveData="1">
    <dbPr connection="Provider=Microsoft.Mashup.OleDb.1;Data Source=$Workbook$;Location=&quot;Section (2)&quot;;Extended Properties=&quot;&quot;" command="SELECT * FROM [Section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<sst xmlns="http://schemas.openxmlformats.org/spreadsheetml/2006/main" count="7359" uniqueCount="2193">
  <si>
    <t>Overhead</t>
  </si>
  <si>
    <t>Prisstigning</t>
  </si>
  <si>
    <t>Løn stigning</t>
  </si>
  <si>
    <t>AGRO</t>
  </si>
  <si>
    <t>FOOD</t>
  </si>
  <si>
    <t>DCA</t>
  </si>
  <si>
    <t>ICROFS</t>
  </si>
  <si>
    <t>VIP</t>
  </si>
  <si>
    <t>TAP</t>
  </si>
  <si>
    <t>GUDP</t>
  </si>
  <si>
    <t>DRIFT</t>
  </si>
  <si>
    <t>Kategori</t>
  </si>
  <si>
    <t>Timer/md</t>
  </si>
  <si>
    <t>NIFA</t>
  </si>
  <si>
    <t>EU</t>
  </si>
  <si>
    <t>15xx</t>
  </si>
  <si>
    <t>Grand Solutions</t>
  </si>
  <si>
    <t>Interreg</t>
  </si>
  <si>
    <t>Rullelister</t>
  </si>
  <si>
    <t xml:space="preserve"> </t>
  </si>
  <si>
    <t>PhD</t>
  </si>
  <si>
    <t>QGG</t>
  </si>
  <si>
    <t>DKK</t>
  </si>
  <si>
    <t>EUR</t>
  </si>
  <si>
    <t>SEK</t>
  </si>
  <si>
    <t>NOK</t>
  </si>
  <si>
    <t>USD</t>
  </si>
  <si>
    <t>Supplement to research administration Operations</t>
  </si>
  <si>
    <t xml:space="preserve">Budgeting helping sheet for grant financed projects </t>
  </si>
  <si>
    <r>
      <t>Insert overheads rate:</t>
    </r>
    <r>
      <rPr>
        <b/>
        <sz val="10"/>
        <color rgb="FFFF0000"/>
        <rFont val="Arial"/>
        <family val="2"/>
      </rPr>
      <t>*</t>
    </r>
  </si>
  <si>
    <r>
      <t>Insert yearly count of hours:</t>
    </r>
    <r>
      <rPr>
        <b/>
        <sz val="10"/>
        <color rgb="FFFF0000"/>
        <rFont val="Arial"/>
        <family val="2"/>
      </rPr>
      <t>*</t>
    </r>
  </si>
  <si>
    <r>
      <t>Overhead calculation basis:</t>
    </r>
    <r>
      <rPr>
        <b/>
        <sz val="10"/>
        <color rgb="FFFF0000"/>
        <rFont val="Arial"/>
        <family val="2"/>
      </rPr>
      <t>*</t>
    </r>
  </si>
  <si>
    <t>* = MUST BE FILLED TO CALCULATE SHEET CORRECT</t>
  </si>
  <si>
    <t>Comment</t>
  </si>
  <si>
    <t>Total</t>
  </si>
  <si>
    <t>Institutleader/Head of Research</t>
  </si>
  <si>
    <t>Rate Catalog - incl. Salary and price increase</t>
  </si>
  <si>
    <t>Monthly Salary</t>
  </si>
  <si>
    <t>Cost Price</t>
  </si>
  <si>
    <t>Student help</t>
  </si>
  <si>
    <t>TAP/Other masters degree</t>
  </si>
  <si>
    <t>TAP/Other Masters degree</t>
  </si>
  <si>
    <t>Salary</t>
  </si>
  <si>
    <t>Salary and operations</t>
  </si>
  <si>
    <t>Operations</t>
  </si>
  <si>
    <t>None</t>
  </si>
  <si>
    <t>Travel</t>
  </si>
  <si>
    <t>External assistance/consultants</t>
  </si>
  <si>
    <t>Analysis internal</t>
  </si>
  <si>
    <t>Field operations, Research stations</t>
  </si>
  <si>
    <t>Livestock/stable operations</t>
  </si>
  <si>
    <t>Other</t>
  </si>
  <si>
    <t>Optional currency</t>
  </si>
  <si>
    <t>Data/IT employee</t>
  </si>
  <si>
    <t>Secretary salary</t>
  </si>
  <si>
    <t>Supplement to research administration TAP AGRO</t>
  </si>
  <si>
    <t>Supplement to research administration TAP QGG</t>
  </si>
  <si>
    <t>Supplement to research administration TAP FOOD</t>
  </si>
  <si>
    <t>Supplement to research administration operations FOOD</t>
  </si>
  <si>
    <t>Supplement to research administration operations AGRO</t>
  </si>
  <si>
    <t>Supplement to research administration operations QGG</t>
  </si>
  <si>
    <t>Institute</t>
  </si>
  <si>
    <t>Overheadsrate</t>
  </si>
  <si>
    <t>Overhead calculated on</t>
  </si>
  <si>
    <t>Yearly hours</t>
  </si>
  <si>
    <t>Description</t>
  </si>
  <si>
    <t>Supplement to research administration calculated by</t>
  </si>
  <si>
    <t>Currency</t>
  </si>
  <si>
    <t>Job functions</t>
  </si>
  <si>
    <t>Rate</t>
  </si>
  <si>
    <t>AU Standard (to be used unless other is stated)</t>
  </si>
  <si>
    <t>Total TAP-months</t>
  </si>
  <si>
    <t>Operations Total</t>
  </si>
  <si>
    <t>VIP-salary</t>
  </si>
  <si>
    <t>VIP-salary total</t>
  </si>
  <si>
    <t>TAP-salary total</t>
  </si>
  <si>
    <t>Salary total</t>
  </si>
  <si>
    <t>Operations total</t>
  </si>
  <si>
    <t>Salary + operations</t>
  </si>
  <si>
    <t>Choose VIP and insert count of months</t>
  </si>
  <si>
    <t>Choose TAP and insert count of months</t>
  </si>
  <si>
    <t>Total VIP-months</t>
  </si>
  <si>
    <t>TAP-salary</t>
  </si>
  <si>
    <t>Scrap-value</t>
  </si>
  <si>
    <t>H2020</t>
  </si>
  <si>
    <t>NIFA - LBST</t>
  </si>
  <si>
    <t>ARLA</t>
  </si>
  <si>
    <t>Funder</t>
  </si>
  <si>
    <t>OH rate</t>
  </si>
  <si>
    <t>Avg. hourly rate</t>
  </si>
  <si>
    <t>Total hours</t>
  </si>
  <si>
    <t>Choose Operation category and insert amount</t>
  </si>
  <si>
    <t>BCE</t>
  </si>
  <si>
    <t>CAE</t>
  </si>
  <si>
    <t>ECE</t>
  </si>
  <si>
    <t>MPE</t>
  </si>
  <si>
    <t>Bench Fee (only at NNF)</t>
  </si>
  <si>
    <t>Column1</t>
  </si>
  <si>
    <t>Supplement to research administration TAP ANIVET</t>
  </si>
  <si>
    <t>Supplement to research administration operations ANIVET</t>
  </si>
  <si>
    <t>ANIVET</t>
  </si>
  <si>
    <t>Total cost</t>
  </si>
  <si>
    <t>Horizon Europe</t>
  </si>
  <si>
    <t>Bench Fee</t>
  </si>
  <si>
    <t>Project supplement</t>
  </si>
  <si>
    <t>Project supplement or Bench Fee</t>
  </si>
  <si>
    <t>Project-supplement/Bench Fee</t>
  </si>
  <si>
    <t>Project-supplement</t>
  </si>
  <si>
    <t>Project Supplement</t>
  </si>
  <si>
    <t>Hvis der tastes en medarbejder inkl. Kostpris ind, så skriv PhD I kolonne B, idet den så medtages I forskningsadministrationsberegningen</t>
  </si>
  <si>
    <t>Hvis der tastes en medarbejder inkl. Kostpris ind, så skriv Laborant, Tekniker eller TAP/Ørig kandidatuddannet I kolonne B, idet den så medtages I forskningsadministrationsberegningen</t>
  </si>
  <si>
    <t>Type of budget</t>
  </si>
  <si>
    <t>Co-financing covered by department</t>
  </si>
  <si>
    <t>External funding</t>
  </si>
  <si>
    <t>Choose type of operations</t>
  </si>
  <si>
    <t>ECOS</t>
  </si>
  <si>
    <t>ENVS</t>
  </si>
  <si>
    <t>DCE</t>
  </si>
  <si>
    <t>GDPR Related</t>
  </si>
  <si>
    <t>Yes</t>
  </si>
  <si>
    <t>No</t>
  </si>
  <si>
    <t>Ph.D. Tuition Fee</t>
  </si>
  <si>
    <t>Analysis external</t>
  </si>
  <si>
    <t>Misc. Operation/purchases/Consumables</t>
  </si>
  <si>
    <t>Section</t>
  </si>
  <si>
    <t>Projecttitle and acronym</t>
  </si>
  <si>
    <t>Grant source</t>
  </si>
  <si>
    <t>Instrument</t>
  </si>
  <si>
    <t>GDPR-related</t>
  </si>
  <si>
    <t>Participants from the dept.</t>
  </si>
  <si>
    <t>Project start</t>
  </si>
  <si>
    <t>Short project description</t>
  </si>
  <si>
    <t>Partners within AU(name and dept.)</t>
  </si>
  <si>
    <t>Partners outside AU</t>
  </si>
  <si>
    <t>Planned new recruitment of named scientific staff (CV enclosed)</t>
  </si>
  <si>
    <t>     </t>
  </si>
  <si>
    <t>Special remarks to budget</t>
  </si>
  <si>
    <t>Applied amount total incl. partners and overhead</t>
  </si>
  <si>
    <t>Applied amount to the dept. incl. overhead</t>
  </si>
  <si>
    <t>Co-financing external funded</t>
  </si>
  <si>
    <t>Source of co-financing (name projects)</t>
  </si>
  <si>
    <t>PhD Tuition Fee share to dept.</t>
  </si>
  <si>
    <t>Date:</t>
  </si>
  <si>
    <t>Name</t>
  </si>
  <si>
    <t>Review of application internal in the dept. (name and date)</t>
  </si>
  <si>
    <t>Status</t>
  </si>
  <si>
    <t>Submitted</t>
  </si>
  <si>
    <t>Project end</t>
  </si>
  <si>
    <t>Notes</t>
  </si>
  <si>
    <t>Success probability</t>
  </si>
  <si>
    <t>Economist</t>
  </si>
  <si>
    <r>
      <t>Projecttitle and acronym:</t>
    </r>
    <r>
      <rPr>
        <b/>
        <sz val="10"/>
        <color rgb="FFFF0000"/>
        <rFont val="Arial"/>
        <family val="2"/>
      </rPr>
      <t>*</t>
    </r>
  </si>
  <si>
    <t>Coverage</t>
  </si>
  <si>
    <t>- Special legal remark, if any</t>
  </si>
  <si>
    <t>- Contract/agremment review by</t>
  </si>
  <si>
    <r>
      <t xml:space="preserve">Core Project Ratio
</t>
    </r>
    <r>
      <rPr>
        <sz val="8"/>
        <rFont val="Verdana"/>
        <family val="2"/>
      </rPr>
      <t>This indicator focuses solely on the project's core budget</t>
    </r>
  </si>
  <si>
    <t>Department</t>
  </si>
  <si>
    <t>Cost Coverage salary</t>
  </si>
  <si>
    <t>Depreciations</t>
  </si>
  <si>
    <t>Procurements</t>
  </si>
  <si>
    <r>
      <t>Department:</t>
    </r>
    <r>
      <rPr>
        <b/>
        <sz val="10"/>
        <color rgb="FFFF0000"/>
        <rFont val="Arial"/>
        <family val="2"/>
      </rPr>
      <t>*</t>
    </r>
  </si>
  <si>
    <t>Department co-financing others</t>
  </si>
  <si>
    <t>Other relevant information</t>
  </si>
  <si>
    <t>Cost Coverage others</t>
  </si>
  <si>
    <t>Department co-financing salary</t>
  </si>
  <si>
    <t xml:space="preserve">Cost Coverage depreciation </t>
  </si>
  <si>
    <t>Procurement external funding</t>
  </si>
  <si>
    <t>Depreciation covered by dept. due to exp. of project period</t>
  </si>
  <si>
    <t>Experiements(Fields, Barn, Workshops)- budget cleared with manager (Yes/No)</t>
  </si>
  <si>
    <t>BUDGET</t>
  </si>
  <si>
    <t>Indicate page number(please list if more than one)</t>
  </si>
  <si>
    <t>Documents for signature(yes/no)</t>
  </si>
  <si>
    <t>Advise in project (Commercial projects), i.e. a report(yes/no)</t>
  </si>
  <si>
    <t>Is the project description/quotation quality assured by DCE/DCA(yes/no)</t>
  </si>
  <si>
    <t>Legal Review(yes/no)
If yes:</t>
  </si>
  <si>
    <r>
      <t xml:space="preserve">Project Overhead &amp; Cost Coverage
</t>
    </r>
    <r>
      <rPr>
        <sz val="8"/>
        <rFont val="Verdana"/>
        <family val="2"/>
      </rPr>
      <t>This indicator focuses solely on the project's core budget</t>
    </r>
  </si>
  <si>
    <t>Supplement to research administration TAP BCE</t>
  </si>
  <si>
    <t>Supplement to research administration TAP CAE</t>
  </si>
  <si>
    <t>Supplement to research administration TAP DCA</t>
  </si>
  <si>
    <t>Supplement to research administration TAP DCE</t>
  </si>
  <si>
    <t>Supplement to research administration TAP ECE</t>
  </si>
  <si>
    <t>Supplement to research administration TAP ECOS</t>
  </si>
  <si>
    <t>Supplement to research administration TAP ENVS</t>
  </si>
  <si>
    <t>Supplement to research administration TAP ICROFS</t>
  </si>
  <si>
    <t>Supplement to research administration TAP MPE</t>
  </si>
  <si>
    <t>VIP months for calculation of secretary time - Coverage</t>
  </si>
  <si>
    <t>VIP months for calculation of secretary time - Co-financing by department</t>
  </si>
  <si>
    <t>Supplement to research administration operations BCE</t>
  </si>
  <si>
    <t>Supplement to research administration operations CAE</t>
  </si>
  <si>
    <t>Supplement to research administration operations DCA</t>
  </si>
  <si>
    <t>Supplement to research administration operations DCE</t>
  </si>
  <si>
    <t>Supplement to research administration operations ECE</t>
  </si>
  <si>
    <t>Supplement to research administration operations ECOS</t>
  </si>
  <si>
    <t>Supplement to research administration operations ENVS</t>
  </si>
  <si>
    <t>Supplement to research administration operations ICROFS</t>
  </si>
  <si>
    <t>Supplement to research administration operations MPE</t>
  </si>
  <si>
    <t>TAP Lab technicians &amp; Technicians months - Coverage</t>
  </si>
  <si>
    <t>TAP Lab technicians &amp; Technicians months - Co-financing by department</t>
  </si>
  <si>
    <t>Laboratory technician</t>
  </si>
  <si>
    <t>Technician</t>
  </si>
  <si>
    <t>Carlsbergfondet</t>
  </si>
  <si>
    <t>AUFF - Aarhus Universitets Forskningsfond</t>
  </si>
  <si>
    <t>NNF - Novo Nordisk Fonden</t>
  </si>
  <si>
    <t>Villum Fonden</t>
  </si>
  <si>
    <t>DFF - Danmarks Frie Forskningsfond</t>
  </si>
  <si>
    <t>IFD - Innovationsfonden</t>
  </si>
  <si>
    <t>EUDP - Energistyrelsen</t>
  </si>
  <si>
    <t>MUDP - Miljøstyrelsen</t>
  </si>
  <si>
    <t>Danida</t>
  </si>
  <si>
    <t>15. Juni Fonden</t>
  </si>
  <si>
    <t>Aage V. Jensen Fonden</t>
  </si>
  <si>
    <t>MAF - Mælkeafgiftsfonden</t>
  </si>
  <si>
    <t>SAF - Svineafgiftsfonden</t>
  </si>
  <si>
    <t>FRØ - Frøafgiftsfonden</t>
  </si>
  <si>
    <t>EDF - European Defence Fund</t>
  </si>
  <si>
    <t>EIT - European Institute of Innovation &amp; Technology</t>
  </si>
  <si>
    <t>GUDP - Landbrugsstyrelsen</t>
  </si>
  <si>
    <t>Klimastøtte - Energistyrelsen</t>
  </si>
  <si>
    <t>Miljøstøtte - Miljøstyrelsen</t>
  </si>
  <si>
    <t>Velux Fonden</t>
  </si>
  <si>
    <t>Lundbeck Fonden</t>
  </si>
  <si>
    <t>LEO Foundation</t>
  </si>
  <si>
    <t>Tenure Track - high rate</t>
  </si>
  <si>
    <t>Research Assistent - avr. rate</t>
  </si>
  <si>
    <t>Research Assistent - low rate</t>
  </si>
  <si>
    <t>Tenure Track - avr. rate</t>
  </si>
  <si>
    <t>Laboratory technician - avr. rate</t>
  </si>
  <si>
    <t>Laboratory technician - low rate</t>
  </si>
  <si>
    <t>Technician - avr. rate</t>
  </si>
  <si>
    <t>Technician - low rate</t>
  </si>
  <si>
    <t>Other TAP - avr. rate</t>
  </si>
  <si>
    <t>Other Technical assistance TAP - Coverage</t>
  </si>
  <si>
    <t>Other Technical assistance TAP - Co-financing covered by department</t>
  </si>
  <si>
    <t>Lab rent and use of equipment - Coverage</t>
  </si>
  <si>
    <t>CGB</t>
  </si>
  <si>
    <t>CROP</t>
  </si>
  <si>
    <t>JORD</t>
  </si>
  <si>
    <t>JORNÆR</t>
  </si>
  <si>
    <t>KLIMA</t>
  </si>
  <si>
    <t>Land-CRAFT</t>
  </si>
  <si>
    <t>STAB</t>
  </si>
  <si>
    <t>SYSTEM</t>
  </si>
  <si>
    <t>BSW</t>
  </si>
  <si>
    <t>CAF</t>
  </si>
  <si>
    <t>GHH</t>
  </si>
  <si>
    <t>MAMO</t>
  </si>
  <si>
    <t>MONU</t>
  </si>
  <si>
    <t>RUN</t>
  </si>
  <si>
    <t>BIO</t>
  </si>
  <si>
    <t>Building Science</t>
  </si>
  <si>
    <t>Design and Construction</t>
  </si>
  <si>
    <t>Structural Dynamics</t>
  </si>
  <si>
    <t>Structural Engineering</t>
  </si>
  <si>
    <t>CHEM</t>
  </si>
  <si>
    <t>CS</t>
  </si>
  <si>
    <t>Biomedical Engineering</t>
  </si>
  <si>
    <t>Communication, Control and Automation</t>
  </si>
  <si>
    <t>Electrical Energy Technology</t>
  </si>
  <si>
    <t>Electronics and Photonics</t>
  </si>
  <si>
    <t>Signal Processing and Machine Learning</t>
  </si>
  <si>
    <t>Software Engineering and Computing Systems</t>
  </si>
  <si>
    <t>AppMar</t>
  </si>
  <si>
    <t>ArcEco</t>
  </si>
  <si>
    <t>ArcEnv</t>
  </si>
  <si>
    <t>BioCon</t>
  </si>
  <si>
    <t>CatchEnv</t>
  </si>
  <si>
    <t>LakeEco</t>
  </si>
  <si>
    <t>MarDiv</t>
  </si>
  <si>
    <t>MarEco</t>
  </si>
  <si>
    <t>MarMam</t>
  </si>
  <si>
    <t>TerEco</t>
  </si>
  <si>
    <t>WildEco</t>
  </si>
  <si>
    <t>ATMI</t>
  </si>
  <si>
    <t>EMCIF</t>
  </si>
  <si>
    <t>ESGO</t>
  </si>
  <si>
    <t>MITO</t>
  </si>
  <si>
    <t>GEO</t>
  </si>
  <si>
    <t>INANO</t>
  </si>
  <si>
    <t>MATH</t>
  </si>
  <si>
    <t>MBG</t>
  </si>
  <si>
    <t>BiRC</t>
  </si>
  <si>
    <t>Neurobiology</t>
  </si>
  <si>
    <t>Plant Molecular Biology</t>
  </si>
  <si>
    <t>Protein Sciences</t>
  </si>
  <si>
    <t>RNA Biology and Innovation</t>
  </si>
  <si>
    <t>FLEN</t>
  </si>
  <si>
    <t>INSTITUT</t>
  </si>
  <si>
    <t>MEDY</t>
  </si>
  <si>
    <t>MEMA</t>
  </si>
  <si>
    <t>PHYS</t>
  </si>
  <si>
    <t>Aarhus Institute of Advanced Studies</t>
  </si>
  <si>
    <t>Aarhus Universitets Forskningsfond</t>
  </si>
  <si>
    <t>Flagship</t>
  </si>
  <si>
    <t>Forskningsophold i Møllehuset og Husumgade</t>
  </si>
  <si>
    <t>International mobilitet</t>
  </si>
  <si>
    <t>NOVA</t>
  </si>
  <si>
    <t>Recruiting grants</t>
  </si>
  <si>
    <t>Support for courses and group meetings Sandbjerg Estate</t>
  </si>
  <si>
    <t>Support for publications</t>
  </si>
  <si>
    <t>AU strategiske midler</t>
  </si>
  <si>
    <t>Danmarks Grundforskningsfond</t>
  </si>
  <si>
    <t>Department of Environmental Science</t>
  </si>
  <si>
    <t>Det danske SDC-sekretariat</t>
  </si>
  <si>
    <t>Forskningsrådet for Natur og Univers</t>
  </si>
  <si>
    <t>Lundbeckfonden</t>
  </si>
  <si>
    <t>LF Postdocs</t>
  </si>
  <si>
    <t>Norges Forskningsråd</t>
  </si>
  <si>
    <t>ST strategiske midler</t>
  </si>
  <si>
    <t>Danida Fellowship Centre</t>
  </si>
  <si>
    <t>Danish Centre for Environment and Energy</t>
  </si>
  <si>
    <t>Danish Diabetes Academy</t>
  </si>
  <si>
    <t>Danish e-infrastructure</t>
  </si>
  <si>
    <t>Danmarks Tekniske Universitet</t>
  </si>
  <si>
    <t>Dansk Center for Havforskning</t>
  </si>
  <si>
    <t>Dansk Energi Net</t>
  </si>
  <si>
    <t>Danske Regioner</t>
  </si>
  <si>
    <t>Energinet.dk</t>
  </si>
  <si>
    <t>Energistyrelsen</t>
  </si>
  <si>
    <t>Erhvervsstyrelsen</t>
  </si>
  <si>
    <t>Fjerkræafgiftsfonden</t>
  </si>
  <si>
    <t>Fonden for Økologisk Landbrug</t>
  </si>
  <si>
    <t>Forskningsrådet for Sundhed og Sygdom</t>
  </si>
  <si>
    <t>Forskningsrådet for Teknologi og Produktion</t>
  </si>
  <si>
    <t>Frøafgiftsfonden</t>
  </si>
  <si>
    <t>GEUS</t>
  </si>
  <si>
    <t>Grønlands Naturinstitut</t>
  </si>
  <si>
    <t>InnovationsFonden</t>
  </si>
  <si>
    <t>Kartoffelafgiftsfonden</t>
  </si>
  <si>
    <t>Københavns Universitet</t>
  </si>
  <si>
    <t>Kulturarvsstyrelsen</t>
  </si>
  <si>
    <t>Kvægafgiftsfonden</t>
  </si>
  <si>
    <t>Landbrugs- og Fiskeristyrelsen</t>
  </si>
  <si>
    <t>Mælkeafgiftsfonden</t>
  </si>
  <si>
    <t>Miljø- og Fødevareministeriet</t>
  </si>
  <si>
    <t>Miljøstyrelsen</t>
  </si>
  <si>
    <t>Nationalt Forsvarsteknologisk Center</t>
  </si>
  <si>
    <t>Naturstyrelsen</t>
  </si>
  <si>
    <t>Odense Universitetshospital</t>
  </si>
  <si>
    <t>Pelsdyrafgiftsfonden</t>
  </si>
  <si>
    <t>Planteafgiftsfonden</t>
  </si>
  <si>
    <t>Promilleafgiftsfonden for landbrug</t>
  </si>
  <si>
    <t>Råstofdirektoratet</t>
  </si>
  <si>
    <t>Region Midtjylland</t>
  </si>
  <si>
    <t>Svineafgiftsfonden</t>
  </si>
  <si>
    <t>Syddansk Universitet</t>
  </si>
  <si>
    <t>Uddannelses- og Forskningsministeriet</t>
  </si>
  <si>
    <t>Undervisningsministeriet</t>
  </si>
  <si>
    <t>Videncenter for Landbrug</t>
  </si>
  <si>
    <t>Centres of Excellence</t>
  </si>
  <si>
    <t>Chair</t>
  </si>
  <si>
    <t>Agro Business Park A/S</t>
  </si>
  <si>
    <t>Arla Foods</t>
  </si>
  <si>
    <t>BASF A/S</t>
  </si>
  <si>
    <t>Bayer A/S</t>
  </si>
  <si>
    <t>Dagmar Marshalls Fond</t>
  </si>
  <si>
    <t>Danmarks Jægerforbund</t>
  </si>
  <si>
    <t>Dansk Gartneri</t>
  </si>
  <si>
    <t>DLG Food Oil</t>
  </si>
  <si>
    <t>DONG A/S</t>
  </si>
  <si>
    <t>DOW AgroSciences</t>
  </si>
  <si>
    <t>DuPont Nutrition Biosciences ApS</t>
  </si>
  <si>
    <t>Grosserer L. F. Foghts fond</t>
  </si>
  <si>
    <t>Grundfos Management A/S</t>
  </si>
  <si>
    <t>Haldor Topsøe A/S</t>
  </si>
  <si>
    <t>Hortiadvice</t>
  </si>
  <si>
    <t>IV</t>
  </si>
  <si>
    <t>Kongskilde Industries A/S</t>
  </si>
  <si>
    <t>Kopenhagen Fur</t>
  </si>
  <si>
    <t>Mærsk Olie og Gas A/S</t>
  </si>
  <si>
    <t>Neye-Fonden</t>
  </si>
  <si>
    <t>Nordisk Avlsværdivurdering NAV</t>
  </si>
  <si>
    <t>Novo Nordisk A/S</t>
  </si>
  <si>
    <t>Novo Nordisk Fonden</t>
  </si>
  <si>
    <t>Novozymes</t>
  </si>
  <si>
    <t>R. Riisfort A/S</t>
  </si>
  <si>
    <t>SEGES P/S</t>
  </si>
  <si>
    <t>Vattenfall A/S</t>
  </si>
  <si>
    <t>Viking Genetics</t>
  </si>
  <si>
    <t>A.J. Andersen og Hustrus Fond</t>
  </si>
  <si>
    <t>A.P. Møller og Hustrus Fond</t>
  </si>
  <si>
    <t>Aage og Johanne Louis-Hansens Fond</t>
  </si>
  <si>
    <t>Aage V. Jensens Fonde</t>
  </si>
  <si>
    <t>Aase og Ejnar Danielsens Fond</t>
  </si>
  <si>
    <t>Arvid Nilssons Fond</t>
  </si>
  <si>
    <t>Augustinus Fonden</t>
  </si>
  <si>
    <t>Børnecancerfonden</t>
  </si>
  <si>
    <t>Brødrene Hartmanns fond</t>
  </si>
  <si>
    <t>Carl og Ellen Hertz' legat til Dansk Læge- og Naturvidenskab</t>
  </si>
  <si>
    <t>Conferences</t>
  </si>
  <si>
    <t>Field Trips / Research Stays at Foreign Institutions</t>
  </si>
  <si>
    <t>Internationalisation Fellowships</t>
  </si>
  <si>
    <t>Monograph Fellowships</t>
  </si>
  <si>
    <t>Publication</t>
  </si>
  <si>
    <t>Reintegration Fellowships</t>
  </si>
  <si>
    <t>Research Infrastructure</t>
  </si>
  <si>
    <t>Semper Ardens: Accelerate</t>
  </si>
  <si>
    <t>Semper Ardens: Accomplish</t>
  </si>
  <si>
    <t>Semper Ardens: Advance</t>
  </si>
  <si>
    <t>Civilingeniør Frode V. Nyegaard og Hustrus Fond</t>
  </si>
  <si>
    <t>COWIfonden</t>
  </si>
  <si>
    <t>Dansk Kræftforskningsfond</t>
  </si>
  <si>
    <t>Det Obelske Familiefond</t>
  </si>
  <si>
    <t>Direktør Emil C. Hertz og hustru Inger Hertz' Fond</t>
  </si>
  <si>
    <t>Direktør Ib Henriksens Fond</t>
  </si>
  <si>
    <t>Edith og Olfert Dines Hansens Legat</t>
  </si>
  <si>
    <t>Einar Willumsens Mindelegat</t>
  </si>
  <si>
    <t>Ellab-Fonden</t>
  </si>
  <si>
    <t>Fonden til Lægevidenskabens Fremme</t>
  </si>
  <si>
    <t>Frode V. Nyegaard Hustrus Fond</t>
  </si>
  <si>
    <t>Gigtforeningen</t>
  </si>
  <si>
    <t>Gluds legat</t>
  </si>
  <si>
    <t>Harboefonden</t>
  </si>
  <si>
    <t>Hede Nielsens Fond</t>
  </si>
  <si>
    <t>Helga og Peter Kornings Fond</t>
  </si>
  <si>
    <t>Helsefonden</t>
  </si>
  <si>
    <t>Hjerteforeningen</t>
  </si>
  <si>
    <t>Hørslev-Fonden</t>
  </si>
  <si>
    <t>Karen Elise Jensens Fond</t>
  </si>
  <si>
    <t>Knud og Edith Eriksens Mindefond</t>
  </si>
  <si>
    <t>Kong Christian den Tiendes Fond</t>
  </si>
  <si>
    <t>Kræftens Bekæmpelse</t>
  </si>
  <si>
    <t>Biological, Translational and Clinical Cancer Research</t>
  </si>
  <si>
    <t>Lauritzen Fonden</t>
  </si>
  <si>
    <t>Leo Fondet</t>
  </si>
  <si>
    <t>Collaborative Projects</t>
  </si>
  <si>
    <t>LF &amp; NIH BRAIN Initiative</t>
  </si>
  <si>
    <t>LF Ascending Investigators</t>
  </si>
  <si>
    <t>LF Experiment</t>
  </si>
  <si>
    <t>LF Fellow</t>
  </si>
  <si>
    <t>LF Professors</t>
  </si>
  <si>
    <t>Visiting Professorships</t>
  </si>
  <si>
    <t>Mejeribrugets forskningsfond</t>
  </si>
  <si>
    <t>Nordea Danmark Fonden</t>
  </si>
  <si>
    <t>Ascending Investigator within Plant Science, Agriculture and Food Biotechnology</t>
  </si>
  <si>
    <t>Challenge Programme</t>
  </si>
  <si>
    <t>Conferences and workshops</t>
  </si>
  <si>
    <t>Distinguished Innovator Grant</t>
  </si>
  <si>
    <t>Distinguished Investigator</t>
  </si>
  <si>
    <t>Emerging Investigator Grant within Plant Science, Agriculture and Food Biotechnology</t>
  </si>
  <si>
    <t>Excellence Emerging Investigator Grant within Endocrinology and Metabolism – Nordic</t>
  </si>
  <si>
    <t>Exploratory Interdisciplinary Synergy Programme</t>
  </si>
  <si>
    <t>Hallas-Møller Ascending Investigator</t>
  </si>
  <si>
    <t>Hallas-Møller Emerging Investigator</t>
  </si>
  <si>
    <t>Industrial PhD</t>
  </si>
  <si>
    <t>Interdisciplinary Synergy Programme</t>
  </si>
  <si>
    <t>NERD - New Exploratory Research and Discovery</t>
  </si>
  <si>
    <t>NNF Laureate Research Grant</t>
  </si>
  <si>
    <t>NNF Young Investigator Award</t>
  </si>
  <si>
    <t>Pioneer Innovator Grant</t>
  </si>
  <si>
    <t>Plant Science, Agriculture and Food Biotechnology - Postdoctoral Fellowships</t>
  </si>
  <si>
    <t>Postdoc Fellowships for Research Abroad, Bioscience and Basic Biomedicine</t>
  </si>
  <si>
    <t>Project Grants for research within Industrial Biotechnology and Environmental Biotechnology</t>
  </si>
  <si>
    <t>Project Grants for research within Plant Science, Agriculture and Food Biotechnology</t>
  </si>
  <si>
    <t>Project Grants in Bioscience and Basic Biomedicine</t>
  </si>
  <si>
    <t>Project Grants in Clinical and Translational Medicine</t>
  </si>
  <si>
    <t>Project Grants in Endocrinology and Metabolism – Nordic</t>
  </si>
  <si>
    <t>Project Grants in the Natural and Technical Sciences</t>
  </si>
  <si>
    <t>RECRUIT</t>
  </si>
  <si>
    <t>Oticon Fonden</t>
  </si>
  <si>
    <t>Parkinsonforeningen</t>
  </si>
  <si>
    <t>Realdania</t>
  </si>
  <si>
    <t>Riisfort Fonden</t>
  </si>
  <si>
    <t>Scleroseforeningen</t>
  </si>
  <si>
    <t>Simon Spies Fonden</t>
  </si>
  <si>
    <t>SPARK Denmark</t>
  </si>
  <si>
    <t>Torben og Alice Frimodts Fond</t>
  </si>
  <si>
    <t>Toyota-Fonden</t>
  </si>
  <si>
    <t>TrygFonden</t>
  </si>
  <si>
    <t>Hav i balance</t>
  </si>
  <si>
    <t>Major national ophthalmology projects</t>
  </si>
  <si>
    <t>Young Investigator</t>
  </si>
  <si>
    <t>International Postdoc</t>
  </si>
  <si>
    <t>Professorships</t>
  </si>
  <si>
    <t>Vissing Fonden</t>
  </si>
  <si>
    <t>BONUS Science for a better</t>
  </si>
  <si>
    <t>European Defence Fund</t>
  </si>
  <si>
    <t>Horizon Europe Other</t>
  </si>
  <si>
    <t>International Collaborations</t>
  </si>
  <si>
    <t>Horizon Europe Pillar I Excellent Science ERC</t>
  </si>
  <si>
    <t>Consolidator Grant</t>
  </si>
  <si>
    <t>Proof of Concept</t>
  </si>
  <si>
    <t>Starting Grant</t>
  </si>
  <si>
    <t>Synergy Grant</t>
  </si>
  <si>
    <t>Horizon Europe Pillar I Excellent Science MSCA</t>
  </si>
  <si>
    <t>Horizon Europe Pillar I Excellent Science Other</t>
  </si>
  <si>
    <t>Horizon Europe Pillar II Global Challenges</t>
  </si>
  <si>
    <t>Horizon Europe Pillar III Innovative Europe</t>
  </si>
  <si>
    <t>Lund University</t>
  </si>
  <si>
    <t>Alexion Pharmaceuticals</t>
  </si>
  <si>
    <t>Bayer AB</t>
  </si>
  <si>
    <t>Cobb-Vantress Incorporated</t>
  </si>
  <si>
    <t>GENO SA</t>
  </si>
  <si>
    <t>Google</t>
  </si>
  <si>
    <t>Innovation Marketing Adisseo, France SAS</t>
  </si>
  <si>
    <t>Lantmännen Food R&amp;D</t>
  </si>
  <si>
    <t>Microsoft</t>
  </si>
  <si>
    <t>Novo Nordisk Scandinavia AB</t>
  </si>
  <si>
    <t>Actinobac Biomed Inc.</t>
  </si>
  <si>
    <t>Faunafonds</t>
  </si>
  <si>
    <t>Fondation Idella</t>
  </si>
  <si>
    <t>HKR Hogskolan Kristianstad</t>
  </si>
  <si>
    <t>Human Frontier Science Program Organization</t>
  </si>
  <si>
    <t>ITI Foundation</t>
  </si>
  <si>
    <t>John Templeton Foundation</t>
  </si>
  <si>
    <t>Nordic Cancer Union</t>
  </si>
  <si>
    <t>NOVA University Network</t>
  </si>
  <si>
    <t>Progeria Research Foundation</t>
  </si>
  <si>
    <t>Vlaams Instituut voor de Zee</t>
  </si>
  <si>
    <t>Volkswagen Stiftung</t>
  </si>
  <si>
    <t>ASC Utrecht University</t>
  </si>
  <si>
    <t>European Space Agency</t>
  </si>
  <si>
    <t>NordForsk (Norden)</t>
  </si>
  <si>
    <t>Nordisk Kulturfond</t>
  </si>
  <si>
    <t>Nordisk Ministerråd</t>
  </si>
  <si>
    <t>Nordregio</t>
  </si>
  <si>
    <t>Office of Naval Research</t>
  </si>
  <si>
    <t>Forskningsrådet for Kultur og Kommunikation</t>
  </si>
  <si>
    <t>Research projects 1</t>
  </si>
  <si>
    <t>Research projects 2</t>
  </si>
  <si>
    <t>Sapere Aude: DFF Starting Grant</t>
  </si>
  <si>
    <t>Forskningsrådet for Samfund og Erhverv</t>
  </si>
  <si>
    <t>Tematisk Forskning</t>
  </si>
  <si>
    <t>Digitale teknologier</t>
  </si>
  <si>
    <t>Grøn forskning</t>
  </si>
  <si>
    <t>Tidlig indsats</t>
  </si>
  <si>
    <t>Industrial Postdoc</t>
  </si>
  <si>
    <t>InnoBooster</t>
  </si>
  <si>
    <t>InnoExplorer</t>
  </si>
  <si>
    <t>Innomission</t>
  </si>
  <si>
    <t>AUID</t>
  </si>
  <si>
    <r>
      <t>Is the project GDPR related</t>
    </r>
    <r>
      <rPr>
        <b/>
        <sz val="10"/>
        <color rgb="FFFF0000"/>
        <rFont val="Arial"/>
        <family val="2"/>
      </rPr>
      <t>*</t>
    </r>
  </si>
  <si>
    <t>EBIT</t>
  </si>
  <si>
    <t>If Project Kind is Indtægtsdækket Virksomhed choose 2</t>
  </si>
  <si>
    <t>Does AU have a monopoly on the activity</t>
  </si>
  <si>
    <t>Has the activity been put out to tender</t>
  </si>
  <si>
    <t>Alice Mørup</t>
  </si>
  <si>
    <t>Anita Porsdal</t>
  </si>
  <si>
    <t>Astrid Hulgaard Jørgensen</t>
  </si>
  <si>
    <t>Britt Sønberg Vilstrup</t>
  </si>
  <si>
    <t>Britta Breinbjerg Andersen</t>
  </si>
  <si>
    <t>Carsten Sødrup</t>
  </si>
  <si>
    <t>Christina Mangaard Jørgensen</t>
  </si>
  <si>
    <t>Dorte Fink Pedersen</t>
  </si>
  <si>
    <t>Dorte Sørensen</t>
  </si>
  <si>
    <t>Esben Christiansen</t>
  </si>
  <si>
    <t>Hanne Amtrup</t>
  </si>
  <si>
    <t>Helle Holmberg</t>
  </si>
  <si>
    <t>Helle Vestrup</t>
  </si>
  <si>
    <t>Henrik Wrem</t>
  </si>
  <si>
    <t>Iben Barbara Krog</t>
  </si>
  <si>
    <t>Jacob Damgaard Nielsen</t>
  </si>
  <si>
    <t>Jakob Steen Olesen</t>
  </si>
  <si>
    <t>Jeanett Lehd Busk Frederiksen</t>
  </si>
  <si>
    <t>Joakim Vestergaard</t>
  </si>
  <si>
    <t>Jonas Secher</t>
  </si>
  <si>
    <t>Julie Green Christensen</t>
  </si>
  <si>
    <t>Kenneth Pilgaard Søjberg</t>
  </si>
  <si>
    <t>Kent Rævsgaard Trab</t>
  </si>
  <si>
    <t>Kim Byrialsen Hovgaard</t>
  </si>
  <si>
    <t>Kristian Pedersen</t>
  </si>
  <si>
    <t>Lea Sass Otte</t>
  </si>
  <si>
    <t>Lene Fuglsang</t>
  </si>
  <si>
    <t>Lene Høgenhof Kristensen</t>
  </si>
  <si>
    <t>Line Sørensen</t>
  </si>
  <si>
    <t>Maja Bay Christiansen</t>
  </si>
  <si>
    <t>Majbritt Andersen</t>
  </si>
  <si>
    <t>Maria Norup Maarbjerg</t>
  </si>
  <si>
    <t>Merete Kamp Mailloux</t>
  </si>
  <si>
    <t>Mie Gaardsted Nielsen</t>
  </si>
  <si>
    <t>Nanna Lehmann Brundtø</t>
  </si>
  <si>
    <t>Natalja Kamaltdinova Hansen</t>
  </si>
  <si>
    <t>Naveen Surendran Pulendran</t>
  </si>
  <si>
    <t>Nelly Schack Nielsen</t>
  </si>
  <si>
    <t>Pernille Leth Stentov</t>
  </si>
  <si>
    <t>Pia Merethe Nissen</t>
  </si>
  <si>
    <t>Rana Elahmad</t>
  </si>
  <si>
    <t>Rebekka Jacobsen</t>
  </si>
  <si>
    <t>Rikke Schultz Gjerulff</t>
  </si>
  <si>
    <t>Susanna Holm Nielsen</t>
  </si>
  <si>
    <t>Susanne Dahl</t>
  </si>
  <si>
    <t>Susanne Høj</t>
  </si>
  <si>
    <t>Susanne Vestergaard Nielsen</t>
  </si>
  <si>
    <t>Thomas Ramlov</t>
  </si>
  <si>
    <t>Tina Torp Andersen</t>
  </si>
  <si>
    <t>Trine Rom Engholm</t>
  </si>
  <si>
    <t>If no, please type the name of the coordinator</t>
  </si>
  <si>
    <t>Project Overhead &amp; Cost Coverage</t>
  </si>
  <si>
    <t>External funding(Incl. coverage)</t>
  </si>
  <si>
    <t>Co-financing(department and external)</t>
  </si>
  <si>
    <t>Total budget to the dept. (incl. co-financing)</t>
  </si>
  <si>
    <t>Salary and operations excl. External assistance/consultants</t>
  </si>
  <si>
    <r>
      <t>Project supplement or Bench Fee:</t>
    </r>
    <r>
      <rPr>
        <b/>
        <sz val="10"/>
        <color rgb="FFFF0000"/>
        <rFont val="Arial"/>
        <family val="2"/>
      </rPr>
      <t>*</t>
    </r>
  </si>
  <si>
    <t>Department co-financing</t>
  </si>
  <si>
    <t>Applicant AUID</t>
  </si>
  <si>
    <t>Grant Source</t>
  </si>
  <si>
    <t>Project Title</t>
  </si>
  <si>
    <t>Project Kind</t>
  </si>
  <si>
    <t>GDPR</t>
  </si>
  <si>
    <t>Application
date</t>
  </si>
  <si>
    <t>Next update
expected</t>
  </si>
  <si>
    <t>Applied amount total,
incl. partners and overhead</t>
  </si>
  <si>
    <t>Applied amount to the dept.,
incl. overhead</t>
  </si>
  <si>
    <t>Overhead percentage</t>
  </si>
  <si>
    <t>Approved by
head of dept.</t>
  </si>
  <si>
    <t>Co-financing covered by other external funding</t>
  </si>
  <si>
    <t>YES</t>
  </si>
  <si>
    <t>Co-financing from department</t>
  </si>
  <si>
    <t>Emoji money</t>
  </si>
  <si>
    <t>Salary budget VIP/TAP</t>
  </si>
  <si>
    <r>
      <t>Grant Source:</t>
    </r>
    <r>
      <rPr>
        <b/>
        <sz val="10"/>
        <color rgb="FFFF0000"/>
        <rFont val="Arial"/>
        <family val="2"/>
      </rPr>
      <t>*</t>
    </r>
  </si>
  <si>
    <t>Department Co-financing (excl. overhead)</t>
  </si>
  <si>
    <t>AUD</t>
  </si>
  <si>
    <t>Australian dollars</t>
  </si>
  <si>
    <t>BRL</t>
  </si>
  <si>
    <t>Brazilian real</t>
  </si>
  <si>
    <t>CAD</t>
  </si>
  <si>
    <t>Canadian dollars</t>
  </si>
  <si>
    <t>CNY</t>
  </si>
  <si>
    <t>Chinese yuan renminbi</t>
  </si>
  <si>
    <t>CZK</t>
  </si>
  <si>
    <t>Czech koruny</t>
  </si>
  <si>
    <t>Euro</t>
  </si>
  <si>
    <t>HKD</t>
  </si>
  <si>
    <t>Hong Kong dollars</t>
  </si>
  <si>
    <t>HUF</t>
  </si>
  <si>
    <t>Hungarian forints</t>
  </si>
  <si>
    <t>ISK</t>
  </si>
  <si>
    <t>Icelandic kronur</t>
  </si>
  <si>
    <t>INR</t>
  </si>
  <si>
    <t>Indian rupee</t>
  </si>
  <si>
    <t>IDR</t>
  </si>
  <si>
    <t>Indonesian rupiah</t>
  </si>
  <si>
    <t>ILS</t>
  </si>
  <si>
    <t>Israeli shekel</t>
  </si>
  <si>
    <t>JPY</t>
  </si>
  <si>
    <t>Japanese yen</t>
  </si>
  <si>
    <t>MYR</t>
  </si>
  <si>
    <t>Malaysian ringgit</t>
  </si>
  <si>
    <t>MXN</t>
  </si>
  <si>
    <t>Mexican peso</t>
  </si>
  <si>
    <t>NZD</t>
  </si>
  <si>
    <t>New Zealand dollars</t>
  </si>
  <si>
    <t>Norwegian kroner</t>
  </si>
  <si>
    <t>PHP</t>
  </si>
  <si>
    <t>Philippine peso</t>
  </si>
  <si>
    <t>PLN</t>
  </si>
  <si>
    <t>Polish zlotys</t>
  </si>
  <si>
    <t>GBP</t>
  </si>
  <si>
    <t>Pounds sterling</t>
  </si>
  <si>
    <t>RON</t>
  </si>
  <si>
    <t>Romanian leu</t>
  </si>
  <si>
    <t>XDR</t>
  </si>
  <si>
    <t>SDR (Calculated)</t>
  </si>
  <si>
    <t>SGD</t>
  </si>
  <si>
    <t>Singapore dollars</t>
  </si>
  <si>
    <t>ZAR</t>
  </si>
  <si>
    <t>South African rand</t>
  </si>
  <si>
    <t>KRW</t>
  </si>
  <si>
    <t>South Korean won</t>
  </si>
  <si>
    <t>Swedish kronor</t>
  </si>
  <si>
    <t>CHF</t>
  </si>
  <si>
    <t>Swiss francs</t>
  </si>
  <si>
    <t>THB</t>
  </si>
  <si>
    <t>Thai baht</t>
  </si>
  <si>
    <t>TRY</t>
  </si>
  <si>
    <t>Turkish lira</t>
  </si>
  <si>
    <t>US dollars</t>
  </si>
  <si>
    <t>currency.code</t>
  </si>
  <si>
    <t>currency.name</t>
  </si>
  <si>
    <t>currency.rate</t>
  </si>
  <si>
    <t>LastUpdated</t>
  </si>
  <si>
    <t>Workzone number (if already created)</t>
  </si>
  <si>
    <t xml:space="preserve">Project Co-financing </t>
  </si>
  <si>
    <t>Project Co-financing</t>
  </si>
  <si>
    <t>Beskrivelse</t>
  </si>
  <si>
    <t>Grant holder</t>
  </si>
  <si>
    <t>Insert overheads rate</t>
  </si>
  <si>
    <t>Insert yearly count of hours</t>
  </si>
  <si>
    <t>Overhead calculation basis</t>
  </si>
  <si>
    <t>Calculate tehcnical assis</t>
  </si>
  <si>
    <t>Is the project GDPR related</t>
  </si>
  <si>
    <t>EBIT(Only relevant if Grant Source="Indtægtsdækket Virks…..")</t>
  </si>
  <si>
    <t>Choose VIP/TAP and insert court of months</t>
  </si>
  <si>
    <t>Other Technical assistance TAP - Co-financing covered by department/external funding</t>
  </si>
  <si>
    <t>Laboratory support</t>
  </si>
  <si>
    <t>VIP-salary and TAP salary</t>
  </si>
  <si>
    <t>- VIP-salary total</t>
  </si>
  <si>
    <t>- TAP-salary total</t>
  </si>
  <si>
    <t>- Operations total</t>
  </si>
  <si>
    <t>- Overhead</t>
  </si>
  <si>
    <t>- Bench fee</t>
  </si>
  <si>
    <t>- Project supplement</t>
  </si>
  <si>
    <t>- EBIT</t>
  </si>
  <si>
    <t>Cover Letter</t>
  </si>
  <si>
    <t>AU-ID</t>
  </si>
  <si>
    <t>Applied amount total incl. partners and overheadq</t>
  </si>
  <si>
    <t xml:space="preserve">Applied amount to the dept. incl overhead </t>
  </si>
  <si>
    <t>Overhead/project supplement/Bench fee</t>
  </si>
  <si>
    <t>Cost Coverage Salary</t>
  </si>
  <si>
    <t>Department co financing salary</t>
  </si>
  <si>
    <t>Department co financing others</t>
  </si>
  <si>
    <t>(Dept. co-financing salary+Dept. co-financing others)/Total budget (incl. overhead)</t>
  </si>
  <si>
    <t xml:space="preserve">Project Overhead &amp; Cost Coverage
</t>
  </si>
  <si>
    <r>
      <t xml:space="preserve">
</t>
    </r>
    <r>
      <rPr>
        <sz val="8"/>
        <rFont val="Verdana"/>
        <family val="2"/>
      </rPr>
      <t>This indicator focuses solely on the project's core budget. 
Formel: Overhead/Projectsupplement/BenchFee+Cost Covarage salary+Cost Coverage others-Dept. co-financing salary-Dept. co-financing others)/(Applied amount to the dept. incl. Overhead-Overhead/Projectsupplement/BenchFee+Cost Covarage salary+Cost Coverage others+Department co-financing salary+Department co-financing others)</t>
    </r>
  </si>
  <si>
    <t xml:space="preserve">Core Project Ratio
</t>
  </si>
  <si>
    <t>This indicator focuses solely on the project's core budget.
Formlen: (Overhead/Projectsupplement/BenchFee+PhDtuitionFee to dept.-Dept. co-financing salary-Dept. co-financing others-Co-financing of the difference in hours-Depreciation covered by dept….)/Applied amount to the dept. incl. overhead</t>
  </si>
  <si>
    <t xml:space="preserve">Cost Coverage Ratio (Department Level)
</t>
  </si>
  <si>
    <r>
      <t>This indicator includes coverage for permanent VIP/TAP staff but excludes co-financing for permanent VIP/TAP staff
Formlen:</t>
    </r>
    <r>
      <rPr>
        <b/>
        <sz val="10"/>
        <color theme="1"/>
        <rFont val="Calibri"/>
        <family val="2"/>
        <scheme val="minor"/>
      </rPr>
      <t xml:space="preserve"> </t>
    </r>
    <r>
      <rPr>
        <sz val="10"/>
        <color theme="1"/>
        <rFont val="Calibri"/>
        <family val="2"/>
        <scheme val="minor"/>
      </rPr>
      <t>(Overhead/Projectsupplement/+BenchFee+Cost Coverage salary+Cost Coverage others+PhDtuitionFee to dept.-Dept. co-financing salary-Dept. co-financing others-Co-financing of the difference in hours-Depreciation covered by dept...)/Applied amount to the dept. incl. overhead</t>
    </r>
  </si>
  <si>
    <t xml:space="preserve">Cost Coverage Ratio (Project Level)
</t>
  </si>
  <si>
    <r>
      <t xml:space="preserve">
</t>
    </r>
    <r>
      <rPr>
        <sz val="8"/>
        <rFont val="Verdana"/>
        <family val="2"/>
      </rPr>
      <t>This indicator includes both the coverage for permanent VIP/TAP staff and co-financing for permanent VIP/TAP staff
Formlen: (Overhead/Projectsupplement/BenchFee+Cost Coverage Salary+Cost Coverage Others+PhDtuitionFee to department-Dept. co-financing others-Cofinancing of the difference in hours-Depreciation covered by dept...)/Applied amount to the dept. incl. overhead</t>
    </r>
  </si>
  <si>
    <t>Andet</t>
  </si>
  <si>
    <t>Kostpriser</t>
  </si>
  <si>
    <t>Lab rent and use of equipment - Co-financing covered by department</t>
  </si>
  <si>
    <t>If yes, provide a brief explanation of why 
AU has a monopoly on the activity. EBIT is changed to 0%</t>
  </si>
  <si>
    <t>Research Director - avr. rate</t>
  </si>
  <si>
    <t>Research Director - high rate</t>
  </si>
  <si>
    <t>Professor - avr. rate</t>
  </si>
  <si>
    <t>Professor - high rate</t>
  </si>
  <si>
    <t>Secretary</t>
  </si>
  <si>
    <t xml:space="preserve">Laboratory Support </t>
  </si>
  <si>
    <t xml:space="preserve">Overhead procent </t>
  </si>
  <si>
    <t>EBIT margen</t>
  </si>
  <si>
    <t>Monopol</t>
  </si>
  <si>
    <t>Totalt timeforbrug</t>
  </si>
  <si>
    <t>Direkte lønomkostninger</t>
  </si>
  <si>
    <t>Indirekte omkostninger</t>
  </si>
  <si>
    <t>Driftsomkostninger</t>
  </si>
  <si>
    <t>Aftalt pris</t>
  </si>
  <si>
    <t xml:space="preserve">Forventet resultat </t>
  </si>
  <si>
    <t>Videreforsendelse til partner</t>
  </si>
  <si>
    <t>Data til projektenheden</t>
  </si>
  <si>
    <t>Choose Currency</t>
  </si>
  <si>
    <t>PLEASE FILL THE GREEN CELLS</t>
  </si>
  <si>
    <t>Date/Name:</t>
  </si>
  <si>
    <t>Name (ReAp)</t>
  </si>
  <si>
    <t>Name(ReAp)</t>
  </si>
  <si>
    <t>Experiements(Fields, Barn, Workshops)- budget cleared with manager (Yes/No)
(Only relevant for ANIVET and AGRO)</t>
  </si>
  <si>
    <r>
      <t>Applicant:</t>
    </r>
    <r>
      <rPr>
        <b/>
        <sz val="10"/>
        <color rgb="FFFF0000"/>
        <rFont val="Arial"/>
        <family val="2"/>
      </rPr>
      <t>*</t>
    </r>
  </si>
  <si>
    <t>Applicant name</t>
  </si>
  <si>
    <t>Associate Professor - high rate</t>
  </si>
  <si>
    <t>Associate Professor - avr. rate</t>
  </si>
  <si>
    <t>Senior Researcher - high rate</t>
  </si>
  <si>
    <t>Senior Researcher - avr. rate</t>
  </si>
  <si>
    <t>Assistant Professor</t>
  </si>
  <si>
    <r>
      <t xml:space="preserve">Cost Coverage Ratio (Department Level)
</t>
    </r>
    <r>
      <rPr>
        <sz val="8"/>
        <rFont val="Verdana"/>
        <family val="2"/>
      </rPr>
      <t>This indicator includes both the coverage for permanent VIP/TAP staff and co-financing for permanent VIP/TAP staff</t>
    </r>
  </si>
  <si>
    <r>
      <t xml:space="preserve">Cost Coverage Ratio (Project Level)
</t>
    </r>
    <r>
      <rPr>
        <sz val="8"/>
        <rFont val="Verdana"/>
        <family val="2"/>
      </rPr>
      <t>This indicator includes coverage for permanent VIP/TAP staff but excludes co-financing for permanent VIP/TAP staff</t>
    </r>
  </si>
  <si>
    <t>Technical ass calculation basis</t>
  </si>
  <si>
    <t>OH calculation basis</t>
  </si>
  <si>
    <r>
      <t>Calculate technical ass. basis:</t>
    </r>
    <r>
      <rPr>
        <b/>
        <sz val="10"/>
        <color rgb="FFFF0000"/>
        <rFont val="Arial"/>
        <family val="2"/>
      </rPr>
      <t>*</t>
    </r>
  </si>
  <si>
    <t>If Project Kind is commercial activity choose 2</t>
  </si>
  <si>
    <t>Is the activity a direct extension of the departments core activity?</t>
  </si>
  <si>
    <t>Total  cost</t>
  </si>
  <si>
    <t>ALL budgets</t>
  </si>
  <si>
    <t>B1</t>
  </si>
  <si>
    <t>B2</t>
  </si>
  <si>
    <t>B3</t>
  </si>
  <si>
    <t>B4</t>
  </si>
  <si>
    <t>B5</t>
  </si>
  <si>
    <t>Is Applicant main coordinator of the project</t>
  </si>
  <si>
    <t>Projekttillæg Ja/Nej</t>
  </si>
  <si>
    <t>Long name</t>
  </si>
  <si>
    <t>Department of Agroecology</t>
  </si>
  <si>
    <t>Department of Animal and Veterinary Sciences</t>
  </si>
  <si>
    <t>Department of Biological and Chemical Engineering</t>
  </si>
  <si>
    <t>Department of Civil and Architectural Engineering</t>
  </si>
  <si>
    <t>Danish Centre for Food and Agriculture</t>
  </si>
  <si>
    <t>Department of Electrical and Computer Engineering</t>
  </si>
  <si>
    <t>Department of Ecoscience</t>
  </si>
  <si>
    <t>Department of Food Science</t>
  </si>
  <si>
    <t>International Centre for Research in Organic Food Systems</t>
  </si>
  <si>
    <t>Department of Mechanical and Production Engineering</t>
  </si>
  <si>
    <t>Center for Quantitative Genetics and Genomics</t>
  </si>
  <si>
    <t>Aarhus Universitetshospital</t>
  </si>
  <si>
    <t>Agouron Institute</t>
  </si>
  <si>
    <t>AgroParisTech</t>
  </si>
  <si>
    <t>Aliophtha A/S</t>
  </si>
  <si>
    <t>Alzheimer's Association</t>
  </si>
  <si>
    <t>Apple EMEIA Accounts payable</t>
  </si>
  <si>
    <t>Arcedi Biotech ApS</t>
  </si>
  <si>
    <t>Arts &amp; Humanities Research Council</t>
  </si>
  <si>
    <t>Autism Speaks</t>
  </si>
  <si>
    <t>BRGM</t>
  </si>
  <si>
    <t>Bill and Melinda Gates Foundation</t>
  </si>
  <si>
    <t>Brain&amp;Behavior Research Found</t>
  </si>
  <si>
    <t>CIMO</t>
  </si>
  <si>
    <t>Carlsberg Laboratory</t>
  </si>
  <si>
    <t>Choise Pharma</t>
  </si>
  <si>
    <t>Civilstyrelsen</t>
  </si>
  <si>
    <t>Climate Change AI</t>
  </si>
  <si>
    <t>Colgate-Palmolive A/S</t>
  </si>
  <si>
    <t>DERMADIS</t>
  </si>
  <si>
    <t>Danmarks Lungeforening</t>
  </si>
  <si>
    <t>Dansk Akvakultur</t>
  </si>
  <si>
    <t>Den Grønlandske Fond</t>
  </si>
  <si>
    <t>Dentosolve</t>
  </si>
  <si>
    <t>Diabetesforeningen</t>
  </si>
  <si>
    <t>Diet4life ApS</t>
  </si>
  <si>
    <t>Direktør Kurt Bønnelycke og hustru fru Grethe Bønnelyckes Fond</t>
  </si>
  <si>
    <t>ELCA Justice for Women</t>
  </si>
  <si>
    <t>EPA</t>
  </si>
  <si>
    <t>ESPU Administrative Coordinator</t>
  </si>
  <si>
    <t>Edward G. Johnson Fond</t>
  </si>
  <si>
    <t>Ekspeditionssekretær, cand. Jur. Torkil Steenbecks Legat</t>
  </si>
  <si>
    <t>European Foundation for the Study of Diabetes</t>
  </si>
  <si>
    <t>European Fur Breeders Ass.</t>
  </si>
  <si>
    <t>European Orthodontic Society</t>
  </si>
  <si>
    <t>European Skin Research Foundation</t>
  </si>
  <si>
    <t>European Spallation Source ESS AB</t>
  </si>
  <si>
    <t>Europlace Institute of Finance</t>
  </si>
  <si>
    <t>Federation of European Biochemical Societies</t>
  </si>
  <si>
    <t>Ferring Pharmaceuticals A/S</t>
  </si>
  <si>
    <t>Fondation Francois Sommer</t>
  </si>
  <si>
    <t>Fondation Leducq</t>
  </si>
  <si>
    <t>Fonden for Almen Praksis</t>
  </si>
  <si>
    <t>Fonden for Neurologisk Forskning</t>
  </si>
  <si>
    <t>Frichs A/S</t>
  </si>
  <si>
    <t>Fritz Thyssen Stiftung</t>
  </si>
  <si>
    <t>Gartneriet PKM A/S</t>
  </si>
  <si>
    <t>Geoscience Australia, Symonston, ACT 2609 Australia</t>
  </si>
  <si>
    <t>Global Biodiversity Facility</t>
  </si>
  <si>
    <t>Hilde Lund</t>
  </si>
  <si>
    <t>Hildur og Dagny Jakobsens Mindefond</t>
  </si>
  <si>
    <t>Idemitsu Petroleum Norge AS</t>
  </si>
  <si>
    <t>IfaÖ</t>
  </si>
  <si>
    <t>International Labour Office</t>
  </si>
  <si>
    <t>International Medical Geology Association</t>
  </si>
  <si>
    <t>International Registry of Pathology</t>
  </si>
  <si>
    <t>International Society for Pharmacoepidemiology</t>
  </si>
  <si>
    <t>InvivoGen SAS</t>
  </si>
  <si>
    <t>It-Vest</t>
  </si>
  <si>
    <t>Jascha Fonden</t>
  </si>
  <si>
    <t>Jenny and Anttik Wihuri foundation</t>
  </si>
  <si>
    <t>Kilian Water ApS</t>
  </si>
  <si>
    <t>Kirstens Anthonius Legat</t>
  </si>
  <si>
    <t>Klelund ApS</t>
  </si>
  <si>
    <t>Krista og Viggo Petersen Fond</t>
  </si>
  <si>
    <t>Kungl. Gustav Adolfs Akademien</t>
  </si>
  <si>
    <t>LIFE 2021-2027</t>
  </si>
  <si>
    <t>Lantbrukarnas Ekonomi AB</t>
  </si>
  <si>
    <t>Letterstedtska Foreningen</t>
  </si>
  <si>
    <t>Lundbeck A/S</t>
  </si>
  <si>
    <t>Læge Sofus Carl Emil Friis og hustru Olga Doris Friis' Legat</t>
  </si>
  <si>
    <t>Lægeforeningens Forskningsfond</t>
  </si>
  <si>
    <t>MADE foreningen</t>
  </si>
  <si>
    <t>Maria Dorthea og Holger From, Haderslevs Fond</t>
  </si>
  <si>
    <t>Marianne och Marcus Wallenbergs Stiftelse</t>
  </si>
  <si>
    <t>Marida Bennedetti</t>
  </si>
  <si>
    <t>Marie Borghild Bach</t>
  </si>
  <si>
    <t>Martha og Paul Kerrn-Jespersens fond</t>
  </si>
  <si>
    <t>Mizutani Foundation for glycoscience</t>
  </si>
  <si>
    <t>NCU</t>
  </si>
  <si>
    <t>Nebraska University</t>
  </si>
  <si>
    <t>Nokia Group</t>
  </si>
  <si>
    <t>Nordic Mining ASA</t>
  </si>
  <si>
    <t>Norges Geotekniske Institutt</t>
  </si>
  <si>
    <t>Norsk Forfattersentrum</t>
  </si>
  <si>
    <t>Norwegian University of Life Sciences</t>
  </si>
  <si>
    <t>Open Society Foundation</t>
  </si>
  <si>
    <t>Osteology Foundation</t>
  </si>
  <si>
    <t>Peace Research Institute Oslo</t>
  </si>
  <si>
    <t>Pearson Assessment and information AB</t>
  </si>
  <si>
    <t>Photocure ASA</t>
  </si>
  <si>
    <t>Plant Bioscience Limited</t>
  </si>
  <si>
    <t>Plant2food</t>
  </si>
  <si>
    <t>Povl M. Assens Fond</t>
  </si>
  <si>
    <t>Region Nordjylland</t>
  </si>
  <si>
    <t>Regionshospitalet Herning</t>
  </si>
  <si>
    <t>Riksbankens Jubileumsfond</t>
  </si>
  <si>
    <t>Rockwool Fonden</t>
  </si>
  <si>
    <t>Rosalie Petersens Fond</t>
  </si>
  <si>
    <t>Royal Norwegian</t>
  </si>
  <si>
    <t>Sanofi Genzyme</t>
  </si>
  <si>
    <t>Shionogi &amp; Co. LTD</t>
  </si>
  <si>
    <t>Snorrastofa</t>
  </si>
  <si>
    <t>Society for the Study Inborn</t>
  </si>
  <si>
    <t>Stanley Foundation Research Awards Program</t>
  </si>
  <si>
    <t>Statens serum institut</t>
  </si>
  <si>
    <t>Stichting Deltares</t>
  </si>
  <si>
    <t>Stiftelsen Clara Lachmanns Fond</t>
  </si>
  <si>
    <t>Stiftelsen Norsk institutt for studier av forsknin</t>
  </si>
  <si>
    <t>Stiftelsen Åforsk</t>
  </si>
  <si>
    <t>Sunstar Suisse SA</t>
  </si>
  <si>
    <t>Tandlægeforeningen</t>
  </si>
  <si>
    <t>Team Danmark</t>
  </si>
  <si>
    <t>Telormedix</t>
  </si>
  <si>
    <t>The American Cleaning Institute</t>
  </si>
  <si>
    <t>The Amoyotrophic Lateral Sclerosis Association</t>
  </si>
  <si>
    <t>The Endocrine Society</t>
  </si>
  <si>
    <t>The Hans Rausing Endangered Languages Project</t>
  </si>
  <si>
    <t>The John and Birthe Meyer Foundation</t>
  </si>
  <si>
    <t>The Laerdal Foundation for Acute Medicine</t>
  </si>
  <si>
    <t>The Thailand Research Fund</t>
  </si>
  <si>
    <t>The University of North Carolina at Chapel Hill</t>
  </si>
  <si>
    <t>The Wenner-Gren Foundation</t>
  </si>
  <si>
    <t>The Woods hole oceanographic institution</t>
  </si>
  <si>
    <t>The World Bank Group</t>
  </si>
  <si>
    <t>Thomas B. Thrige Fonden</t>
  </si>
  <si>
    <t>Ultragenyx Pharmaceutical Inc.</t>
  </si>
  <si>
    <t>Unilever Danmark A/S</t>
  </si>
  <si>
    <t>University of Wyoming</t>
  </si>
  <si>
    <t>Universum Communications</t>
  </si>
  <si>
    <t>VMware Foundation</t>
  </si>
  <si>
    <t>VOFO Voksenopplæringsforbundet</t>
  </si>
  <si>
    <t>Via University College</t>
  </si>
  <si>
    <t>Videncenter f. Svineproduktion</t>
  </si>
  <si>
    <t>Videreuddannelsregion Nord</t>
  </si>
  <si>
    <t>Vilhelm Pedersen og Hustrus Mindelegat</t>
  </si>
  <si>
    <t>Vækstforum Sjælland</t>
  </si>
  <si>
    <t>amfAR, The Foundation for AIDS Research</t>
  </si>
  <si>
    <t>GrantSource</t>
  </si>
  <si>
    <t>GROW</t>
  </si>
  <si>
    <t>Danish ERC-programme</t>
  </si>
  <si>
    <t>Pre-graduate scholarship</t>
  </si>
  <si>
    <t>Clinician scientist position</t>
  </si>
  <si>
    <t>Mennesker og samfund</t>
  </si>
  <si>
    <t>Læring og uddannelseskvalitet</t>
  </si>
  <si>
    <t>InnoFounder</t>
  </si>
  <si>
    <t>PhD Scholarships</t>
  </si>
  <si>
    <t>Postdoctoral Fellowships</t>
  </si>
  <si>
    <t>Workshops</t>
  </si>
  <si>
    <t>Research projects and research positions</t>
  </si>
  <si>
    <t>Brief scholarships</t>
  </si>
  <si>
    <t>Senior scholarships</t>
  </si>
  <si>
    <t>Pre-graduate scholarships</t>
  </si>
  <si>
    <t>Fleksible ph.d.-forløb</t>
  </si>
  <si>
    <t>Hejmdal lokaleleje</t>
  </si>
  <si>
    <t>Other Postdoctoral Fellowships</t>
  </si>
  <si>
    <t>Special Research Projects</t>
  </si>
  <si>
    <t>Visiting Fellowships at University of Oxford</t>
  </si>
  <si>
    <t>Projects</t>
  </si>
  <si>
    <t>Postdoc scholarships</t>
  </si>
  <si>
    <t>Part time postdoc scholarships</t>
  </si>
  <si>
    <t>PhD scholarships</t>
  </si>
  <si>
    <t>Psychosocial and Epidemiological Cancer Research</t>
  </si>
  <si>
    <t>NCU - Nordic Cancer Union</t>
  </si>
  <si>
    <t>Knæk Cancer</t>
  </si>
  <si>
    <t>Congresses and Symposiums</t>
  </si>
  <si>
    <t>Johannes Clemmesen Research Fund</t>
  </si>
  <si>
    <t>Spogårds Family Fund</t>
  </si>
  <si>
    <t>Larger international meetings and conferences</t>
  </si>
  <si>
    <t>LF Pre-Graduate Scholarships</t>
  </si>
  <si>
    <t>Stipends for Sabbatical Leave</t>
  </si>
  <si>
    <t>Travel Stipends</t>
  </si>
  <si>
    <t>Borregaard Clinical Ascending Investigator</t>
  </si>
  <si>
    <t>Clinical Distinguished Investigator</t>
  </si>
  <si>
    <t>Clinical Emerging Investigator</t>
  </si>
  <si>
    <t>Distinguished Investigator Grant within Endocrinology and Metabolism – Nordic</t>
  </si>
  <si>
    <t>Investigator Initiated Clinical Trials</t>
  </si>
  <si>
    <t>PhD Scholarships in Nursing Research</t>
  </si>
  <si>
    <t>Postdoc Fellowships in Nursing Research</t>
  </si>
  <si>
    <t>Project Grants for Clinical Nursing Research</t>
  </si>
  <si>
    <t>RECRUIT Sabbatical</t>
  </si>
  <si>
    <t>Research Grants in General Practice</t>
  </si>
  <si>
    <t>Start Package Grants</t>
  </si>
  <si>
    <t>STENO Collaborative Grants</t>
  </si>
  <si>
    <t>Postdoctoral fellowship for ophthalmology researchers</t>
  </si>
  <si>
    <t>Pre-graduate scholarship for ophthalmology researchers</t>
  </si>
  <si>
    <t>Advanced Grant</t>
  </si>
  <si>
    <t>Circular Economy and Quality of Life</t>
  </si>
  <si>
    <t>Clean Energy Transition</t>
  </si>
  <si>
    <t>Climate Change Mitigation and Adaptation</t>
  </si>
  <si>
    <t>Nature &amp; Biodiversity</t>
  </si>
  <si>
    <t>Admin</t>
  </si>
  <si>
    <t>Human</t>
  </si>
  <si>
    <t>Animal</t>
  </si>
  <si>
    <t>ABD</t>
  </si>
  <si>
    <t>PLANMIK</t>
  </si>
  <si>
    <t>au82350</t>
  </si>
  <si>
    <t>Anne Cathrine Lund Petersen</t>
  </si>
  <si>
    <t>au783390</t>
  </si>
  <si>
    <t>Adis Ramic</t>
  </si>
  <si>
    <t>au223105</t>
  </si>
  <si>
    <t>au505985</t>
  </si>
  <si>
    <t>Allan Bøge Ochwat</t>
  </si>
  <si>
    <t>au526752</t>
  </si>
  <si>
    <t>Alexia Lessing</t>
  </si>
  <si>
    <t>au401218</t>
  </si>
  <si>
    <t>Allan Otto Wagner</t>
  </si>
  <si>
    <t>au247341</t>
  </si>
  <si>
    <t>au512150</t>
  </si>
  <si>
    <t>au236849</t>
  </si>
  <si>
    <t>au224104</t>
  </si>
  <si>
    <t>au265443</t>
  </si>
  <si>
    <t>au246059</t>
  </si>
  <si>
    <t>au419304</t>
  </si>
  <si>
    <t>au393589</t>
  </si>
  <si>
    <t>au261445</t>
  </si>
  <si>
    <t>Edita Nielsen</t>
  </si>
  <si>
    <t>au289402</t>
  </si>
  <si>
    <t>au416255</t>
  </si>
  <si>
    <t>Gitte Sloth</t>
  </si>
  <si>
    <t>au223021</t>
  </si>
  <si>
    <t>au223852</t>
  </si>
  <si>
    <t>au223823</t>
  </si>
  <si>
    <t>au223179</t>
  </si>
  <si>
    <t>au266733</t>
  </si>
  <si>
    <t>au223636</t>
  </si>
  <si>
    <t>Inge Harbo</t>
  </si>
  <si>
    <t>au196718</t>
  </si>
  <si>
    <t>Irene Hjortsberg</t>
  </si>
  <si>
    <t>au523245</t>
  </si>
  <si>
    <t>au222366</t>
  </si>
  <si>
    <t>au616436</t>
  </si>
  <si>
    <t>au590132</t>
  </si>
  <si>
    <t>au164720</t>
  </si>
  <si>
    <t>au7902</t>
  </si>
  <si>
    <t>Jens Rasmus Rønde</t>
  </si>
  <si>
    <t>au759776</t>
  </si>
  <si>
    <t>au237621</t>
  </si>
  <si>
    <t>Karina Larsen</t>
  </si>
  <si>
    <t>au283991</t>
  </si>
  <si>
    <t>au449757</t>
  </si>
  <si>
    <t>au732424</t>
  </si>
  <si>
    <t>Khatira Nadir</t>
  </si>
  <si>
    <t>au618976</t>
  </si>
  <si>
    <t>au595433</t>
  </si>
  <si>
    <t>au215377</t>
  </si>
  <si>
    <t>Karin Sutherland</t>
  </si>
  <si>
    <t>au784307</t>
  </si>
  <si>
    <t>au14955</t>
  </si>
  <si>
    <t>au276425</t>
  </si>
  <si>
    <t>au420833</t>
  </si>
  <si>
    <t>Lizi Keinicke Christensen</t>
  </si>
  <si>
    <t>au653865</t>
  </si>
  <si>
    <t>Louise Verner Machholdt</t>
  </si>
  <si>
    <t>au183673</t>
  </si>
  <si>
    <t>au600103</t>
  </si>
  <si>
    <t>au287536</t>
  </si>
  <si>
    <t>au256401</t>
  </si>
  <si>
    <t>au393421</t>
  </si>
  <si>
    <t>au557783</t>
  </si>
  <si>
    <t>Maria Flindt Alma</t>
  </si>
  <si>
    <t>au158137</t>
  </si>
  <si>
    <t>au565815</t>
  </si>
  <si>
    <t>au123898</t>
  </si>
  <si>
    <t>au155438</t>
  </si>
  <si>
    <t>Mette Møller Larsen</t>
  </si>
  <si>
    <t>au687705</t>
  </si>
  <si>
    <t>au528853</t>
  </si>
  <si>
    <t>au762607</t>
  </si>
  <si>
    <t>au567106</t>
  </si>
  <si>
    <t>au402040</t>
  </si>
  <si>
    <t>au459707</t>
  </si>
  <si>
    <t>au82857</t>
  </si>
  <si>
    <t>au223413</t>
  </si>
  <si>
    <t>au760646</t>
  </si>
  <si>
    <t>au530437</t>
  </si>
  <si>
    <t>au737204</t>
  </si>
  <si>
    <t>au523300</t>
  </si>
  <si>
    <t>Rikke Börjesson</t>
  </si>
  <si>
    <t>au203742</t>
  </si>
  <si>
    <t>au124839</t>
  </si>
  <si>
    <t>au265436</t>
  </si>
  <si>
    <t>au223112</t>
  </si>
  <si>
    <t>au395930</t>
  </si>
  <si>
    <t>au180936</t>
  </si>
  <si>
    <t>au122920</t>
  </si>
  <si>
    <t>Trine Thomsen</t>
  </si>
  <si>
    <t>au775767</t>
  </si>
  <si>
    <t>au759774</t>
  </si>
  <si>
    <t>&lt;- denne formel bruges til at finde unikke sektioner pba. valgt institut i CL</t>
  </si>
  <si>
    <t>&lt;- denne formel bruges til at finde unikke instruments pba. valgt grant source i CL</t>
  </si>
  <si>
    <r>
      <t xml:space="preserve">Deadline for application </t>
    </r>
    <r>
      <rPr>
        <sz val="9"/>
        <rFont val="Verdana"/>
        <family val="2"/>
      </rPr>
      <t>(dd-mm-yyyy)</t>
    </r>
  </si>
  <si>
    <r>
      <t xml:space="preserve">Next update expected </t>
    </r>
    <r>
      <rPr>
        <sz val="9"/>
        <rFont val="Verdana"/>
        <family val="2"/>
      </rPr>
      <t>(dd-mm-yyyy)</t>
    </r>
  </si>
  <si>
    <t>Add information in green cells.</t>
  </si>
  <si>
    <t>Overhead %</t>
  </si>
  <si>
    <t>Project supplement (Yes/No)</t>
  </si>
  <si>
    <t>After you have clicked 'Submit' and sent the email, you can click back to the cover letter.</t>
  </si>
  <si>
    <t>The grant source and/or instrument now appear on the cover letter.</t>
  </si>
  <si>
    <t>Nat-Tech.Finance.Application@au.dk</t>
  </si>
  <si>
    <t>The project title must be filled in for the cover letter to be correctly completed</t>
  </si>
  <si>
    <t>A department must be selected from the list. It is possible to enter a department that is not on the list - in that case, the fields dependent on the department will be counted with value = 0</t>
  </si>
  <si>
    <t>The grant holder must be filled in for the cover letter to be correctly completed.</t>
  </si>
  <si>
    <t>The field is automatically filled based on 'Grant Source'. You can overwrite the field with a different overhead rate or choose one from the list. However, note that if you overwrite or select another, the automatic correct filling function will be disabled. The calculation of overhead in the total budget depends on this field</t>
  </si>
  <si>
    <t>The field is automatically filled based on 'Grant Source'. You can overwrite the field with a different number of hours or choose one from the list. However, note that if you overwrite or select another, the automatic correct filling function will be disabled. The field affects the calculation of Total hours</t>
  </si>
  <si>
    <t>It is always pre-filled with Salary and operations. This has implications for which fields are used to calculate overhead. Currently, it is manually changed if it needs to be different.</t>
  </si>
  <si>
    <t>It is always pre-filled with Salary and operations. This affects whether supplements for technical assistance and lab rent, etc., are calculated. Currently, it is manually changed if it needs to be different</t>
  </si>
  <si>
    <t>The field is filled with yes or no. The information is used in the cover letter</t>
  </si>
  <si>
    <t>If the project is a sub-account 2 project 'Commercial Activity', the field must be filled with the value 2, otherwise it should be left blank</t>
  </si>
  <si>
    <t>The field is automatically filled when 2 is selected in the field 'If Project Kind is Income-Generating Activity...'. The value 10 is set by AU. A higher value can always be chosen. If a lower value is selected, it must be documented according to the rules for EBIT. If YES is chosen in the field 'Does AU have a monopoly on the activity', the value is automatically set to zero</t>
  </si>
  <si>
    <t>Choose yes or no.</t>
  </si>
  <si>
    <t>Select VIP or TAP job category in column A17-A39. Generally, job categories and rates are used. This has been decided by the TECH faculty management. If a grant provider requires named employees and costs, the controller can add this in the 'Rate sheet' tab. The controller must remember to inform the grant holder that this modified budget sheet is only to be used for this application</t>
  </si>
  <si>
    <t>Year</t>
  </si>
  <si>
    <t>It is possible to write a comment in the 'Comment' column - please include the name of the employee</t>
  </si>
  <si>
    <t>Select the cost category in fields A49-A59</t>
  </si>
  <si>
    <t>As a general rule, rates are used. This has been decided by the TECH faculty management. If a grant provider requires named employees and costs, the controller can add this in the 'Rate sheet' tab. The controller must remember to inform the grant holder that this modified budget sheet is only to be used for this application. The applied rates can be seen in the 'Rate sheet</t>
  </si>
  <si>
    <t>Months * selected number of hours in C7 / 12</t>
  </si>
  <si>
    <t>Total salary/total hours</t>
  </si>
  <si>
    <t>Overhead is calculated based on the choices made in 'Grant Source' + 'Insert overhead rate' + 'Overhead Calculation basis</t>
  </si>
  <si>
    <t>Bench fee is calculated based on the choices made in 'Project supplement and Bench Fee'. A bench fee is calculated for all VIP months *8000</t>
  </si>
  <si>
    <t>EBIT is calculated based on the choices made in the 'EBIT' field</t>
  </si>
  <si>
    <t>The sum of VIP salary where 'external funding' or 'Coverage' is selected in the 'Type of budget</t>
  </si>
  <si>
    <t>The sum of TAP salary where 'external funding' or 'Coverage' is selected in the 'Type of budget</t>
  </si>
  <si>
    <t>The sum of operations total where 'external funding' or 'Coverage' is selected in the 'Type of budget</t>
  </si>
  <si>
    <t>Bench fee is calculated based on the choices made in 'Project supplement and Bench Fee'. A bench fee is calculated for all VIP months * 8000</t>
  </si>
  <si>
    <t>Project supplement is calculated based on the choices made in 'Project supplement and Bench Fee'. Project supplements are given to Postdoc, PhD, and Research Assistant. Note: only from external funding</t>
  </si>
  <si>
    <t>The sum of VIP salary where 'co-financing by department' or 'co-financing by external funding' is selected in the 'Type of budget'</t>
  </si>
  <si>
    <t>The sum of TAP salary where 'co-financing by department' or 'co-financing by external funding' is selected in the 'Type of budget</t>
  </si>
  <si>
    <t>The sum of operations total where 'co-financing by department' or 'co-financing by external funding' is selected in the 'Type of budget</t>
  </si>
  <si>
    <t>No project supplement is calculated from co-financing</t>
  </si>
  <si>
    <t>The sum of VIP salary where 'coverage' is selected in the 'Type of budget</t>
  </si>
  <si>
    <t>Co-financing is not allowed on revenue-funded activities, so EBIT is not calculated</t>
  </si>
  <si>
    <t>The sum of TAP salary where 'coverage' is selected in the 'Type of budget</t>
  </si>
  <si>
    <t>The sum of operations total where 'coverage' is selected in the 'Type of budget</t>
  </si>
  <si>
    <t>The sum of VIP salary where 'co-financing by department' is selected in the 'Type of budget</t>
  </si>
  <si>
    <t>The sum of TAP salary where 'co-financing by department' is selected in the 'Type of budget</t>
  </si>
  <si>
    <t>The sum of operations total where 'co-financing by department' is selected in the 'Type of budget</t>
  </si>
  <si>
    <t>Co-financing is not allowed on revenue-funded activities, so EBIT is not calculated.</t>
  </si>
  <si>
    <t>Retrieved from B1</t>
  </si>
  <si>
    <t>The rolling list is retrieved from ReAp. If there are missing fields in the list, they should be added to the list in ReAp</t>
  </si>
  <si>
    <t>Entered Manually</t>
  </si>
  <si>
    <t>The rolling list from ReAp. If there are missing fields in the list, they should be added to ReAp</t>
  </si>
  <si>
    <t>If there are any comments on the budget that you would like the head of the department to consider, they should be written here. The comment will be transferred to the note field in ReAp</t>
  </si>
  <si>
    <t>The grant holder must indicate the total amount requested from the grant provider. It should only be the external funding but for all partners</t>
  </si>
  <si>
    <t>The difference between what is requested for tuition fees and marked as external funding and what is paid to GSTS (30,000)</t>
  </si>
  <si>
    <t>"AU's cost prices are used. As a starting point, 1 cost price per job category is used. Where it makes sense, 2 are used. As a starting point, the average rate and the high rate are used. But they are always compared to TECH's current calculated average rates, and where it makes sense, e.g., low and average rates can be used. Rates are updated once a year when they are received from AU Accounting (during March)</t>
  </si>
  <si>
    <t xml:space="preserve">Der skal vælges et institut fra listen.
Man kan godt skrive et institut, der ikke findes på listen - så vil de felter, der er afhængig af feltet blot regnes med værdi = 0.
</t>
  </si>
  <si>
    <t>Projekttitel skal udfyldes, så cover letter udfyldes korrekt.</t>
  </si>
  <si>
    <t>Grant holder skal udfyldes, så cover letter udfyldes korrekt.</t>
  </si>
  <si>
    <t>Når man vælger "Grant Source" fra listen, udfyldes oplysninger om overheadsats og timenorm. Hvis man skriver en "Grant Source", der ikke er på listen, skal man selv udfylde felterne korrekt.
Oplysninger om overhead sats og timenorm kan findes i arket Lister.</t>
  </si>
  <si>
    <t>Feltet udfyldes automatisk pba "Grant Source". Man kan godt overskrive feltet med en anden overhead sats, eller man kan vælge en fra listen. Bemærk dog, at overskriver man eller vælger en anden, så forsvinder funktionen med at den automatisk udfyldes korrekt. 
Udregning af overhead i total budgettet er afhængigt af dette felt.</t>
  </si>
  <si>
    <t>Feltet udfyldes automatisk pba "Grant Source". Man kan godt overskrive feltet med et andet timetal, eller man kan vælge et fra listen. Bemærk dog, at overskriver man eller vælger et andet, så forsvinder funktionen med at den automatisk udfyldes korrekt. 
Feltet påvirker udregningen af Total hours</t>
  </si>
  <si>
    <t>Er altid forudfyldt med Salary and operations. Har betydning for hvilke felter, der beregnes overhead af. Ændres p.t. manuelt hvis det skal være anderledes.</t>
  </si>
  <si>
    <t>Er altid forudfyldt med Salary and operations. Har betydning for om der beregnes tillæg til technical ass. and lab rent m.m. Ændres p.t. manuelt hvis det skal være anderledes.</t>
  </si>
  <si>
    <t>Feltet udfyldes med ja eller nej. Oplysningen bruges på cover letter.</t>
  </si>
  <si>
    <t>Hvis projektet er et delregnskab 2 projekt "Indtægtsdækket Virksomhed", skal feltet udfyldes med værdien 2, ellers skal den være blank.</t>
  </si>
  <si>
    <t>Feltet udfyldes automatisk, når der vælges 2 i feltet "If Project Kind is Indtægtsdækket Virksomhed….". Værdien 10 er fastsat af AU. Der kan altid vælges en højere værdi. Hvis der vælges en lavere værdi, skal det dokumenteres ifølge regelsættet for EBIT,..  Hvis der vælges YES I feltet "Does AU have a monopoly on the activity" sættes værdien automatisk til nul.</t>
  </si>
  <si>
    <t>Her skal kort beskrives, hvordan aktiviteten er en naturlig udløber af instituttets kerneaktiviteter.</t>
  </si>
  <si>
    <t>Der vælges VIP eller TAP stillingskategori i kolonne A17-A39. Der regnes som hovedregel med stillingskategorier og takster. Det er besluttet af TECH's fakultetsledelse. Hvis en bevillingsgiver kræver navngivne medarbejdere og kostpriser kan controlleren tilføje det i fanebladet "Takstblad". Controlleren skal huske at gøre bevillingshaver opmærksom på, at dette budgetskema med tilrettelser kun må bruges ved denne ansøgning.</t>
  </si>
  <si>
    <t>Det er muligt at skrive en kommentar i kolonnen "Comment" - skriv gerne navn på medarbejderen.</t>
  </si>
  <si>
    <t xml:space="preserve">Det er vigtigt at denne udfyldes korrekt elles regnes budgettet ikke korrekt. Den er forudfyldt med "External funding". Hvis budgetposten evt. er medfinansiering eller inddækning, skal det vælges aktivt.
External funding: De omkostninger der søges dækket af eksterne midler og som ikke er inddækning.
Coverage: De omkostninger som er en del af instituttets eksisterende omkostninger som søges dækket af den eksterne bevilling. Eks. sekretær, laboratorieudgifter.
Co-financing covered by department: Medfinansiering som søges dækket af instituttets midler. Det kan både være eksisterende omkostninger og nye omkostninger.
Co-financing covered by external funding: Medfinansiering som dækkes af andre eksterne bevillinger. </t>
  </si>
  <si>
    <t>Ifølge instituttets retningslinjer.
Beregnes pba. alle VIP stillingstyper pånær PhD samt af TAP/Other masters degree.
Når der angives en VIP måneden, som er mærket External funding eller Coverage under "Type of budget" tillægges automatisk det bidrag, projektet skal betale til Technical assistance ifølge insituttets retningslinjer. Feltet er afhængig af, at feltet department er udfyldt korrekt. Taksterne for hvert institut kan ses i arket "Takstblad"</t>
  </si>
  <si>
    <t>Ifølge instituttets retningslinjer.
Beregnes pba. alle VIP stillingstyper pånær PhD samt af TAP/Other masters degree.
Når der angives en VIP måneden, som er mærket Co-financing covered by department eller Co-financing covered by external funding under type of budget tillægges automatisk det bidrag projektet, skal betale til Technical assistance ifølge insituttets retningslinjer. Feltet er afhængig af, at feltet department er udfyldt korrekt. Taksterne for hvert institut kan ses i arket "Takstblad"</t>
  </si>
  <si>
    <t>Der vælges omkostningskategori i felterne A49-A59</t>
  </si>
  <si>
    <t>Ifølge instituttets retningslinjer.
Beregnes pba. TAP stillingstyperne "Laboratory..."
Når der angives en TAP måneden, som er mærket External funding eller Coverage under Type of budget tillægges automatisk det bidrag projektet skal betale til Lab rent.... ifølge insituttets retningslinjer. Feltet er afhængig af at feltet department er udfyldt korrekt. Taksterne for hvert institut kan ses i arket "Takstblad"</t>
  </si>
  <si>
    <t>Måneder*valgt timetal I C7/12</t>
  </si>
  <si>
    <t>Total løn/total hours</t>
  </si>
  <si>
    <t>Overhead regnes pba de valg, der er foretaget i "Grant Source"+"Insert overhead rate"+"Overhead Calculation basis"</t>
  </si>
  <si>
    <t>Bench fee regnes pba de valg, der er foretaget i "Project supplement and Bench Fee". Der beregnes bench fee af alle VIP-mdr. *8000</t>
  </si>
  <si>
    <t>Project supplement regnes pba de valg, der er foretaget I "Project supplement and Bench Fee". Der gives projekt supplement til Postdoc, PhD og Research assistant. Bemærk kun af den eksterne finansiering</t>
  </si>
  <si>
    <t>EBIT regnes pba de valg, der er foretaget I feltet "EBIT"</t>
  </si>
  <si>
    <t>Summen af VIP salary, hvor der I Type of budget er valgt external funding or Coverage</t>
  </si>
  <si>
    <t>Summen af TAP salary, hvor der I Type of budget er valgt external funding or Coverage</t>
  </si>
  <si>
    <t>Summen af opreations total, hvor der I Type of budget er valgt external funding or Coverage</t>
  </si>
  <si>
    <t>Bench fee regnes pba de valg, der er foretaget i "Project supplement and Bench Fee". Der bergnes bench fee af alle VIP-mdr. *8000</t>
  </si>
  <si>
    <t>Summen af VIP salary, hvor der I Type of budget er valgt co-financing by department of co-financing by external funding</t>
  </si>
  <si>
    <t>Summen af TAP salary, hvor der I Type of budget er valgt co-financing by department of co-financing by external funding</t>
  </si>
  <si>
    <t>Summen af opreations total, hvor der I Type of budget er valgt co-financing by department of co-financing by external funding</t>
  </si>
  <si>
    <t>Der beregnes ikke project suppleent af co-financing</t>
  </si>
  <si>
    <t>Der må ikke medfinansieres på indtægtsdækket virksomhed, så EBIT regnes ikke</t>
  </si>
  <si>
    <t>Summen af VIP salary, hvor der I Type of budget er valgt coverage</t>
  </si>
  <si>
    <t>Summen af TAP salary, hvor der I Type of budget er valgt coverage</t>
  </si>
  <si>
    <t>Summen af opreations total, hvor der I Type of budget er valgt coverage</t>
  </si>
  <si>
    <t xml:space="preserve">Summen af VIP salary, hvor der I Type of budget er valgt co-financing by department </t>
  </si>
  <si>
    <t xml:space="preserve">Summen af TAP salary, hvor der I Type of budget er valgt co-financing by department </t>
  </si>
  <si>
    <t>Summen af opreations total, hvor der I Type of budget er valgt co-financing by department</t>
  </si>
  <si>
    <t xml:space="preserve">Rulleliste hentes fra ReAp. Hvis der mangler felter på listen, skal den tilføjes listen i ReAp. </t>
  </si>
  <si>
    <t>Tastes</t>
  </si>
  <si>
    <t>Rullelisten fra ReAp. Hvis der mangler felter på listen, skal den tilføjes ReAp.</t>
  </si>
  <si>
    <t>Rulleliste hentes fra ReAp. Hvis der mangler felter på listen, skal den tilføjes ReAp</t>
  </si>
  <si>
    <t>Hvis man evt. Har kommentarer til budgettet, som man ønsker institutleder skal forholde sig til, så skrives de her. Kommentaren overføres til note feltet i ReAp</t>
  </si>
  <si>
    <t>Bevillingshaver skal angive det totale beløb, der søges af bevillingsgiver. Det skal kun være den eksterne finansiering, men for alle partnere.</t>
  </si>
  <si>
    <t>Forskellen mellem hvad der er ansøgt til tuition fee og mærket external funding og hvad der betales til GSTS(30.000)</t>
  </si>
  <si>
    <t>Der anvendes AU's kostpriser. Der anvendes som udgangspkt. 1 kostpris pr. Stillingskategori. Hvor det giver mening anvendes der 2. Som udgangspkt. anvendes gennemsnitssatsen og den høje satsen. Men der samlignes altid til TECH's aktuelle beregnede gennemsnitssatser og hvor det giver mening kan eks anvendes lav og gennemsnitssats.
Satserne ajourføres 1 gang om året når de modtages fra AU Regnskab(i løbet af marts måned)</t>
  </si>
  <si>
    <t>Arket "PE" anvendes af projektcontrollerne</t>
  </si>
  <si>
    <t>Når du har sendt din ansøgning til bevillingsgiver skal du sende denne samt ansøgningsbudgetskabelonen til postkassen "Nat-Tech Finance Application (nat-tech.finance.application@au.dk)" hvorfra ansøgningen vil blive lagt i ReAp og videresendt til din forretningscontroller/projektcontroller</t>
  </si>
  <si>
    <t>Total budget</t>
  </si>
  <si>
    <t>PE</t>
  </si>
  <si>
    <t>Add new grant source</t>
  </si>
  <si>
    <t>Guide to "Internal Application Form"</t>
  </si>
  <si>
    <t>For øvrig vejledning se beskrivelse af de enkelte felter nedenfor. Du er også altid velkommen til at spørge den forretningscontroller eller projektcontroller</t>
  </si>
  <si>
    <t>Fill out your budget in B1-B5</t>
  </si>
  <si>
    <t>Du kan se det totale budget i arket "Total" som er en sammentælling af "B1-B5"</t>
  </si>
  <si>
    <t>You can see the total budget in the sheet "Total" which is a summation of "B1-B5"</t>
  </si>
  <si>
    <t>Hvis du ønsker dit budget omregnet i en anden valuta kan du taste valutaen i arket "Total Other Currency"</t>
  </si>
  <si>
    <t>Another valuta</t>
  </si>
  <si>
    <t>Arket "Add new grant source" aktiveres når man trykker på knappen "Add new" i Cover letteret.</t>
  </si>
  <si>
    <t>Når du er færdig med at udfylde Cover Letter sender du ansøgningsbudgetskabelonen til din forretningscontroller eller projektcontroller. De vil tjekke dit budget ifølge gældende retningslinjer for bevillingsgiver og dit institut. Ydereligere godkendelse af budget og ansøgning skal følge dit instituts retningslinjer</t>
  </si>
  <si>
    <t>Once you have completed the Cover Letter, send the application budget template to your business controller or project controller. They will check your budget according to the applicable guidelines for the grant provider and your department. Further approval of the budget and application must follow your department’s guidelines</t>
  </si>
  <si>
    <t>Budget review</t>
  </si>
  <si>
    <t>Final application is sent to</t>
  </si>
  <si>
    <t>Additional guidance</t>
  </si>
  <si>
    <t>For additional guidance, see the description of the individual fields below. You are also always welcome to ask the business controller or project controller</t>
  </si>
  <si>
    <t>Is the activity a direct extension of the department's core activity</t>
  </si>
  <si>
    <t>A brief description should be provided here of how the activity is a natural extension of the department's core activities</t>
  </si>
  <si>
    <t>Sum of the total budget including co-financing of the B, where the same department as in B1 is selected</t>
  </si>
  <si>
    <t>Sum of the requested budget excluding co-financing from the B, where the same department as in B1 is selected</t>
  </si>
  <si>
    <t>Sum of the requested overhead/project supplement/Bench fee excluding co-financing from the B, where the same department as in B1 is selected</t>
  </si>
  <si>
    <t>Sum of the requested salary where 'type of budget' = Coverage from the B, where the same department as in B1 is selected</t>
  </si>
  <si>
    <t>Sum of the requested amount excluding salary where 'type of budget' = Coverage from the B, where the same department as in B1 is selected</t>
  </si>
  <si>
    <t>Sum of the salary where 'type of budget' = Co-financing by department from the B, where the same department as in B1 is selected</t>
  </si>
  <si>
    <t>Sum of the costs excluding salary where 'type of budget' = Co-financing by department, where the same department as in B1 is selected</t>
  </si>
  <si>
    <t>Sum of the requested procurement marked as external funding from the B, where the same department as in B1 is selected</t>
  </si>
  <si>
    <t>Sum of the requested scrap value marked as external funding from the B, where the same department as in B1 is selected</t>
  </si>
  <si>
    <t>Sum of the requested depreciations marked as coverage from the B, where the same department as in B1 is selected</t>
  </si>
  <si>
    <t>General</t>
  </si>
  <si>
    <t>Description of the individual fields</t>
  </si>
  <si>
    <t>Field</t>
  </si>
  <si>
    <t>If you want your budget converted into another currency you can enter the currency in the sheet 'Total Other Currency'</t>
  </si>
  <si>
    <t>The sheet 'PE' is used by the project controllers</t>
  </si>
  <si>
    <t>The sheet 'Add new grant source' is activated when you press the 'Add new' button in the Cover letters</t>
  </si>
  <si>
    <t>Once you have sent your application to the grant source you must send this along with the application budget template to the mailbox 'Nat-Tech Finance Application (nat-tech.finance.application@au.dk)' from where the application will be entered into ReAp and forwarded to your business controller/project controller</t>
  </si>
  <si>
    <t>Feltet udfyldes automatisk med projekttillæg pba "Grant Source". Det er Novo Nordisk, Villum, Velux, Carlsberg, Lundbeck og Leo der bevilliger projekttillæg. Man kan vælge Bench fee fra listen, hvis call'et angiver, at der skal søges om bench fee og ikke projekttillæg. Bemærk hvis der ikke er valgt en af de fonde, der giver projekttillæg eller bench fee, skal man sikre sig at feltet er udfyldt med none.</t>
  </si>
  <si>
    <t>The field is automatically filled with the project supplement based on 'Grant Source'. Novo Nordisk, Villum, Velux, Carlsberg, Lundbeck, and Leo provide project supplements. You can choose Bench fee from the list if the call indicates that a bench fee should be applied for instead of a project supplement. Note that if none of the foundations that provide project supplements or bench fees are selected, ensure that the field is filled with none</t>
  </si>
  <si>
    <t>Choose Yes or No. If Yes, a brief explanation of why AU has a monopoly on the activity must be written in the field next to it</t>
  </si>
  <si>
    <t>Vælg ja eller nej. Hvis Yes skal  der I feltet ved siden af skrives en kort begrundelse for at AU har monopol på aktiviteten</t>
  </si>
  <si>
    <t xml:space="preserve">Vælg yes or no. </t>
  </si>
  <si>
    <t>It is important that this field is filled in correctly; otherwise, the budget will not be calculated correctly. It is pre-filled with 'External funding'. If the budget item is co-financing or coverage, it must be selected actively.
External funding: The costs that are covered by external funds and are not coverage.
Coverage: The costs that are part of the department's existing expenses and are covered by the external grant. For example, secretary, laboratory expenses.
Co-financing covered by department: Co-financing that is covered by the department's funds. This can include both existing expenses and new expenses.
Co-financing covered by external funding: Co-financing that is covered by other external grants.</t>
  </si>
  <si>
    <t>According to the department's guidelines. 
Calculated based on all VIP job types except PhD and TAP/Other master's degree. When a VIP month is indicated as External funding or Coverage under 'Type of budget', the contribution that the project must pay for Technical assistance is automatically added according to the department's guidelines. This field depends on the department field being filled in correctly. The rates for each department can be seen in the 'Rate sheet'</t>
  </si>
  <si>
    <t>According to the department's guidelines. 
Calculated based on all VIP job types except PhD and TAP/Other master's degree. When a VIP month is indicated as Co-financing covered by department or Co-financing covered by external funding under type of budget, the contribution that the project must pay for Technical assistance is automatically added according to the department's guidelines. This field depends on the department field being filled in correctly. The rates for each department can be seen in the 'Rate sheet</t>
  </si>
  <si>
    <t>According to the department's guidelines.
Calculated based on the TAP job types 'Laboratory...' When a TAP month is indicated as External funding or Coverage under Type of budget, the contribution that the project must pay for Lab rent is automatically added according to the department's guidelines. This field depends on the department field being filled in correctly. The rates for each department can be seen in the 'Rate sheet</t>
  </si>
  <si>
    <t>Der regnes som hovedregel med takster. Det er besluttet af TECH's fakultetsledelse. Hvis en bevillingsgiver kræver navngivne medarbejdere og kostpriser kan controlleren tilføje det i fanebladet "Takstblad". Controlleren skal huske at gøre bevillingshaver opmærksom på, at dette budgetskema med tilrettelser kun må bruges ved denne ansøgning.
De anvendte takster kan ses i arket Takstblad</t>
  </si>
  <si>
    <t>Total  Cost</t>
  </si>
  <si>
    <t>Summen af VIP salary</t>
  </si>
  <si>
    <t xml:space="preserve">The total sum of VIP salary </t>
  </si>
  <si>
    <t xml:space="preserve">The total sum of TAP salary </t>
  </si>
  <si>
    <t xml:space="preserve">The total sum of operations </t>
  </si>
  <si>
    <t>Summen af TAP salary</t>
  </si>
  <si>
    <t>Summen af operations</t>
  </si>
  <si>
    <t>External funding (incl. coverage)</t>
  </si>
  <si>
    <t>Co-Financing(department and external)</t>
  </si>
  <si>
    <t>Co-Financing from department</t>
  </si>
  <si>
    <t>Total budget to the dept</t>
  </si>
  <si>
    <t xml:space="preserve">Hentes fra B1 </t>
  </si>
  <si>
    <t>Hentes fra B1</t>
  </si>
  <si>
    <t>Sum af total budget incl. medfinansering af de B, hvor der er valgt samme institut som I B1</t>
  </si>
  <si>
    <t>Sum af det ansøgte budget excl. medfinanisering fra de B, hvor der er valgt samme institut som I B1</t>
  </si>
  <si>
    <t>Sum af den ansøgte overhead/project supplement/Bench fee excl. medfinansiering fra de B, hvor der er valgt samme institut som I B1</t>
  </si>
  <si>
    <t>Sum af den ansøgte løn hvor type of budget = Coverage fra de B, hvor der er valgt samme institut som I B1</t>
  </si>
  <si>
    <t>Sum af den ansøgte beløb pånær løn hvor type of budget = Coverage fra de B, hvor der er valgt samme institut som I B1</t>
  </si>
  <si>
    <t>Sum af løn hvor type of budget = Co-finacing by department fra de B, hvor der er valgt samme institut som I B1</t>
  </si>
  <si>
    <t>Sum af omkostninger  pånær løn hvor type of budget = Co-financing by department, hvor der er valgt samme institut som I B1</t>
  </si>
  <si>
    <t>Sum af den ansøgte procuerment mærket external funding fra de B, hvor der er valgt samme institut som I B1</t>
  </si>
  <si>
    <t>Sum af den ansøgte scrapværdi mærket external funding fra de B, hvor der er valgt samme institut som I B1</t>
  </si>
  <si>
    <t>Sum af den ansøgte afskrivninger mærket coverage fra de B, hvor der er valgt samme institut som I B1</t>
  </si>
  <si>
    <t>Sum af total budget hvor type of budget = Co-financing by other external funding</t>
  </si>
  <si>
    <t>Sum of total budget where type of budget = Co-financing by other external funding</t>
  </si>
  <si>
    <t>The fields (row 11-15) below are to be filled out only if the project kind is a commercial activity (Indtægtsdækket virksomhed)</t>
  </si>
  <si>
    <t>"Choose job position"</t>
  </si>
  <si>
    <t>Project supplement is calculated based on the choices made in 'Project supplement and Bench Fee'. Project supplements are given to Postdoc, PhD, and Research Assistant. Note: only from external funding and coverage.</t>
  </si>
  <si>
    <t>Project supplement regnes pba de valg, der er foretaget I "Project supplement and Bench Fee". Der gives projekt supplement til Postdoc, PhD og Research assistant. Bemærk kun af den eksterne finansiering og inddækning</t>
  </si>
  <si>
    <t>PhD - High Rate</t>
  </si>
  <si>
    <t>PhD - Avr. Rate</t>
  </si>
  <si>
    <t>Research Assistent - avr. Rate</t>
  </si>
  <si>
    <t>Post Doc. - high rate</t>
  </si>
  <si>
    <t>PhD - high rate</t>
  </si>
  <si>
    <t>PhD - avr. rate</t>
  </si>
  <si>
    <t>Laboratory Support Ja/Nej</t>
  </si>
  <si>
    <r>
      <t>Calculate laboratory support</t>
    </r>
    <r>
      <rPr>
        <b/>
        <sz val="10"/>
        <color rgb="FFFF0000"/>
        <rFont val="Arial"/>
        <family val="2"/>
      </rPr>
      <t>*</t>
    </r>
  </si>
  <si>
    <t>Overhead/project supplement/BenchFee/EBIT</t>
  </si>
  <si>
    <t xml:space="preserve">Version: </t>
  </si>
  <si>
    <t>Ændringslog</t>
  </si>
  <si>
    <t>Dato:</t>
  </si>
  <si>
    <t>21.01.2025</t>
  </si>
  <si>
    <t>1.6</t>
  </si>
  <si>
    <t>Tilføjet ændringslog
Indsat tabulering i B1-B5</t>
  </si>
  <si>
    <t>According to the institute's guidelines, for every full-time equivalent (FTE) position budgeted for a Postdoc, Research Assistant, and PhD, the project must allocate 0.5 months for laboratory assistance. Additionally, for each TAP month, excluding students, secretary, data/IT, and Other TAP, the project must allocate 0.3 months for laboratory assistance. This calculation is only applicable to budgets based on external funding and coverage.</t>
  </si>
  <si>
    <t>Ifølge instituttets retningslinjer
For hvert årsværk der søges budget til Post doc, Research assistent og PhD skal projektet betale 0,5 mdr. til laboratorie bistand. Og for hver TAP-mdr. pånær student, secretary, data/IT og Other tap skal projektet betale 0,3 mdr. til laboratorie bistand. Beregnes kun for budget på external funding og coverage</t>
  </si>
  <si>
    <t>22.01.2025</t>
  </si>
  <si>
    <t>1.7</t>
  </si>
  <si>
    <t>Lab support inkluderer nu Secretary
Ændrer drop down list på TAP</t>
  </si>
  <si>
    <t>23.01.2025</t>
  </si>
  <si>
    <t>1.8</t>
  </si>
  <si>
    <t>Ændret formlen I celle B4 I budgetark
rettet fejl I other tech ass.
Slettet de 3,6 EBIT for RKS</t>
  </si>
  <si>
    <t>Exploratory Research Instrumentation</t>
  </si>
  <si>
    <t>William Demant Foundation</t>
  </si>
  <si>
    <t>Clean air fund</t>
  </si>
  <si>
    <t>Government of Canada</t>
  </si>
  <si>
    <t>The European Partnership for Radiation Protection Research</t>
  </si>
  <si>
    <t>Global Arctic Leadership Initiative</t>
  </si>
  <si>
    <t>ATMO</t>
  </si>
  <si>
    <t>au101724</t>
  </si>
  <si>
    <t>Christian Gøtze Hoeg</t>
  </si>
  <si>
    <t>Lucas Jensen</t>
  </si>
  <si>
    <t>07.02.2025</t>
  </si>
  <si>
    <t>Rettet PD kostpris - pga fejl</t>
  </si>
  <si>
    <t>1.9</t>
  </si>
  <si>
    <t>18.02.2025</t>
  </si>
  <si>
    <t>2.0</t>
  </si>
  <si>
    <r>
      <t>Time registration needed:</t>
    </r>
    <r>
      <rPr>
        <b/>
        <sz val="10"/>
        <color rgb="FFFF0000"/>
        <rFont val="Arial"/>
        <family val="2"/>
      </rPr>
      <t>*</t>
    </r>
  </si>
  <si>
    <t>Time registration</t>
  </si>
  <si>
    <t>Antal måneder udfyldes under aktuelt årstal. Har du brug for at budgetlægge udover de 6 år så send skemaet til din FC/PC som vil udvide med ydereligere 4 år.</t>
  </si>
  <si>
    <t>The number of months is filled in under the current year. If you need to budget beyond the 6 years, send the form to your FC/PC who will extend it with an additional 4 years</t>
  </si>
  <si>
    <t>Start med at udfylde dit budget i det blå ark "B1". Har du brug for at indtaste flere budgetter - eks. fordi projektet skal deles op i WP eller I er flere deltagere i projektet kan de næste budgetter tastes de blå ark "B2-B5". Har du brug for at budgetlægge udover de 6 år så send skemaet til din FC/PC som vil udvide med ydereligere 4 år.</t>
  </si>
  <si>
    <t>Start by filling out your budget in the blue sheet 'B1'. If you need to enter more budgets - for example, because the project needs to be divided into WPs or there are multiple participants in the project, the next budgets can be entered in the blue sheets 'B2-B5'. If you need to budget beyond the 6 years, send the form to your FC/PC who will extend it by an additional 4 years.</t>
  </si>
  <si>
    <t>Låst workbook - så skjulte faner ikke kan findes frem
Aplicant er venstrestillet
Indsat felt vedr. tidsregistrering
Lavet note vedr. udvidelse fra 6-10 år.  
Højrestil GDPR feltet</t>
  </si>
  <si>
    <t>Ændret af:</t>
  </si>
  <si>
    <t>Betina</t>
  </si>
  <si>
    <t>Danish Cardiovascular Academy</t>
  </si>
  <si>
    <t>Danish Data Science Academy</t>
  </si>
  <si>
    <t>Erhvervsfremmestyrelsen</t>
  </si>
  <si>
    <t>Horizon Europe Pillar I EIC</t>
  </si>
  <si>
    <t>Michelin</t>
  </si>
  <si>
    <t>Research Council Faroe Islands</t>
  </si>
  <si>
    <t>TW Engineering A/S</t>
  </si>
  <si>
    <t>Experiment</t>
  </si>
  <si>
    <t>Investigator</t>
  </si>
  <si>
    <t>SpinOut</t>
  </si>
  <si>
    <t>Synergy</t>
  </si>
  <si>
    <t>Accelerator</t>
  </si>
  <si>
    <t>Pathfinder</t>
  </si>
  <si>
    <t>Transition</t>
  </si>
  <si>
    <t>Clusters 1-6</t>
  </si>
  <si>
    <t>Partnership</t>
  </si>
  <si>
    <t>TechCircle</t>
  </si>
  <si>
    <t>au217957</t>
  </si>
  <si>
    <t>Signe Lyshøj Jensen</t>
  </si>
  <si>
    <r>
      <t xml:space="preserve">Project start </t>
    </r>
    <r>
      <rPr>
        <sz val="9"/>
        <rFont val="Verdana"/>
        <family val="2"/>
      </rPr>
      <t>(dd.mm.yyyy)</t>
    </r>
  </si>
  <si>
    <r>
      <t xml:space="preserve">Project end </t>
    </r>
    <r>
      <rPr>
        <sz val="9"/>
        <rFont val="Verdana"/>
        <family val="2"/>
      </rPr>
      <t>(dd.mm.yyyy)</t>
    </r>
  </si>
  <si>
    <t>20.02.2025</t>
  </si>
  <si>
    <t>2.1</t>
  </si>
  <si>
    <t>URIS Guideline</t>
  </si>
  <si>
    <t>Are the URIS guidelines being followed?</t>
  </si>
  <si>
    <t>Er der i projektet involvering fra et land (pr. 01.01.2025 Rusland, Kina, Iran, Saudi-Arabien, Tyrkiet, Armenien, Azerbaijan, Georgien, Kasakhstan, USA...) der udgør en trussel (eks. Spionage) mod Danmark ifølge retningslinjerne fra URIS (Udvalg om retningslinjer for internationalt forsknings- og innovationssamarbejde)   : https://pet.dk/en/-/media/mediefiler/pet/dokumenter/analyser-og-vurderinger/vurdering-af-spionagetruslen-mod-danmark/vurdering-af-spionagetruslen-mod-danmark-2023_uk_web.pdf</t>
  </si>
  <si>
    <t>Is there involvement in the project from a country (as of 01.01.2025 Russia, China, Iran, Saudi Arabia, Turkey, Armenia, Azerbaijan, Georgia, Kazakhstan, USA...) that constitutes a threat (e.g. espionage) to Denmark according to the guidelines from URIS (Committee on Guidelines for International Research and Innovation Collaboration): https://pet.dk/en/-/media/mediefiler/pet/dokumenter/analyser-og-vurderinger/vurdering-af-spionagetruslen-mod-danmark/vurdering-af-spionagetruslen-mod-danmark-2023_uk_web.pdf</t>
  </si>
  <si>
    <t>Specify country:</t>
  </si>
  <si>
    <t>Datoformatering i project start/end date, så den er uafhængig af windows version
Implementeret URIS retningslinjer i Cover letters
Rettet i total formel for Bench Fee i Bx fanerne</t>
  </si>
  <si>
    <t>26.02.2025</t>
  </si>
  <si>
    <t>2.2</t>
  </si>
  <si>
    <t>Indsat nyt sectionsfane - så der er 2; 1 til cover letter og 1 til cover letter ING
Rettet formler i salary felter på VIP og TAP
Rettet i formel på Bench Fee i totalerne</t>
  </si>
  <si>
    <t>Københavns Kommune</t>
  </si>
  <si>
    <t>Axel Muusfeldts Fond</t>
  </si>
  <si>
    <t>Bodil Pedersen Fonden</t>
  </si>
  <si>
    <t>Eva Merete Falck Crones Fond</t>
  </si>
  <si>
    <t>Esbjerg Fonden</t>
  </si>
  <si>
    <t>Frimodt-Heineke Fonden</t>
  </si>
  <si>
    <t>Grosserer Andreas Collstrop og Søn Rudolf C. Mindefond</t>
  </si>
  <si>
    <t>Ascending Investigator within Endocrinology and Metabolism – Nordic</t>
  </si>
  <si>
    <t>Ascending Investigator within Industrial Biotechnology and Environmental Biotechnology</t>
  </si>
  <si>
    <t>Data Science Collaborative Research Programme</t>
  </si>
  <si>
    <t>Oda og Hans Svenningsens Fond</t>
  </si>
  <si>
    <t>Overlæge Poul Martin Christiansen og hustrus fond</t>
  </si>
  <si>
    <t>TICRA Fond</t>
  </si>
  <si>
    <t>04.03.2025</t>
  </si>
  <si>
    <t>2.3</t>
  </si>
  <si>
    <t>Rettet formel i lab. Support - kopieret formel fra 2025 til øvrige år</t>
  </si>
  <si>
    <t>Senior advisor - high rate</t>
  </si>
  <si>
    <t>Senior advisor - avr. rate</t>
  </si>
  <si>
    <t>Special/manager consultant- high rate</t>
  </si>
  <si>
    <t>Special/manager consultant - avr. rate</t>
  </si>
  <si>
    <t>EUDP – Det Energiteknologiske Udviklings- og Demonstrationsprogram</t>
  </si>
  <si>
    <t>Unsolicited inquiries</t>
  </si>
  <si>
    <t>VUDP – Vandsektorens Udviklings- og Demonstrationsprogram</t>
  </si>
  <si>
    <t>Länsstyrelsen Halland</t>
  </si>
  <si>
    <t>12.03.2025</t>
  </si>
  <si>
    <t>2.4</t>
  </si>
  <si>
    <t>Rettet formel i cover letter (tuition fee) så den inkluderer alle Bx ark
Rettet OH formel vedr. DR2</t>
  </si>
  <si>
    <t xml:space="preserve">Budget controlled by controller (date and name) and name of the controller to be assigned to the project in ReAp </t>
  </si>
  <si>
    <t xml:space="preserve">Budget controlled by controller(date and name) and name of the controller to be assigned to the project in ReAp </t>
  </si>
  <si>
    <t>17.03.2025</t>
  </si>
  <si>
    <t>2.5</t>
  </si>
  <si>
    <r>
      <t>Project start date (DD-MM-YYYY)</t>
    </r>
    <r>
      <rPr>
        <b/>
        <sz val="10"/>
        <color rgb="FFFF0000"/>
        <rFont val="Arial"/>
        <family val="2"/>
      </rPr>
      <t>*</t>
    </r>
  </si>
  <si>
    <r>
      <t>Project end date (DD-MM-YYYY)</t>
    </r>
    <r>
      <rPr>
        <b/>
        <sz val="10"/>
        <color rgb="FFFF0000"/>
        <rFont val="Arial"/>
        <family val="2"/>
      </rPr>
      <t>*</t>
    </r>
  </si>
  <si>
    <t>Rettet formuleringen fra at ansøgningen er godkendt af controller til at den er kontrolleret af controller
Rettet tekst i dato formatteringen</t>
  </si>
  <si>
    <t>19.03.2025</t>
  </si>
  <si>
    <t>2.6</t>
  </si>
  <si>
    <t>Beregner nu projekttillæg på senior rådgiver
Rettet tekst i guide, vedr. cover letter, så det angiver at det er op til enkelte institut hvorvidt de bruger det eller andet CoverLetter</t>
  </si>
  <si>
    <t>20.03.2025</t>
  </si>
  <si>
    <t>2.7</t>
  </si>
  <si>
    <t>Indsat blankt ark til egne beregninger
rettet OH på 15. juni fonden fra 20 til 0 %</t>
  </si>
  <si>
    <t>Please make sure that all cells in "PE" are filled, befored getting approval</t>
  </si>
  <si>
    <t>27.03.2025</t>
  </si>
  <si>
    <t>2.8</t>
  </si>
  <si>
    <t>Rettet I formlen I fanen "PE"</t>
  </si>
  <si>
    <t>31.03.2025</t>
  </si>
  <si>
    <t>2.9</t>
  </si>
  <si>
    <t>URIS svar mulighed var låst - er rettet</t>
  </si>
  <si>
    <t>BETA.HEALTH - AUH</t>
  </si>
  <si>
    <t>CGIAR</t>
  </si>
  <si>
    <t>Nationalt Center for Klimaforskning</t>
  </si>
  <si>
    <t>Open Philanthropy</t>
  </si>
  <si>
    <t>Scottish Government</t>
  </si>
  <si>
    <t>Plantefonden</t>
  </si>
  <si>
    <t>14.04.2025</t>
  </si>
  <si>
    <t>3.0</t>
  </si>
  <si>
    <t>justeret Aage V. Jensens fond til 25% OH, jf. anbefaling fra Britt</t>
  </si>
  <si>
    <t>15.04.2025</t>
  </si>
  <si>
    <t>3.1</t>
  </si>
  <si>
    <t xml:space="preserve">Oplåst cellen "specify country" i coverletter
Rettet formel i PE fanen og låst skemaet
</t>
  </si>
  <si>
    <t>Organic RDD</t>
  </si>
  <si>
    <t>Infectious Diseases Catalyst Grant</t>
  </si>
  <si>
    <t>Is there involvement from a country that poses a threat to Denmark according to URIS guidelines?</t>
  </si>
  <si>
    <t>De 6 tabeller hænger sammen og må ikke sorteres enkeltvis</t>
  </si>
  <si>
    <t>Fonden for økologisk landbrug</t>
  </si>
  <si>
    <t>Hesteafgiftsfonden</t>
  </si>
  <si>
    <t>Promilleafgiftsfonden</t>
  </si>
  <si>
    <t>Artificial Intelligence</t>
  </si>
  <si>
    <t>Psykiatriforskning</t>
  </si>
  <si>
    <t>DIREC</t>
  </si>
  <si>
    <t>EUopSTART</t>
  </si>
  <si>
    <t>Foreningen PlanDanmark</t>
  </si>
  <si>
    <t>Ascending Investigator within Data Science</t>
  </si>
  <si>
    <t>Emerging Investigator Grant within Data Science</t>
  </si>
  <si>
    <t>Digital Europe Programme</t>
  </si>
  <si>
    <t>European Digital Innovation Hub</t>
  </si>
  <si>
    <t>EveryCat Health Foundation</t>
  </si>
  <si>
    <t>Good Food Institute</t>
  </si>
  <si>
    <t>SSE Renewables</t>
  </si>
  <si>
    <t>au401197</t>
  </si>
  <si>
    <t>Anette Holm Lundgren</t>
  </si>
  <si>
    <t>au207650</t>
  </si>
  <si>
    <t>Peter Lykkebye Andersen</t>
  </si>
  <si>
    <t>Audit</t>
  </si>
  <si>
    <t>Inge Lehmann</t>
  </si>
  <si>
    <t>Danida Green Business Partnerships</t>
  </si>
  <si>
    <t>Aktieselskabet Dampskibsselskabet Orients Fond</t>
  </si>
  <si>
    <t>Faroese Environment Agency</t>
  </si>
  <si>
    <t>12.06.2025</t>
  </si>
  <si>
    <t>3.2</t>
  </si>
  <si>
    <t>Medfinansieringsprocenter i Bx arkene er nu med 1 decimal
Linjerne med VIP er udvidet med 10 linjer, og skjult med "+"
Flyttet project OH felterne i BX ark til kolonne M - for at gøre Total kolonnen smallere
indsat note i comment kolonnen i BX ark "please Type name"
Cover letter ING er omdøbt til Cover letter ECE</t>
  </si>
  <si>
    <t>When you have completed your budget, you must fill out the current Cover Letter. It is up to the individual institute whether to use 'Cover Letter ECE' or 'Cover Letter</t>
  </si>
  <si>
    <t>Når du har udfyldt dit budget skal du udfylde det aktuelle Cover Letter.  Det er op til det enkelte institut hvorvidt der benyttes "Cover Letter ECE" eller "Cover letter".</t>
  </si>
  <si>
    <t>19.06.2025</t>
  </si>
  <si>
    <t>3.3</t>
  </si>
  <si>
    <t>Ændret fonde til kun at beregne tech. Ass. På drift</t>
  </si>
  <si>
    <t>24.06.2025</t>
  </si>
  <si>
    <t>3.4</t>
  </si>
  <si>
    <t>Rettet formelfejl på Tech Ass salary</t>
  </si>
  <si>
    <t>GrantSourceExtra</t>
  </si>
  <si>
    <t>GrantSourceUdvidet</t>
  </si>
  <si>
    <t>A.P. Møller and Wife's Foundation</t>
  </si>
  <si>
    <t>A.P. Møller og Hustrus Fond (A.P. Møller and Wife's Foundation)</t>
  </si>
  <si>
    <t>Aarhus University strategic funds</t>
  </si>
  <si>
    <t>AU strategiske midler (Aarhus University strategic funds)</t>
  </si>
  <si>
    <t>AIAS</t>
  </si>
  <si>
    <t>Aarhus Institute of Advanced Studies (AIAS)</t>
  </si>
  <si>
    <t>Aarhus University Research Foundation, AUFF</t>
  </si>
  <si>
    <t>Aarhus Universitets Forskningsfond (Aarhus University Research Foundation, AUFF)</t>
  </si>
  <si>
    <t>Aarhus University Hospital</t>
  </si>
  <si>
    <t>Aarhus Universitetshospital (Aarhus University Hospital)</t>
  </si>
  <si>
    <t>The Arvid Nilssons Foundation</t>
  </si>
  <si>
    <t>Arvid Nilssons Fond (The Arvid Nilssons Foundation)</t>
  </si>
  <si>
    <t>The Augustinus Foundation</t>
  </si>
  <si>
    <t>Augustinus Fonden (The Augustinus Foundation)</t>
  </si>
  <si>
    <t>The Brothers Hartmann's Foundation</t>
  </si>
  <si>
    <t>Brødrene Hartmanns fond (The Brothers Hartmann's Foundation)</t>
  </si>
  <si>
    <t>Children's Cancer Foundation</t>
  </si>
  <si>
    <t>Børnecancerfonden (Children's Cancer Foundation)</t>
  </si>
  <si>
    <t>The COWI Foundation</t>
  </si>
  <si>
    <t>COWIfonden (The COWI Foundation)</t>
  </si>
  <si>
    <t>The Carlsberg Foundation</t>
  </si>
  <si>
    <t>Carlsbergfondet (The Carlsberg Foundation)</t>
  </si>
  <si>
    <t>Department of Civil Affairs</t>
  </si>
  <si>
    <t>Civilstyrelsen (Department of Civil Affairs)</t>
  </si>
  <si>
    <t>Digital Research Centre Denmark</t>
  </si>
  <si>
    <t>DIREC (Digital Research Centre Denmark)</t>
  </si>
  <si>
    <t>The DAGMAR accordingly, Dr Marshall Fund</t>
  </si>
  <si>
    <t>Dagmar Marshalls Fond (The DAGMAR accordingly, Dr Marshall Fund)</t>
  </si>
  <si>
    <t>Danish International Development Assistance</t>
  </si>
  <si>
    <t>Danida (Danish International Development Assistance)</t>
  </si>
  <si>
    <t>DGBP</t>
  </si>
  <si>
    <t>Danida Green Business Partnerships (DGBP)</t>
  </si>
  <si>
    <t>Danish National Research Foundation</t>
  </si>
  <si>
    <t>Danmarks Grundforskningsfond (Danish National Research Foundation)</t>
  </si>
  <si>
    <t>The Danish Hunters Association</t>
  </si>
  <si>
    <t>Danmarks Jægerforbund (The Danish Hunters Association)</t>
  </si>
  <si>
    <t>Technical University of Denmark</t>
  </si>
  <si>
    <t>Danmarks Tekniske Universitet (Technical University of Denmark)</t>
  </si>
  <si>
    <t>Danish Aquaculture</t>
  </si>
  <si>
    <t>Dansk Akvakultur (Danish Aquaculture)</t>
  </si>
  <si>
    <t>Danish Regions</t>
  </si>
  <si>
    <t>Danske Regioner (Danish Regions)</t>
  </si>
  <si>
    <t>The Obel Family Foundation</t>
  </si>
  <si>
    <t>Det Obelske Familiefond (The Obel Family Foundation)</t>
  </si>
  <si>
    <t>The Danish SDC secretariat</t>
  </si>
  <si>
    <t>Det danske SDC-sekretariat (The Danish SDC secretariat)</t>
  </si>
  <si>
    <t>The Danish Diabetes Association</t>
  </si>
  <si>
    <t>Diabetesforeningen (The Danish Diabetes Association)</t>
  </si>
  <si>
    <t>The EUDP secretariat</t>
  </si>
  <si>
    <t>EUDP – Det Energiteknologiske Udviklings- og Demonstrationsprogram (The EUDP secretariat)</t>
  </si>
  <si>
    <t>Einar Willumsen's Memorial Grant</t>
  </si>
  <si>
    <t>Einar Willumsens Mindelegat (Einar Willumsen's Memorial Grant)</t>
  </si>
  <si>
    <t>Danish Energy Agency</t>
  </si>
  <si>
    <t>Energistyrelsen (Danish Energy Agency)</t>
  </si>
  <si>
    <t>the Danish Board of Business Development</t>
  </si>
  <si>
    <t>Erhvervsfremmestyrelsen (the Danish Board of Business Development)</t>
  </si>
  <si>
    <t>The Danish Business Authority</t>
  </si>
  <si>
    <t>Erhvervsstyrelsen (The Danish Business Authority)</t>
  </si>
  <si>
    <t>ESA</t>
  </si>
  <si>
    <t>European Space Agency (ESA)</t>
  </si>
  <si>
    <t>Umhvørvisstovan</t>
  </si>
  <si>
    <t>Faroese Environment Agency (Umhvørvisstovan)</t>
  </si>
  <si>
    <t>Danish Poultry Levy Fund</t>
  </si>
  <si>
    <t>Fjerkræafgiftsfonden (Danish Poultry Levy Fund)</t>
  </si>
  <si>
    <t>The Danish Fund for Organic Farming</t>
  </si>
  <si>
    <t>Fonden for Økologisk Landbrug (The Danish Fund for Organic Farming)</t>
  </si>
  <si>
    <t>Danmarks Frie Forskningsråd, The Danish Research Council for Humanities, DFF FKK</t>
  </si>
  <si>
    <t>Forskningsrådet for Kultur og Kommunikation (Danmarks Frie Forskningsråd, The Danish Research Council for Humanities, DFF FKK)</t>
  </si>
  <si>
    <t>Danmarks Frie Forskningsråd, The Danish Research Council for Natural Sciences, DFF FNU</t>
  </si>
  <si>
    <t>Forskningsrådet for Natur og Univers (Danmarks Frie Forskningsråd, The Danish Research Council for Natural Sciences, DFF FNU)</t>
  </si>
  <si>
    <t>Danmarks Frie Forskningsråd, The Danish Research Council for Social Sciences, DFF FSE</t>
  </si>
  <si>
    <t>Forskningsrådet for Samfund og Erhverv (Danmarks Frie Forskningsråd, The Danish Research Council for Social Sciences, DFF FSE)</t>
  </si>
  <si>
    <t>Danmarks Frie Forskningsråd, The Danish Research Council for Medical Sciences, DFF FSS</t>
  </si>
  <si>
    <t>Forskningsrådet for Sundhed og Sygdom (Danmarks Frie Forskningsråd, The Danish Research Council for Medical Sciences, DFF FSS)</t>
  </si>
  <si>
    <t>Danmarks Frie Forskningsråd, The Danish Research Council for Technology and Production Sciences, DFF FTP</t>
  </si>
  <si>
    <t>Forskningsrådet for Teknologi og Produktion (Danmarks Frie Forskningsråd, The Danish Research Council for Technology and Production Sciences, DFF FTP)</t>
  </si>
  <si>
    <t>Danish Seeds Levy Fund</t>
  </si>
  <si>
    <t>Frøafgiftsfonden (Danish Seeds Levy Fund)</t>
  </si>
  <si>
    <t>Geological Survey of Denmark and Greenland</t>
  </si>
  <si>
    <t>GEUS (Geological Survey of Denmark and Greenland)</t>
  </si>
  <si>
    <t>Grønt Udviklings- og Demonstrationsprogram</t>
  </si>
  <si>
    <t>GUDP (Grønt Udviklings- og Demonstrationsprogram)</t>
  </si>
  <si>
    <t>The Danish Rheumatism Association</t>
  </si>
  <si>
    <t>Gigtforeningen (The Danish Rheumatism Association)</t>
  </si>
  <si>
    <t>The Greenland Institute of Natural Resources</t>
  </si>
  <si>
    <t>Grønlands Naturinstitut (The Greenland Institute of Natural Resources)</t>
  </si>
  <si>
    <t>The Danish Heart Foundation</t>
  </si>
  <si>
    <t>Hjerteforeningen (The Danish Heart Foundation)</t>
  </si>
  <si>
    <t>Marie Curie</t>
  </si>
  <si>
    <t>Horizon Europe Pillar I Excellent Science MSCA (Marie Curie)</t>
  </si>
  <si>
    <t>other</t>
  </si>
  <si>
    <t>Horizon Europe Pillar I Excellent Science Other (other)</t>
  </si>
  <si>
    <t>Erik Hørslev og Hustru Birgit Hørslevs Fond</t>
  </si>
  <si>
    <t>Hørslev-Fonden (Erik Hørslev og Hustru Birgit Hørslevs Fond)</t>
  </si>
  <si>
    <t>Innovation Fund Denmark</t>
  </si>
  <si>
    <t>InnovationsFonden (Innovation Fund Denmark)</t>
  </si>
  <si>
    <t>International Centre for Research in Organic Food Systems (ICROFS)</t>
  </si>
  <si>
    <t>IMGA</t>
  </si>
  <si>
    <t>International Medical Geology Association (IMGA)</t>
  </si>
  <si>
    <t>IRP</t>
  </si>
  <si>
    <t>International Registry of Pathology (IRP)</t>
  </si>
  <si>
    <t>Danish Potato Levy Fund</t>
  </si>
  <si>
    <t>Kartoffelafgiftsfonden (Danish Potato Levy Fund)</t>
  </si>
  <si>
    <t>The Danish Cancer Society</t>
  </si>
  <si>
    <t>Kræftens Bekæmpelse (The Danish Cancer Society)</t>
  </si>
  <si>
    <t>Agency for Culture and Palaces</t>
  </si>
  <si>
    <t>Kulturarvsstyrelsen (Agency for Culture and Palaces)</t>
  </si>
  <si>
    <t>Danish Cattle Levy Fund</t>
  </si>
  <si>
    <t>Kvægafgiftsfonden (Danish Cattle Levy Fund)</t>
  </si>
  <si>
    <t>University of Copenhagen</t>
  </si>
  <si>
    <t>Københavns Universitet (University of Copenhagen)</t>
  </si>
  <si>
    <t>The Danish Agrifish Agency</t>
  </si>
  <si>
    <t>Landbrugs- og Fiskeristyrelsen (The Danish Agrifish Agency)</t>
  </si>
  <si>
    <t>The Leo Foundation</t>
  </si>
  <si>
    <t>Leo Fondet (The Leo Foundation)</t>
  </si>
  <si>
    <t>The Lundbeck Foundation</t>
  </si>
  <si>
    <t>Lundbeckfonden (The Lundbeck Foundation)</t>
  </si>
  <si>
    <t>MADE association</t>
  </si>
  <si>
    <t>MADE foreningen (MADE association)</t>
  </si>
  <si>
    <t>The Danish Dairy Research Foundation</t>
  </si>
  <si>
    <t>Mejeribrugets forskningsfond (The Danish Dairy Research Foundation)</t>
  </si>
  <si>
    <t>Ministry of Environment and Food of Denmark</t>
  </si>
  <si>
    <t>Miljø- og Fødevareministeriet (Ministry of Environment and Food of Denmark)</t>
  </si>
  <si>
    <t>Danish Environmental Protection Agency</t>
  </si>
  <si>
    <t>Miljøstyrelsen (Danish Environmental Protection Agency)</t>
  </si>
  <si>
    <t>Danish Milk Levy Fund</t>
  </si>
  <si>
    <t>Mælkeafgiftsfonden (Danish Milk Levy Fund)</t>
  </si>
  <si>
    <t>NCKF-DMI</t>
  </si>
  <si>
    <t>Nationalt Center for Klimaforskning (NCKF-DMI)</t>
  </si>
  <si>
    <t>National Defence Technology Centre (NFC)</t>
  </si>
  <si>
    <t>Nationalt Forsvarsteknologisk Center (National Defence Technology Centre (NFC))</t>
  </si>
  <si>
    <t>National Forest and Nature Agency</t>
  </si>
  <si>
    <t>Naturstyrelsen (National Forest and Nature Agency)</t>
  </si>
  <si>
    <t>The Nordea Denmark Foundation</t>
  </si>
  <si>
    <t>Nordea Danmark Fonden (The Nordea Denmark Foundation)</t>
  </si>
  <si>
    <t>Nordic Council of Ministers</t>
  </si>
  <si>
    <t>Nordisk Ministerråd (Nordic Council of Ministers)</t>
  </si>
  <si>
    <t>The Norwegian Resourch Council</t>
  </si>
  <si>
    <t>Norges Forskningsråd (The Norwegian Resourch Council)</t>
  </si>
  <si>
    <t>The Norwegian Geotechnical Institute</t>
  </si>
  <si>
    <t>Norges Geotekniske Institutt (The Norwegian Geotechnical Institute)</t>
  </si>
  <si>
    <t>Novo Nordisk Foundation</t>
  </si>
  <si>
    <t>Novo Nordisk Fonden (Novo Nordisk Foundation)</t>
  </si>
  <si>
    <t>Odense University Hospital</t>
  </si>
  <si>
    <t>Odense Universitetshospital (Odense University Hospital)</t>
  </si>
  <si>
    <t>The Oticon Foundation</t>
  </si>
  <si>
    <t>Oticon Fonden (The Oticon Foundation)</t>
  </si>
  <si>
    <t>Danish Fur Levy Fund</t>
  </si>
  <si>
    <t>Pelsdyrafgiftsfonden (Danish Fur Levy Fund)</t>
  </si>
  <si>
    <t>Grundfos Fonden</t>
  </si>
  <si>
    <t>Danish Promille Levy Fund</t>
  </si>
  <si>
    <t>Promilleafgiftsfonden for landbrug (Danish Promille Levy Fund)</t>
  </si>
  <si>
    <t>Central Denmark Region</t>
  </si>
  <si>
    <t>Region Midtjylland (Central Denmark Region)</t>
  </si>
  <si>
    <t>The North Denmark Region</t>
  </si>
  <si>
    <t>Region Nordjylland (The North Denmark Region)</t>
  </si>
  <si>
    <t>Herning Regional Hospital</t>
  </si>
  <si>
    <t>Regionshospitalet Herning (Herning Regional Hospital)</t>
  </si>
  <si>
    <t>The Riisfort Foundation</t>
  </si>
  <si>
    <t>Riisfort Fonden (The Riisfort Foundation)</t>
  </si>
  <si>
    <t>The Rockwool Foundation</t>
  </si>
  <si>
    <t>Rockwool Fonden (The Rockwool Foundation)</t>
  </si>
  <si>
    <t>The Bureau of Minerals</t>
  </si>
  <si>
    <t>Råstofdirektoratet (The Bureau of Minerals)</t>
  </si>
  <si>
    <t>Science and Technology strategic funds</t>
  </si>
  <si>
    <t>ST strategiske midler (Science and Technology strategic funds)</t>
  </si>
  <si>
    <t>Danish Multiple Sclerosis Society</t>
  </si>
  <si>
    <t>Scleroseforeningen (Danish Multiple Sclerosis Society)</t>
  </si>
  <si>
    <t>Statens Serum Institut</t>
  </si>
  <si>
    <t>Statens serum institut (Statens Serum Institut)</t>
  </si>
  <si>
    <t>Ministry of Health</t>
  </si>
  <si>
    <t>Danish Pig Levy Fund</t>
  </si>
  <si>
    <t>Svineafgiftsfonden (Danish Pig Levy Fund)</t>
  </si>
  <si>
    <t>University of Southern Denmark</t>
  </si>
  <si>
    <t>Syddansk Universitet (University of Southern Denmark)</t>
  </si>
  <si>
    <t>Danmarks Frie Forskningsråd, Thematic Research, DFF</t>
  </si>
  <si>
    <t>Tematisk Forskning (Danmarks Frie Forskningsråd, Thematic Research, DFF)</t>
  </si>
  <si>
    <t>The Toyota Foundation</t>
  </si>
  <si>
    <t>Toyota-Fonden (The Toyota Foundation)</t>
  </si>
  <si>
    <t>The Tryg Foundation</t>
  </si>
  <si>
    <t>TrygFonden (The Tryg Foundation)</t>
  </si>
  <si>
    <t>Ministry for Higher Education and Science</t>
  </si>
  <si>
    <t>Uddannelses- og Forskningsministeriet (Ministry for Higher Education and Science)</t>
  </si>
  <si>
    <t>Danish Ministry of Education</t>
  </si>
  <si>
    <t>Undervisningsministeriet (Danish Ministry of Education)</t>
  </si>
  <si>
    <t>Via University College (Via University College)</t>
  </si>
  <si>
    <t>The Zealand Growth Forum</t>
  </si>
  <si>
    <t>Vækstforum Sjælland (The Zealand Growth Forum)</t>
  </si>
  <si>
    <t>GrantSourcesExtra</t>
  </si>
  <si>
    <t>04.08.2025</t>
  </si>
  <si>
    <t>3.5</t>
  </si>
  <si>
    <t>Validering på cover letter - så der kun kan tastes tal i celle: E18</t>
  </si>
  <si>
    <t>Biosolutions Zealand</t>
  </si>
  <si>
    <t>ADA</t>
  </si>
  <si>
    <t>CRC</t>
  </si>
  <si>
    <t>HCC</t>
  </si>
  <si>
    <t>PLS</t>
  </si>
  <si>
    <t>Naida Lildholdt</t>
  </si>
  <si>
    <t>05.08.2025</t>
  </si>
  <si>
    <t>3.6</t>
  </si>
  <si>
    <t>Rettet fejl på beregning af sekretær løn + TAP funktioner</t>
  </si>
  <si>
    <t>Aarhus Universitet</t>
  </si>
  <si>
    <t>AU</t>
  </si>
  <si>
    <t>Angely Yeast</t>
  </si>
  <si>
    <t>DARA</t>
  </si>
  <si>
    <t>Den Danske Maritime Fond</t>
  </si>
  <si>
    <t>Industriens Fond</t>
  </si>
  <si>
    <t>Styrelsen for Grøn Arealomlægning og Vandmiljø</t>
  </si>
  <si>
    <t>SGAV</t>
  </si>
  <si>
    <t>Sundheds- og ældreministeriet</t>
  </si>
  <si>
    <t>The Research Foundation Flanders</t>
  </si>
  <si>
    <t>TotalEnergies Denmark</t>
  </si>
  <si>
    <t>Aarhus Universitet (AU)</t>
  </si>
  <si>
    <t>AU Connect</t>
  </si>
  <si>
    <t>Styrelsen for Grøn Arealomlægning og Vandmiljø (SGAV)</t>
  </si>
  <si>
    <t>Klimatiltagsprogrammet 2026-2029</t>
  </si>
  <si>
    <t>Sundheds- og ældreministeriet (Ministry of Health)</t>
  </si>
  <si>
    <t>Mindelegat</t>
  </si>
  <si>
    <t>Postdoctoral Fellowships Industrial Biotechnology and Environmental Biotechnology</t>
  </si>
  <si>
    <t>Sabbatical</t>
  </si>
  <si>
    <t>15. Juni Fonden ()</t>
  </si>
  <si>
    <t>A.J. Andersen og Hustrus Fond ()</t>
  </si>
  <si>
    <t>ASC Utrecht University ()</t>
  </si>
  <si>
    <t>Aage V. Jensens Fonde ()</t>
  </si>
  <si>
    <t>Aage og Johanne Louis-Hansens Fond ()</t>
  </si>
  <si>
    <t>Aase og Ejnar Danielsens Fond ()</t>
  </si>
  <si>
    <t>Actinobac Biomed Inc. ()</t>
  </si>
  <si>
    <t>Agouron Institute ()</t>
  </si>
  <si>
    <t>Agro Business Park A/S ()</t>
  </si>
  <si>
    <t>AgroParisTech ()</t>
  </si>
  <si>
    <t>Aktieselskabet Dampskibsselskabet Orients Fond ()</t>
  </si>
  <si>
    <t>Alexion Pharmaceuticals ()</t>
  </si>
  <si>
    <t>Aliophtha A/S ()</t>
  </si>
  <si>
    <t>Alzheimer's Association ()</t>
  </si>
  <si>
    <t>Angely Yeast ()</t>
  </si>
  <si>
    <t>Apple EMEIA Accounts payable ()</t>
  </si>
  <si>
    <t>Arcedi Biotech ApS ()</t>
  </si>
  <si>
    <t>Arla Foods ()</t>
  </si>
  <si>
    <t>Arts &amp; Humanities Research Council ()</t>
  </si>
  <si>
    <t>Autism Speaks ()</t>
  </si>
  <si>
    <t>Axel Muusfeldts Fond ()</t>
  </si>
  <si>
    <t>BASF A/S ()</t>
  </si>
  <si>
    <t>BETA.HEALTH - AUH ()</t>
  </si>
  <si>
    <t>BONUS Science for a better ()</t>
  </si>
  <si>
    <t>BRGM ()</t>
  </si>
  <si>
    <t>Bayer A/S ()</t>
  </si>
  <si>
    <t>Bayer AB ()</t>
  </si>
  <si>
    <t>Bill and Melinda Gates Foundation ()</t>
  </si>
  <si>
    <t>Biosolutions Zealand ()</t>
  </si>
  <si>
    <t>Bodil Pedersen Fonden ()</t>
  </si>
  <si>
    <t>Brain&amp;Behavior Research Found ()</t>
  </si>
  <si>
    <t>CGIAR ()</t>
  </si>
  <si>
    <t>CIMO ()</t>
  </si>
  <si>
    <t>Carl og Ellen Hertz' legat til Dansk Læge- og Naturvidenskab ()</t>
  </si>
  <si>
    <t>Carlsberg Laboratory ()</t>
  </si>
  <si>
    <t>Choise Pharma ()</t>
  </si>
  <si>
    <t>Civilingeniør Frode V. Nyegaard og Hustrus Fond ()</t>
  </si>
  <si>
    <t>Clean air fund ()</t>
  </si>
  <si>
    <t>Climate Change AI ()</t>
  </si>
  <si>
    <t>Cobb-Vantress Incorporated ()</t>
  </si>
  <si>
    <t>Colgate-Palmolive A/S ()</t>
  </si>
  <si>
    <t>DARA ()</t>
  </si>
  <si>
    <t>DERMADIS ()</t>
  </si>
  <si>
    <t>DLG Food Oil ()</t>
  </si>
  <si>
    <t>DONG A/S ()</t>
  </si>
  <si>
    <t>DOW AgroSciences ()</t>
  </si>
  <si>
    <t>Danida Fellowship Centre ()</t>
  </si>
  <si>
    <t>Danish Cardiovascular Academy ()</t>
  </si>
  <si>
    <t>Danish Data Science Academy ()</t>
  </si>
  <si>
    <t>Danish Diabetes Academy ()</t>
  </si>
  <si>
    <t>Danish e-infrastructure ()</t>
  </si>
  <si>
    <t>Danmarks Lungeforening ()</t>
  </si>
  <si>
    <t>Dansk Center for Havforskning ()</t>
  </si>
  <si>
    <t>Dansk Energi Net ()</t>
  </si>
  <si>
    <t>Dansk Gartneri ()</t>
  </si>
  <si>
    <t>Dansk Kræftforskningsfond ()</t>
  </si>
  <si>
    <t>Den Danske Maritime Fond ()</t>
  </si>
  <si>
    <t>Den Grønlandske Fond ()</t>
  </si>
  <si>
    <t>Dentosolve ()</t>
  </si>
  <si>
    <t>Diet4life ApS ()</t>
  </si>
  <si>
    <t>Digital Europe Programme ()</t>
  </si>
  <si>
    <t>Direktør Emil C. Hertz og hustru Inger Hertz' Fond ()</t>
  </si>
  <si>
    <t>Direktør Ib Henriksens Fond ()</t>
  </si>
  <si>
    <t>Direktør Kurt Bønnelycke og hustru fru Grethe Bønnelyckes Fond ()</t>
  </si>
  <si>
    <t>DuPont Nutrition Biosciences ApS ()</t>
  </si>
  <si>
    <t>ELCA Justice for Women ()</t>
  </si>
  <si>
    <t>EPA ()</t>
  </si>
  <si>
    <t>ESPU Administrative Coordinator ()</t>
  </si>
  <si>
    <t>Edith og Olfert Dines Hansens Legat ()</t>
  </si>
  <si>
    <t>Edward G. Johnson Fond ()</t>
  </si>
  <si>
    <t>Ekspeditionssekretær, cand. Jur. Torkil Steenbecks Legat ()</t>
  </si>
  <si>
    <t>Ellab-Fonden ()</t>
  </si>
  <si>
    <t>Energinet.dk ()</t>
  </si>
  <si>
    <t>Esbjerg Fonden ()</t>
  </si>
  <si>
    <t>European Defence Fund ()</t>
  </si>
  <si>
    <t>European Foundation for the Study of Diabetes ()</t>
  </si>
  <si>
    <t>European Fur Breeders Ass. ()</t>
  </si>
  <si>
    <t>European Orthodontic Society ()</t>
  </si>
  <si>
    <t>European Skin Research Foundation ()</t>
  </si>
  <si>
    <t>European Spallation Source ESS AB ()</t>
  </si>
  <si>
    <t>Europlace Institute of Finance ()</t>
  </si>
  <si>
    <t>Eva Merete Falck Crones Fond ()</t>
  </si>
  <si>
    <t>EveryCat Health Foundation ()</t>
  </si>
  <si>
    <t>Faunafonds ()</t>
  </si>
  <si>
    <t>Federation of European Biochemical Societies ()</t>
  </si>
  <si>
    <t>Ferring Pharmaceuticals A/S ()</t>
  </si>
  <si>
    <t>Fondation Francois Sommer ()</t>
  </si>
  <si>
    <t>Fondation Idella ()</t>
  </si>
  <si>
    <t>Fondation Leducq ()</t>
  </si>
  <si>
    <t>Fonden for Almen Praksis ()</t>
  </si>
  <si>
    <t>Fonden for Neurologisk Forskning ()</t>
  </si>
  <si>
    <t>Fonden til Lægevidenskabens Fremme ()</t>
  </si>
  <si>
    <t>Foreningen PlanDanmark ()</t>
  </si>
  <si>
    <t>Frichs A/S ()</t>
  </si>
  <si>
    <t>Frimodt-Heineke Fonden ()</t>
  </si>
  <si>
    <t>Fritz Thyssen Stiftung ()</t>
  </si>
  <si>
    <t>Frode V. Nyegaard Hustrus Fond ()</t>
  </si>
  <si>
    <t>GENO SA ()</t>
  </si>
  <si>
    <t>Gartneriet PKM A/S ()</t>
  </si>
  <si>
    <t>Geoscience Australia, Symonston, ACT 2609 Australia ()</t>
  </si>
  <si>
    <t>Global Biodiversity Facility ()</t>
  </si>
  <si>
    <t>Gluds legat ()</t>
  </si>
  <si>
    <t>Good Food Institute ()</t>
  </si>
  <si>
    <t>Google ()</t>
  </si>
  <si>
    <t>Government of Canada ()</t>
  </si>
  <si>
    <t>Grosserer Andreas Collstrop og Søn Rudolf C. Mindefond ()</t>
  </si>
  <si>
    <t>Grosserer L. F. Foghts fond ()</t>
  </si>
  <si>
    <t>Grundfos Management A/S ()</t>
  </si>
  <si>
    <t>HKR Hogskolan Kristianstad ()</t>
  </si>
  <si>
    <t>Haldor Topsøe A/S ()</t>
  </si>
  <si>
    <t>Harboefonden ()</t>
  </si>
  <si>
    <t>Hede Nielsens Fond ()</t>
  </si>
  <si>
    <t>Helga og Peter Kornings Fond ()</t>
  </si>
  <si>
    <t>Helsefonden ()</t>
  </si>
  <si>
    <t>Hilde Lund ()</t>
  </si>
  <si>
    <t>Hildur og Dagny Jakobsens Mindefond ()</t>
  </si>
  <si>
    <t>Horizon Europe ()</t>
  </si>
  <si>
    <t>Horizon Europe Other ()</t>
  </si>
  <si>
    <t>Horizon Europe Pillar I EIC ()</t>
  </si>
  <si>
    <t>Horizon Europe Pillar I Excellent Science ERC ()</t>
  </si>
  <si>
    <t>Horizon Europe Pillar II Global Challenges ()</t>
  </si>
  <si>
    <t>Horizon Europe Pillar III Innovative Europe ()</t>
  </si>
  <si>
    <t>Hortiadvice ()</t>
  </si>
  <si>
    <t>Human Frontier Science Program Organization ()</t>
  </si>
  <si>
    <t>ITI Foundation ()</t>
  </si>
  <si>
    <t>Idemitsu Petroleum Norge AS ()</t>
  </si>
  <si>
    <t>IfaÖ ()</t>
  </si>
  <si>
    <t>Industriens Fond ()</t>
  </si>
  <si>
    <t>Innovation Marketing Adisseo, France SAS ()</t>
  </si>
  <si>
    <t>International Labour Office ()</t>
  </si>
  <si>
    <t>International Society for Pharmacoepidemiology ()</t>
  </si>
  <si>
    <t>InvivoGen SAS ()</t>
  </si>
  <si>
    <t>It-Vest ()</t>
  </si>
  <si>
    <t>Jascha Fonden ()</t>
  </si>
  <si>
    <t>Jenny and Anttik Wihuri foundation ()</t>
  </si>
  <si>
    <t>John Templeton Foundation ()</t>
  </si>
  <si>
    <t>Karen Elise Jensens Fond ()</t>
  </si>
  <si>
    <t>Kilian Water ApS ()</t>
  </si>
  <si>
    <t>Kirstens Anthonius Legat ()</t>
  </si>
  <si>
    <t>Klelund ApS ()</t>
  </si>
  <si>
    <t>Knud og Edith Eriksens Mindefond ()</t>
  </si>
  <si>
    <t>Kong Christian den Tiendes Fond ()</t>
  </si>
  <si>
    <t>Kongskilde Industries A/S ()</t>
  </si>
  <si>
    <t>Kopenhagen Fur ()</t>
  </si>
  <si>
    <t>Krista og Viggo Petersen Fond ()</t>
  </si>
  <si>
    <t>Kungl. Gustav Adolfs Akademien ()</t>
  </si>
  <si>
    <t>Københavns Kommune ()</t>
  </si>
  <si>
    <t>LIFE 2021-2027 ()</t>
  </si>
  <si>
    <t>Lantbrukarnas Ekonomi AB ()</t>
  </si>
  <si>
    <t>Lantmännen Food R&amp;D ()</t>
  </si>
  <si>
    <t>Lauritzen Fonden ()</t>
  </si>
  <si>
    <t>Letterstedtska Foreningen ()</t>
  </si>
  <si>
    <t>Lund University ()</t>
  </si>
  <si>
    <t>Lundbeck A/S ()</t>
  </si>
  <si>
    <t>Länsstyrelsen Halland ()</t>
  </si>
  <si>
    <t>Læge Sofus Carl Emil Friis og hustru Olga Doris Friis' Legat ()</t>
  </si>
  <si>
    <t>Lægeforeningens Forskningsfond ()</t>
  </si>
  <si>
    <t>Maria Dorthea og Holger From, Haderslevs Fond ()</t>
  </si>
  <si>
    <t>Marianne och Marcus Wallenbergs Stiftelse ()</t>
  </si>
  <si>
    <t>Marida Bennedetti ()</t>
  </si>
  <si>
    <t>Marie Borghild Bach ()</t>
  </si>
  <si>
    <t>Martha og Paul Kerrn-Jespersens fond ()</t>
  </si>
  <si>
    <t>Michelin ()</t>
  </si>
  <si>
    <t>Microsoft ()</t>
  </si>
  <si>
    <t>Mizutani Foundation for glycoscience ()</t>
  </si>
  <si>
    <t>Mærsk Olie og Gas A/S ()</t>
  </si>
  <si>
    <t>NCU ()</t>
  </si>
  <si>
    <t>NOVA University Network ()</t>
  </si>
  <si>
    <t>Nebraska University ()</t>
  </si>
  <si>
    <t>Neye-Fonden ()</t>
  </si>
  <si>
    <t>Nokia Group ()</t>
  </si>
  <si>
    <t>NordForsk (Norden) ()</t>
  </si>
  <si>
    <t>Nordic Cancer Union ()</t>
  </si>
  <si>
    <t>Nordic Mining ASA ()</t>
  </si>
  <si>
    <t>Nordisk Avlsværdivurdering NAV ()</t>
  </si>
  <si>
    <t>Nordisk Kulturfond ()</t>
  </si>
  <si>
    <t>Nordregio ()</t>
  </si>
  <si>
    <t>Norsk Forfattersentrum ()</t>
  </si>
  <si>
    <t>Norwegian University of Life Sciences ()</t>
  </si>
  <si>
    <t>Novo Nordisk A/S ()</t>
  </si>
  <si>
    <t>Novo Nordisk Scandinavia AB ()</t>
  </si>
  <si>
    <t>Novozymes ()</t>
  </si>
  <si>
    <t>Oda og Hans Svenningsens Fond ()</t>
  </si>
  <si>
    <t>Office of Naval Research ()</t>
  </si>
  <si>
    <t>Open Philanthropy ()</t>
  </si>
  <si>
    <t>Open Society Foundation ()</t>
  </si>
  <si>
    <t>Osteology Foundation ()</t>
  </si>
  <si>
    <t>Overlæge Poul Martin Christiansen og hustrus fond ()</t>
  </si>
  <si>
    <t>Parkinsonforeningen ()</t>
  </si>
  <si>
    <t>Peace Research Institute Oslo ()</t>
  </si>
  <si>
    <t>Pearson Assessment and information AB ()</t>
  </si>
  <si>
    <t>Photocure ASA ()</t>
  </si>
  <si>
    <t>Plant Bioscience Limited ()</t>
  </si>
  <si>
    <t>Plant2food ()</t>
  </si>
  <si>
    <t>Planteafgiftsfonden ()</t>
  </si>
  <si>
    <t>Povl M. Assens Fond ()</t>
  </si>
  <si>
    <t>Progeria Research Foundation ()</t>
  </si>
  <si>
    <t>R. Riisfort A/S ()</t>
  </si>
  <si>
    <t>Realdania ()</t>
  </si>
  <si>
    <t>Research Council Faroe Islands ()</t>
  </si>
  <si>
    <t>Riksbankens Jubileumsfond ()</t>
  </si>
  <si>
    <t>Rosalie Petersens Fond ()</t>
  </si>
  <si>
    <t>Royal Norwegian ()</t>
  </si>
  <si>
    <t>SEGES P/S ()</t>
  </si>
  <si>
    <t>SSE Renewables ()</t>
  </si>
  <si>
    <t>Sanofi Genzyme ()</t>
  </si>
  <si>
    <t>Scottish Government ()</t>
  </si>
  <si>
    <t>Shionogi &amp; Co. LTD ()</t>
  </si>
  <si>
    <t>Simon Spies Fonden ()</t>
  </si>
  <si>
    <t>Snorrastofa ()</t>
  </si>
  <si>
    <t>Society for the Study Inborn ()</t>
  </si>
  <si>
    <t>Stanley Foundation Research Awards Program ()</t>
  </si>
  <si>
    <t>Stichting Deltares ()</t>
  </si>
  <si>
    <t>Stiftelsen Clara Lachmanns Fond ()</t>
  </si>
  <si>
    <t>Stiftelsen Norsk institutt for studier av forsknin ()</t>
  </si>
  <si>
    <t>Stiftelsen Åforsk ()</t>
  </si>
  <si>
    <t>Sunstar Suisse SA ()</t>
  </si>
  <si>
    <t>TICRA Fond ()</t>
  </si>
  <si>
    <t>TW Engineering A/S ()</t>
  </si>
  <si>
    <t>Tandlægeforeningen ()</t>
  </si>
  <si>
    <t>Team Danmark ()</t>
  </si>
  <si>
    <t>Telormedix ()</t>
  </si>
  <si>
    <t>The American Cleaning Institute ()</t>
  </si>
  <si>
    <t>The Amoyotrophic Lateral Sclerosis Association ()</t>
  </si>
  <si>
    <t>The Endocrine Society ()</t>
  </si>
  <si>
    <t>The European Partnership for Radiation Protection Research ()</t>
  </si>
  <si>
    <t>The Hans Rausing Endangered Languages Project ()</t>
  </si>
  <si>
    <t>The John and Birthe Meyer Foundation ()</t>
  </si>
  <si>
    <t>The Laerdal Foundation for Acute Medicine ()</t>
  </si>
  <si>
    <t>The Research Foundation Flanders ()</t>
  </si>
  <si>
    <t>The Thailand Research Fund ()</t>
  </si>
  <si>
    <t>The University of North Carolina at Chapel Hill ()</t>
  </si>
  <si>
    <t>The Wenner-Gren Foundation ()</t>
  </si>
  <si>
    <t>The Woods hole oceanographic institution ()</t>
  </si>
  <si>
    <t>The World Bank Group ()</t>
  </si>
  <si>
    <t>Thomas B. Thrige Fonden ()</t>
  </si>
  <si>
    <t>Torben og Alice Frimodts Fond ()</t>
  </si>
  <si>
    <t>TotalEnergies Denmark ()</t>
  </si>
  <si>
    <t>Ultragenyx Pharmaceutical Inc. ()</t>
  </si>
  <si>
    <t>Unilever Danmark A/S ()</t>
  </si>
  <si>
    <t>University of Wyoming ()</t>
  </si>
  <si>
    <t>Universum Communications ()</t>
  </si>
  <si>
    <t>VMware Foundation ()</t>
  </si>
  <si>
    <t>VOFO Voksenopplæringsforbundet ()</t>
  </si>
  <si>
    <t>VUDP – Vandsektorens Udviklings- og Demonstrationsprogram ()</t>
  </si>
  <si>
    <t>Vattenfall A/S ()</t>
  </si>
  <si>
    <t>Velux Fonden ()</t>
  </si>
  <si>
    <t>Videncenter f. Svineproduktion ()</t>
  </si>
  <si>
    <t>Videncenter for Landbrug ()</t>
  </si>
  <si>
    <t>Videreuddannelsregion Nord ()</t>
  </si>
  <si>
    <t>Viking Genetics ()</t>
  </si>
  <si>
    <t>Vilhelm Pedersen og Hustrus Mindelegat ()</t>
  </si>
  <si>
    <t>Villum Fonden ()</t>
  </si>
  <si>
    <t>Vissing Fonden ()</t>
  </si>
  <si>
    <t>Vlaams Instituut voor de Zee ()</t>
  </si>
  <si>
    <t>Volkswagen Stiftung ()</t>
  </si>
  <si>
    <t>William Demant Foundation ()</t>
  </si>
  <si>
    <t>amfAR, The Foundation for AIDS Research ()</t>
  </si>
  <si>
    <t>11.08.2025</t>
  </si>
  <si>
    <t>3.7</t>
  </si>
  <si>
    <t>Rettet valideringsliste på B3, B4 og B5, så Audit fremkommer på listen.</t>
  </si>
  <si>
    <t>Danish public</t>
  </si>
  <si>
    <t>Danish private</t>
  </si>
  <si>
    <t>Aage V. Jensen Naturfond</t>
  </si>
  <si>
    <t>Foreign Non-EU</t>
  </si>
  <si>
    <t>GrantSourceCategory</t>
  </si>
  <si>
    <t>Grant Source Category</t>
  </si>
  <si>
    <t>Aage V. Jensen Naturfond ()</t>
  </si>
  <si>
    <t>Danish 3R-Center</t>
  </si>
  <si>
    <t>Danish 3R-Center ()</t>
  </si>
  <si>
    <t>GreenLab</t>
  </si>
  <si>
    <t>GreenLab ()</t>
  </si>
  <si>
    <t>Lantmännen Research Foundation</t>
  </si>
  <si>
    <t>Lantmännen Research Foundation ()</t>
  </si>
  <si>
    <t>Nordfyns Kommune</t>
  </si>
  <si>
    <t>Nordfyns Kommune ()</t>
  </si>
  <si>
    <t>06.10.2025</t>
  </si>
  <si>
    <t>3.8</t>
  </si>
  <si>
    <t>Ændret navn på Cover letter ECE til Cover letter ECE_MPE
Korrigeret fejl i formel på beregning af department tuition fee i cover letter</t>
  </si>
  <si>
    <t>When a 'Grant Source' is selected from the list, information about the overhead rate and hourly standard is automatically filled in. If a 'Grant Source' not on the list is entered, you must fill in the fields correctly yourself.</t>
  </si>
  <si>
    <r>
      <t xml:space="preserve">Project start </t>
    </r>
    <r>
      <rPr>
        <sz val="9"/>
        <rFont val="Verdana"/>
        <family val="2"/>
      </rPr>
      <t>(dd-mm-yyyy)</t>
    </r>
  </si>
  <si>
    <t>ReAp control</t>
  </si>
  <si>
    <t>Danida Knowledge and Innovation Partnerships</t>
  </si>
  <si>
    <t>Danida Knowledge and Innovation Partnerships ()</t>
  </si>
  <si>
    <t>Energy Cluster Denmark</t>
  </si>
  <si>
    <t>Energy Cluster Denmark ()</t>
  </si>
  <si>
    <t>Hesteafgiftsfonden ()</t>
  </si>
  <si>
    <t>Interreg ()</t>
  </si>
  <si>
    <t>LEX-NG Fund</t>
  </si>
  <si>
    <t>LEX-NG Fund ()</t>
  </si>
  <si>
    <t>Landbrug &amp; Fødevarer</t>
  </si>
  <si>
    <t>Landbrug &amp; Fødevarer ()</t>
  </si>
  <si>
    <t>Miljø- og Ligestillingsministeriet</t>
  </si>
  <si>
    <t>Ministry of Environment and Gender Equality of Denmark</t>
  </si>
  <si>
    <t>Miljø- og Ligestillingsministeriet (Ministry of Environment and Gender Equality of Denmark)</t>
  </si>
  <si>
    <t>QATO Fonden</t>
  </si>
  <si>
    <t>QATO Fonden ()</t>
  </si>
  <si>
    <t>CO2 Research Center, CORC</t>
  </si>
  <si>
    <t>Brancheudvalget for Frø</t>
  </si>
  <si>
    <t>Grønt Program 2025</t>
  </si>
  <si>
    <t>Ascending Investigator</t>
  </si>
  <si>
    <r>
      <t xml:space="preserve">Cover letter for management for externally funded projects
</t>
    </r>
    <r>
      <rPr>
        <b/>
        <sz val="10"/>
        <rFont val="Verdana"/>
        <family val="2"/>
      </rPr>
      <t xml:space="preserve">The green fields are to be filled in by the grant holder
The grey fields retrieve information from the WPs that have the same department as in E5 </t>
    </r>
  </si>
  <si>
    <r>
      <t xml:space="preserve">Cover letter for management for externally funded projects
</t>
    </r>
    <r>
      <rPr>
        <b/>
        <sz val="10"/>
        <rFont val="Verdana"/>
        <family val="2"/>
      </rPr>
      <t>The green fields are to be filled in by the grant holder
The grey fields retrieve information from the WPs that have the same department as in E5</t>
    </r>
  </si>
  <si>
    <t>Mohammed VI Polytechnic University</t>
  </si>
  <si>
    <t>UM6P</t>
  </si>
  <si>
    <t>Mohammed VI Polytechnic University (UM6P)</t>
  </si>
  <si>
    <t>Stiftelsen Hofmansgave</t>
  </si>
  <si>
    <t>Stiftelsen Hofmansgave ()</t>
  </si>
  <si>
    <t>Udenrigsministeriet</t>
  </si>
  <si>
    <t>Danish Ministry of Foreign Affairs of Denmark</t>
  </si>
  <si>
    <t>Udenrigsministeriet (Danish Ministry of Foreign Affairs of Denmark)</t>
  </si>
  <si>
    <t>Own currency</t>
  </si>
  <si>
    <t>&lt;- Leave blank to use currency above. Otherwise, enter name and rate</t>
  </si>
  <si>
    <t>Used currency</t>
  </si>
  <si>
    <t>&lt;- Choose a currency from the dropdown-menu under Name.</t>
  </si>
  <si>
    <t>IV fra-dato</t>
  </si>
  <si>
    <t>3.9</t>
  </si>
  <si>
    <t>Lasse</t>
  </si>
  <si>
    <t>Rettet formelfejl på flere faner; mulighed for egen valuta på "Total Other Currency"; Rettet IV-overhead til 105%, hvis startdato er efter 1/1 2026. Tilføjet linje på Cover letter-fanerne om IL-godkendelse af ph.d.'s pligtarbejde.</t>
  </si>
  <si>
    <t>Number of months</t>
  </si>
  <si>
    <t>Head of Department approval of PhDs student's work obligation of IFD projects</t>
  </si>
  <si>
    <t>The PhD students for which funding is applied will only work on tasks directly related to the project during their work obligation.</t>
  </si>
  <si>
    <t>4.0</t>
  </si>
  <si>
    <t xml:space="preserve">Opdateret til 2026 som første år. Rettet projekttillægsbeløb til 257.000 kr. Rettet beregning af årsværk til "technical assistance", så det matcher beløb.
</t>
  </si>
  <si>
    <t>Salgspris/timenorm</t>
  </si>
  <si>
    <t>ReAp kontrol:</t>
  </si>
  <si>
    <t>Ansøgningsskema retur til afsender:</t>
  </si>
  <si>
    <t>Afsender:</t>
  </si>
  <si>
    <t>&lt;- her indsættes afsender email af flowet</t>
  </si>
  <si>
    <t/>
  </si>
  <si>
    <t>4.1</t>
  </si>
  <si>
    <t>Opdaterede kostpriser 2026
Rettet formel for "scrap-værdi", så det fratrækkes "operational costs"</t>
  </si>
  <si>
    <t>Technician - high rate</t>
  </si>
  <si>
    <t>Laboratory technician - high rate</t>
  </si>
  <si>
    <t>Tilføjet "Technician - high rate" og "Laboratory technician - high rate"</t>
  </si>
  <si>
    <t>Post Doc. - low rate</t>
  </si>
  <si>
    <t>Institut</t>
  </si>
  <si>
    <t>Applied project
supplement 2026</t>
  </si>
  <si>
    <t>Applied project
supplement 2027</t>
  </si>
  <si>
    <t>Applied project
supplement 2028</t>
  </si>
  <si>
    <t>Applied project
supplement 2029</t>
  </si>
  <si>
    <t>Applied project
supplement 2030</t>
  </si>
  <si>
    <t>Applied project
supplement 2031</t>
  </si>
  <si>
    <t>Applied project
supplement 2032</t>
  </si>
  <si>
    <t>Applied project
supplement 2035</t>
  </si>
  <si>
    <t>Applied project
supplement 2034</t>
  </si>
  <si>
    <t>Applied project
supplement 2033</t>
  </si>
  <si>
    <t>Advanced Research Invention Agency</t>
  </si>
  <si>
    <t>ARIA</t>
  </si>
  <si>
    <t>Advanced Research Invention Agency (ARIA)</t>
  </si>
  <si>
    <t>AlgeCenter Danmark</t>
  </si>
  <si>
    <t>AlgeCenter Danmark ()</t>
  </si>
  <si>
    <t>Dansk Hydraulisk Institut</t>
  </si>
  <si>
    <t>DHI</t>
  </si>
  <si>
    <t>Dansk Hydraulisk Institut (DHI)</t>
  </si>
  <si>
    <t>ECMWF Copernicus</t>
  </si>
  <si>
    <t>ECMWF Copernicus ()</t>
  </si>
  <si>
    <t>Erasmus+</t>
  </si>
  <si>
    <t>Erasmus+ ()</t>
  </si>
  <si>
    <t>Eurofins</t>
  </si>
  <si>
    <t>Eurofins ()</t>
  </si>
  <si>
    <t>Fur Europe</t>
  </si>
  <si>
    <t>Fur Europe ()</t>
  </si>
  <si>
    <t>Gates Foundation</t>
  </si>
  <si>
    <t>Gates Foundation ()</t>
  </si>
  <si>
    <t>Hartmann Fonden</t>
  </si>
  <si>
    <t>Hartmann Fonden ()</t>
  </si>
  <si>
    <t>Hempelfonden</t>
  </si>
  <si>
    <t>Hempelfonden ()</t>
  </si>
  <si>
    <t>Holbæk Kommune</t>
  </si>
  <si>
    <t>Holbæk Kommune ()</t>
  </si>
  <si>
    <t>Horizon Europe Twinning</t>
  </si>
  <si>
    <t>Horizon Europe Twinning ()</t>
  </si>
  <si>
    <t>Horizon Europe WIDERA</t>
  </si>
  <si>
    <t>Horizon Europe WIDERA ()</t>
  </si>
  <si>
    <t>International Whaling Commission</t>
  </si>
  <si>
    <t>International Whaling Commission ()</t>
  </si>
  <si>
    <t>Jens Smeds Oceanografiske Fond</t>
  </si>
  <si>
    <t>Jens Smeds Oceanografiske Fond ()</t>
  </si>
  <si>
    <t>Klima-, Energi- og Forsyningsministeriet</t>
  </si>
  <si>
    <t>Danish Ministry of Climate, Energy and Utilities</t>
  </si>
  <si>
    <t>Klima-, Energi- og Forsyningsministeriet (Danish Ministry of Climate, Energy and Utilities)</t>
  </si>
  <si>
    <t>Københavns Lufthavn</t>
  </si>
  <si>
    <t>Københavns Lufthavn ()</t>
  </si>
  <si>
    <t>Lyngby-Taarbæk Kommune</t>
  </si>
  <si>
    <t>Lyngby-Taarbæk Kommune ()</t>
  </si>
  <si>
    <t>Middelfart Kommune</t>
  </si>
  <si>
    <t>Middelfart Kommune ()</t>
  </si>
  <si>
    <t>Miljøfonden</t>
  </si>
  <si>
    <t>Avatangiisinut Aningaasaateqarfik</t>
  </si>
  <si>
    <t>Miljøfonden (Avatangiisinut Aningaasaateqarfik)</t>
  </si>
  <si>
    <t>Naturvårdsverket</t>
  </si>
  <si>
    <t>Naturvårdsverket ()</t>
  </si>
  <si>
    <t>Nordic Research Networks NKJ</t>
  </si>
  <si>
    <t>Nordic Research Networks NKJ ()</t>
  </si>
  <si>
    <t>Odense Robotics</t>
  </si>
  <si>
    <t>Odense Robotics ()</t>
  </si>
  <si>
    <t>Rijkswaterstaat</t>
  </si>
  <si>
    <t>Rijkswaterstaat ()</t>
  </si>
  <si>
    <t>Roskilde Kommune</t>
  </si>
  <si>
    <t>Roskilde Kommune ()</t>
  </si>
  <si>
    <t>Sukkerroeafgiftsfonden</t>
  </si>
  <si>
    <t>Sukkerroeafgiftsfonden ()</t>
  </si>
  <si>
    <t>Svenska Jägerförbundet</t>
  </si>
  <si>
    <t>Svenska Jägerförbundet ()</t>
  </si>
  <si>
    <t>The Michael J.Fox Foundation for Parkinson´s Research</t>
  </si>
  <si>
    <t>The Michael J.Fox Foundation for Parkinson´s Research ()</t>
  </si>
  <si>
    <t>The Tire Industry Project</t>
  </si>
  <si>
    <t>The Tire Industry Project ()</t>
  </si>
  <si>
    <t>Twinning</t>
  </si>
  <si>
    <t>Twinning ()</t>
  </si>
  <si>
    <t>Vejdirektoratet</t>
  </si>
  <si>
    <t>Vejdirektoratet ()</t>
  </si>
  <si>
    <t>WASP-HS</t>
  </si>
  <si>
    <t>WASP-HS ()</t>
  </si>
  <si>
    <t>Wageningen University</t>
  </si>
  <si>
    <t>Wageningen University ()</t>
  </si>
  <si>
    <t>aerbio</t>
  </si>
  <si>
    <t>aerbio ()</t>
  </si>
  <si>
    <t>CellFood</t>
  </si>
  <si>
    <t>Health-Tech Network Innovation Funding</t>
  </si>
  <si>
    <t>Food &amp; Bio Cluster Denmark</t>
  </si>
  <si>
    <t>Klyngeprogram 2025-2028 Lifestyle and Design Cluster</t>
  </si>
  <si>
    <t>Miljøteknologisk Udviklings- og Demonstrationsprogram</t>
  </si>
  <si>
    <t>Interdisciplinary Research Centres</t>
  </si>
  <si>
    <t>Postdoc Fellowships at University of Oxford</t>
  </si>
  <si>
    <t>Tandem Programme</t>
  </si>
  <si>
    <t>Infrastructure</t>
  </si>
  <si>
    <t>Air Quality and Emission Engineering</t>
  </si>
  <si>
    <t>Bioprocess Engineering</t>
  </si>
  <si>
    <t>Chemical Process Engineering</t>
  </si>
  <si>
    <t>Energy Conversion Technology</t>
  </si>
  <si>
    <t>Functional Materials</t>
  </si>
  <si>
    <t>Molecular and Cellular Biotechnology</t>
  </si>
  <si>
    <t>Water Technology</t>
  </si>
  <si>
    <t>MAME</t>
  </si>
  <si>
    <t>Milla Scott</t>
  </si>
  <si>
    <t>Special/manager consultant - low rate</t>
  </si>
  <si>
    <t>EU4Health</t>
  </si>
  <si>
    <t>EU4Health ()</t>
  </si>
  <si>
    <t>AgroBioDiversity</t>
  </si>
  <si>
    <t>Breeding</t>
  </si>
  <si>
    <t>Crops</t>
  </si>
  <si>
    <t>Genomics</t>
  </si>
  <si>
    <t>Phenomics</t>
  </si>
  <si>
    <t>Briefly describe how the activity is a natural extension of the 
department's core activities</t>
  </si>
  <si>
    <t>Fonden for plantebaserede fødevarer</t>
  </si>
  <si>
    <t>Plantefonden (Fonden for plantebaserede fødevarer)</t>
  </si>
  <si>
    <t>Region Syddanmark</t>
  </si>
  <si>
    <t>The Region of Southern Denmark</t>
  </si>
  <si>
    <t>Region Syddanmark (The Region of Southern Denmark)</t>
  </si>
  <si>
    <t>Agria</t>
  </si>
  <si>
    <t>Agria ()</t>
  </si>
  <si>
    <t>CenSec</t>
  </si>
  <si>
    <t>CenSec ()</t>
  </si>
  <si>
    <t>Danmarks Naturfredningsforening</t>
  </si>
  <si>
    <t>Danmarks Naturfredningsforening ()</t>
  </si>
  <si>
    <t>Danske Dyrlægers Forsikringsforening</t>
  </si>
  <si>
    <t>Danske Dyrlægers Forsikringsforening ()</t>
  </si>
  <si>
    <t>Jægernes Udviklingsfond</t>
  </si>
  <si>
    <t>Jægernes Udviklingsfond ()</t>
  </si>
  <si>
    <t>Body-Brain Interdisciplinary Projects</t>
  </si>
  <si>
    <t>Nationalpark Vadehavet</t>
  </si>
  <si>
    <t>Nationalpark Vadehavet ()</t>
  </si>
  <si>
    <t>Prepare</t>
  </si>
  <si>
    <t>Poul Due Jensens Fond</t>
  </si>
  <si>
    <t>Poul Due Jensens Fond (Grundfos Fonden)</t>
  </si>
  <si>
    <t>seabreak</t>
  </si>
  <si>
    <t>seabreak ()</t>
  </si>
  <si>
    <t>European Commission</t>
  </si>
  <si>
    <t>European Commission ()</t>
  </si>
  <si>
    <t>EU Tender</t>
  </si>
  <si>
    <t>Cargill</t>
  </si>
  <si>
    <t>Cargill ()</t>
  </si>
  <si>
    <t>EPFL</t>
  </si>
  <si>
    <t>École Polytechnique Fédérale de Lausanne</t>
  </si>
  <si>
    <t>EPFL (École Polytechnique Fédérale de Lausanne)</t>
  </si>
  <si>
    <t>Global Methane Hub</t>
  </si>
  <si>
    <t>Global Methane Hub ()</t>
  </si>
  <si>
    <t>Humane Slaughter Association</t>
  </si>
  <si>
    <t>Humane Slaughter Association ()</t>
  </si>
  <si>
    <t>Philanthropy Asia Alliance</t>
  </si>
  <si>
    <t>Philanthropy Asia Alliance ()</t>
  </si>
  <si>
    <t>The Swedish-Norwegian Foundation for Equine Research</t>
  </si>
  <si>
    <t>The Swedish-Norwegian Foundation for Equine Research ()</t>
  </si>
  <si>
    <t>Molecular Health</t>
  </si>
  <si>
    <t>CSG</t>
  </si>
  <si>
    <t>Partnerships and External Relations</t>
  </si>
  <si>
    <t>au813887</t>
  </si>
  <si>
    <t>Akbar Arian</t>
  </si>
  <si>
    <t>Mai Bak</t>
  </si>
  <si>
    <t>au21157</t>
  </si>
  <si>
    <t>Malene Loft Sørensen</t>
  </si>
  <si>
    <t>au564978</t>
  </si>
  <si>
    <t>Mathilde Risgaard Mortensen</t>
  </si>
  <si>
    <t>au240410</t>
  </si>
  <si>
    <t>Rohini Ehamparam Jensen</t>
  </si>
  <si>
    <t>Salary, operations and Bench Fee</t>
  </si>
  <si>
    <t>646067 646067</t>
  </si>
  <si>
    <t>Post Doc abroad (Applicant, no project supplement) - low rate</t>
  </si>
  <si>
    <t>Post Doc abroad (Applicant, no project supplement) - high rate</t>
  </si>
  <si>
    <t>4.2</t>
  </si>
  <si>
    <t>Tilføjet "Post Doc abroad (Applicant, no project supplement)" low rate og high rate. Skal bruges, hvis ansøger er PostDoc og skal opholde sig udenlands i en periode. I dette tilfælde, vil der ikke udløses projekttillæg for den periode, hvor ansøger opholder sig udenlands.</t>
  </si>
  <si>
    <t>Salary and operations excl. Procurements and External assistance/consultants</t>
  </si>
  <si>
    <t>4.3</t>
  </si>
  <si>
    <t>Rettet formelfejl for beregning af projekttillæg. Tilføjet "Salary and operations excl. Procurements and External assistance/consultants" som mulighed i "Overhead calculation basis"</t>
  </si>
  <si>
    <t>Aarhus Kommune</t>
  </si>
  <si>
    <t>Aarhus Kommune ()</t>
  </si>
  <si>
    <t>CNIEL</t>
  </si>
  <si>
    <t>Centre National Interprofessionnel de L’économie Laitière</t>
  </si>
  <si>
    <t>CNIEL (Centre National Interprofessionnel de L’économie Laitière)</t>
  </si>
  <si>
    <t>Coefficient Giving</t>
  </si>
  <si>
    <t>Coefficient Giving ()</t>
  </si>
  <si>
    <t>Collie Health Foundation</t>
  </si>
  <si>
    <t>Collie Health Foundation ()</t>
  </si>
  <si>
    <t>Dutch Research Council</t>
  </si>
  <si>
    <t>NWO</t>
  </si>
  <si>
    <t>Dutch Research Council (NWO)</t>
  </si>
  <si>
    <t>Fødevarestyrelsen</t>
  </si>
  <si>
    <t>Danish Veterinary and Food Administration</t>
  </si>
  <si>
    <t>Fødevarestyrelsen (Danish Veterinary and Food Administration)</t>
  </si>
  <si>
    <t>Godfred Birkedal Hartmanns Familiefond</t>
  </si>
  <si>
    <t>Godfred Birkedal Hartmanns Familiefond ()</t>
  </si>
  <si>
    <t>Idagaardfonden</t>
  </si>
  <si>
    <t>Idagaardfonden ()</t>
  </si>
  <si>
    <t>Jens og Birte Munksgaards Fond</t>
  </si>
  <si>
    <t>Jens og Birte Munksgaards Fond ()</t>
  </si>
  <si>
    <t>National Institute of Health</t>
  </si>
  <si>
    <t>NIH</t>
  </si>
  <si>
    <t>National Institute of Health (NIH)</t>
  </si>
  <si>
    <t>New Frontiers in Research Fund</t>
  </si>
  <si>
    <t>New Frontiers in Research Fund ()</t>
  </si>
  <si>
    <t>NordGen</t>
  </si>
  <si>
    <t>NordGen ()</t>
  </si>
  <si>
    <t>Norsk Institutt for Naturforskning</t>
  </si>
  <si>
    <t>Norwegian Institute for Nature Research</t>
  </si>
  <si>
    <t>Norsk Institutt for Naturforskning (Norwegian Institute for Nature Research)</t>
  </si>
  <si>
    <t>Sustainafuel Ltd</t>
  </si>
  <si>
    <t>Sustainafuel Ltd ()</t>
  </si>
  <si>
    <t>Sveriges Lantbruksuniversitet</t>
  </si>
  <si>
    <t>Sveriges Lantbruksuniversitet ()</t>
  </si>
  <si>
    <t>Sygesikringen Danmark</t>
  </si>
  <si>
    <t>Sygesikringen Danmark ()</t>
  </si>
  <si>
    <t>UNDP</t>
  </si>
  <si>
    <t>United Nations Development Programme</t>
  </si>
  <si>
    <t>UNDP (United Nations Development Programme)</t>
  </si>
  <si>
    <t>Veolia</t>
  </si>
  <si>
    <t>Veolia ()</t>
  </si>
  <si>
    <t>Bridge4Water</t>
  </si>
  <si>
    <t>Videncenter for Dyrevelfærd</t>
  </si>
  <si>
    <t>Klimatiltagsprogrammet 2027-2030</t>
  </si>
  <si>
    <t>Research Grants</t>
  </si>
  <si>
    <t>IBIS OIS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</si>
</sst>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0_-;\-* #,##0_-;_-* &quot;-&quot;??_-;_-@_-"/>
    <numFmt numFmtId="166" formatCode="dd\.mm\.yyyy;@"/>
    <numFmt numFmtId="167" formatCode="0.0%"/>
  </numFmts>
  <fonts count="68">
    <font>
      <sz val="1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sz val="11"/>
      <name val="Arial"/>
      <family val="2"/>
    </font>
    <font>
      <b/>
      <sz val="11"/>
      <name val="Arial"/>
      <family val="2"/>
    </font>
    <font>
      <b/>
      <sz val="10"/>
      <name val="Arial"/>
      <family val="2"/>
    </font>
    <font>
      <sz val="10"/>
      <name val="Arial"/>
      <family val="2"/>
    </font>
    <font>
      <b/>
      <sz val="10"/>
      <color rgb="FFFF0000"/>
      <name val="Arial"/>
      <family val="2"/>
    </font>
    <font>
      <b/>
      <sz val="6"/>
      <name val="Arial"/>
      <family val="2"/>
    </font>
    <font>
      <sz val="10"/>
      <color indexed="10"/>
      <name val="Arial"/>
      <family val="2"/>
    </font>
    <font>
      <sz val="10"/>
      <color rgb="FFFF0000"/>
      <name val="Arial"/>
      <family val="2"/>
    </font>
    <font>
      <b/>
      <sz val="10"/>
      <color indexed="10"/>
      <name val="Arial"/>
      <family val="2"/>
    </font>
    <font>
      <b/>
      <sz val="11"/>
      <color theme="1"/>
      <name val="Calibri"/>
      <family val="2"/>
      <scheme val="minor"/>
    </font>
    <font>
      <b/>
      <sz val="11"/>
      <name val="Calibri"/>
      <family val="2"/>
    </font>
    <font>
      <sz val="11"/>
      <color theme="1"/>
      <name val="Arial"/>
      <family val="2"/>
    </font>
    <font>
      <sz val="11"/>
      <name val="Arial"/>
      <family val="2"/>
    </font>
    <font>
      <sz val="10"/>
      <name val="Helv"/>
    </font>
    <font>
      <sz val="10"/>
      <color rgb="FFFF0000"/>
      <name val="Helv"/>
    </font>
    <font>
      <sz val="11"/>
      <color rgb="FFFF0000"/>
      <name val="Arial"/>
      <family val="2"/>
    </font>
    <font>
      <b/>
      <sz val="10"/>
      <color rgb="FFFF0000"/>
      <name val="Helv"/>
    </font>
    <font>
      <b/>
      <sz val="14"/>
      <name val="Arial"/>
      <family val="2"/>
    </font>
    <font>
      <sz val="11"/>
      <name val="Arial"/>
      <family val="2"/>
    </font>
    <font>
      <b/>
      <sz val="11"/>
      <color theme="0"/>
      <name val="Arial"/>
      <family val="2"/>
    </font>
    <font>
      <sz val="11"/>
      <color theme="1"/>
      <name val="Arial"/>
      <family val="2"/>
    </font>
    <font>
      <sz val="11"/>
      <color theme="1"/>
      <name val="Arial"/>
      <family val="2"/>
    </font>
    <font>
      <sz val="20"/>
      <name val="Verdana"/>
      <family val="2"/>
    </font>
    <font>
      <b/>
      <sz val="20"/>
      <name val="Verdana"/>
      <family val="2"/>
    </font>
    <font>
      <sz val="11"/>
      <name val="Verdana"/>
      <family val="2"/>
    </font>
    <font>
      <sz val="11"/>
      <name val="Georgia"/>
      <family val="1"/>
    </font>
    <font>
      <u/>
      <sz val="11"/>
      <color theme="10"/>
      <name val="Arial"/>
      <family val="2"/>
    </font>
    <font>
      <sz val="11"/>
      <color rgb="FFFF0000"/>
      <name val="Georgia"/>
      <family val="1"/>
    </font>
    <font>
      <b/>
      <sz val="14"/>
      <name val="Verdana"/>
      <family val="2"/>
    </font>
    <font>
      <sz val="14"/>
      <name val="Georgia"/>
      <family val="1"/>
    </font>
    <font>
      <sz val="8"/>
      <name val="Verdana"/>
      <family val="2"/>
    </font>
    <font>
      <sz val="9"/>
      <name val="Georgia"/>
      <family val="1"/>
    </font>
    <font>
      <b/>
      <sz val="11"/>
      <color theme="0"/>
      <name val="Calibri"/>
      <family val="2"/>
    </font>
    <font>
      <b/>
      <sz val="10"/>
      <color theme="0"/>
      <name val="Arial"/>
      <family val="2"/>
    </font>
    <font>
      <b/>
      <sz val="10"/>
      <color indexed="9"/>
      <name val="Arial"/>
      <family val="2"/>
    </font>
    <font>
      <sz val="9"/>
      <color indexed="81"/>
      <name val="Tahoma"/>
      <family val="2"/>
    </font>
    <font>
      <b/>
      <sz val="9"/>
      <color indexed="81"/>
      <name val="Tahoma"/>
      <family val="2"/>
    </font>
    <font>
      <b/>
      <sz val="11"/>
      <color rgb="FFFF0000"/>
      <name val="Calibri"/>
      <family val="2"/>
    </font>
    <font>
      <b/>
      <sz val="10"/>
      <name val="Verdana"/>
      <family val="2"/>
    </font>
    <font>
      <sz val="9"/>
      <color rgb="FFFF0000"/>
      <name val="Arial"/>
      <family val="2"/>
    </font>
    <font>
      <b/>
      <sz val="14"/>
      <color theme="1"/>
      <name val="Calibri"/>
      <family val="2"/>
      <scheme val="minor"/>
    </font>
    <font>
      <sz val="14"/>
      <color theme="1"/>
      <name val="Calibri"/>
      <family val="2"/>
      <scheme val="minor"/>
    </font>
    <font>
      <sz val="10"/>
      <color theme="1"/>
      <name val="Calibri"/>
      <family val="2"/>
      <scheme val="minor"/>
    </font>
    <font>
      <b/>
      <sz val="10"/>
      <color theme="1"/>
      <name val="Calibri"/>
      <family val="2"/>
      <scheme val="minor"/>
    </font>
    <font>
      <b/>
      <sz val="18"/>
      <name val="Arial"/>
      <family val="2"/>
    </font>
    <font>
      <b/>
      <sz val="11"/>
      <name val="Arial"/>
      <family val="2"/>
    </font>
    <font>
      <sz val="12"/>
      <name val="Courier New"/>
      <family val="3"/>
    </font>
    <font>
      <b/>
      <sz val="11"/>
      <name val="Arial"/>
      <family val="2"/>
    </font>
    <font>
      <sz val="8"/>
      <name val="Arial"/>
      <family val="2"/>
    </font>
    <font>
      <sz val="9"/>
      <name val="Verdana"/>
      <family val="2"/>
    </font>
    <font>
      <u/>
      <sz val="11"/>
      <color theme="10"/>
      <name val="Arial"/>
      <family val="2"/>
    </font>
    <font>
      <i/>
      <sz val="11"/>
      <name val="Arial"/>
      <family val="2"/>
    </font>
    <font>
      <u/>
      <sz val="15"/>
      <color theme="10"/>
      <name val="Arial"/>
      <family val="2"/>
    </font>
    <font>
      <b/>
      <sz val="16"/>
      <color theme="1"/>
      <name val="Calibri"/>
      <family val="2"/>
      <scheme val="minor"/>
    </font>
    <font>
      <sz val="11"/>
      <color theme="1"/>
      <name val="Arial"/>
      <family val="2"/>
    </font>
    <font>
      <sz val="8"/>
      <name val="Arial"/>
      <family val="2"/>
    </font>
    <font>
      <b/>
      <sz val="11"/>
      <name val="Calibri"/>
      <family val="2"/>
    </font>
    <font>
      <sz val="8"/>
      <name val="Arial"/>
      <family val="2"/>
    </font>
    <font>
      <sz val="20"/>
      <color theme="1"/>
      <name val="Verdana"/>
      <family val="2"/>
    </font>
    <font>
      <sz val="20"/>
      <name val="Arial"/>
      <family val="2"/>
    </font>
    <font>
      <sz val="10"/>
      <name val="Arial Unicode MS"/>
    </font>
    <font>
      <sz val="8"/>
      <name val="Arial"/>
      <family val="2"/>
    </font>
  </fonts>
  <fills count="16">
    <fill>
      <patternFill patternType="none"/>
    </fill>
    <fill>
      <patternFill patternType="gray125"/>
    </fill>
    <fill>
      <patternFill patternType="solid">
        <fgColor indexed="49"/>
        <bgColor indexed="64"/>
      </patternFill>
    </fill>
    <fill>
      <patternFill patternType="solid">
        <fgColor indexed="9"/>
        <bgColor indexed="64"/>
      </patternFill>
    </fill>
    <fill>
      <patternFill patternType="solid">
        <fgColor rgb="FF92D050"/>
        <bgColor indexed="64"/>
      </patternFill>
    </fill>
    <fill>
      <patternFill patternType="solid">
        <fgColor theme="0" tint="-4.9989318521683403E-2"/>
        <bgColor indexed="64"/>
      </patternFill>
    </fill>
    <fill>
      <patternFill patternType="solid">
        <fgColor theme="1"/>
        <bgColor theme="1"/>
      </patternFill>
    </fill>
    <fill>
      <patternFill patternType="solid">
        <fgColor theme="6" tint="0.39997558519241921"/>
        <bgColor indexed="64"/>
      </patternFill>
    </fill>
    <fill>
      <patternFill patternType="solid">
        <fgColor theme="9" tint="0.39997558519241921"/>
        <bgColor indexed="65"/>
      </patternFill>
    </fill>
    <fill>
      <patternFill patternType="solid">
        <fgColor theme="0" tint="-0.14999847407452621"/>
        <bgColor indexed="64"/>
      </patternFill>
    </fill>
    <fill>
      <patternFill patternType="solid">
        <fgColor theme="0" tint="-0.34998626667073579"/>
        <bgColor indexed="64"/>
      </patternFill>
    </fill>
    <fill>
      <patternFill patternType="solid">
        <fgColor theme="2"/>
        <bgColor indexed="64"/>
      </patternFill>
    </fill>
    <fill>
      <patternFill patternType="solid">
        <fgColor theme="0"/>
        <bgColor indexed="64"/>
      </patternFill>
    </fill>
    <fill>
      <patternFill patternType="solid">
        <fgColor theme="6" tint="0.59999389629810485"/>
        <bgColor indexed="64"/>
      </patternFill>
    </fill>
    <fill>
      <patternFill patternType="solid">
        <fgColor theme="3" tint="0.79998168889431442"/>
        <bgColor indexed="64"/>
      </patternFill>
    </fill>
    <fill>
      <patternFill patternType="solid">
        <fgColor rgb="FFFFFF00"/>
        <bgColor indexed="64"/>
      </patternFill>
    </fill>
  </fills>
  <borders count="59">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diagonal/>
    </border>
    <border>
      <left/>
      <right/>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style="thin">
        <color indexed="64"/>
      </right>
      <top/>
      <bottom/>
      <diagonal/>
    </border>
    <border>
      <left style="thin">
        <color indexed="64"/>
      </left>
      <right style="thin">
        <color indexed="64"/>
      </right>
      <top style="thin">
        <color indexed="64"/>
      </top>
      <bottom style="medium">
        <color indexed="64"/>
      </bottom>
      <diagonal/>
    </border>
    <border>
      <left/>
      <right/>
      <top style="medium">
        <color indexed="64"/>
      </top>
      <bottom style="medium">
        <color indexed="64"/>
      </bottom>
      <diagonal/>
    </border>
    <border>
      <left style="thin">
        <color theme="1"/>
      </left>
      <right style="thin">
        <color theme="1"/>
      </right>
      <top style="thin">
        <color theme="1"/>
      </top>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thin">
        <color theme="1"/>
      </top>
      <bottom style="thin">
        <color indexed="64"/>
      </bottom>
      <diagonal/>
    </border>
    <border>
      <left style="medium">
        <color indexed="64"/>
      </left>
      <right style="medium">
        <color indexed="64"/>
      </right>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theme="1"/>
      </left>
      <right style="thin">
        <color theme="1"/>
      </right>
      <top/>
      <bottom/>
      <diagonal/>
    </border>
    <border>
      <left style="medium">
        <color indexed="64"/>
      </left>
      <right style="medium">
        <color indexed="64"/>
      </right>
      <top/>
      <bottom/>
      <diagonal/>
    </border>
  </borders>
  <cellStyleXfs count="8">
    <xf numFmtId="0" fontId="0" fillId="0" borderId="0"/>
    <xf numFmtId="164" fontId="6" fillId="0" borderId="0" applyFont="0" applyFill="0" applyBorder="0" applyAlignment="0" applyProtection="0"/>
    <xf numFmtId="9" fontId="18" fillId="0" borderId="0" applyFont="0" applyFill="0" applyBorder="0" applyAlignment="0" applyProtection="0"/>
    <xf numFmtId="164" fontId="24" fillId="0" borderId="0" applyFont="0" applyFill="0" applyBorder="0" applyAlignment="0" applyProtection="0"/>
    <xf numFmtId="164" fontId="6" fillId="0" borderId="0" applyFont="0" applyFill="0" applyBorder="0" applyAlignment="0" applyProtection="0"/>
    <xf numFmtId="0" fontId="32" fillId="0" borderId="0" applyNumberFormat="0" applyFill="0" applyBorder="0" applyAlignment="0" applyProtection="0"/>
    <xf numFmtId="0" fontId="4" fillId="8" borderId="0" applyNumberFormat="0" applyBorder="0" applyAlignment="0" applyProtection="0"/>
    <xf numFmtId="0" fontId="56" fillId="0" borderId="0" applyNumberFormat="0" applyFill="0" applyBorder="0" applyAlignment="0" applyProtection="0"/>
  </cellStyleXfs>
  <cellXfs count="571">
    <xf numFmtId="0" fontId="0" fillId="0" borderId="0" xfId="0"/>
    <xf numFmtId="0" fontId="6" fillId="0" borderId="0" xfId="0" applyFont="1"/>
    <xf numFmtId="0" fontId="7" fillId="0" borderId="0" xfId="0" applyFont="1"/>
    <xf numFmtId="1" fontId="6" fillId="0" borderId="0" xfId="0" applyNumberFormat="1" applyFont="1"/>
    <xf numFmtId="0" fontId="8" fillId="0" borderId="0" xfId="0" applyFont="1"/>
    <xf numFmtId="0" fontId="9" fillId="0" borderId="0" xfId="0" applyFont="1"/>
    <xf numFmtId="3" fontId="8" fillId="0" borderId="0" xfId="0" applyNumberFormat="1" applyFont="1" applyProtection="1">
      <protection locked="0"/>
    </xf>
    <xf numFmtId="0" fontId="9" fillId="0" borderId="0" xfId="0" applyFont="1" applyProtection="1">
      <protection locked="0"/>
    </xf>
    <xf numFmtId="0" fontId="8" fillId="0" borderId="0" xfId="0" applyFont="1" applyAlignment="1">
      <alignment horizontal="center"/>
    </xf>
    <xf numFmtId="0" fontId="8" fillId="0" borderId="0" xfId="0" applyFont="1" applyProtection="1">
      <protection locked="0"/>
    </xf>
    <xf numFmtId="3" fontId="8" fillId="3" borderId="11" xfId="0" applyNumberFormat="1" applyFont="1" applyFill="1" applyBorder="1"/>
    <xf numFmtId="0" fontId="13" fillId="0" borderId="0" xfId="0" applyFont="1" applyProtection="1">
      <protection locked="0"/>
    </xf>
    <xf numFmtId="2" fontId="8" fillId="3" borderId="10" xfId="0" applyNumberFormat="1" applyFont="1" applyFill="1" applyBorder="1"/>
    <xf numFmtId="3" fontId="8" fillId="0" borderId="12" xfId="0" applyNumberFormat="1" applyFont="1" applyBorder="1"/>
    <xf numFmtId="0" fontId="12" fillId="0" borderId="0" xfId="0" applyFont="1" applyProtection="1">
      <protection locked="0"/>
    </xf>
    <xf numFmtId="0" fontId="14" fillId="0" borderId="0" xfId="0" applyFont="1" applyProtection="1">
      <protection locked="0"/>
    </xf>
    <xf numFmtId="3" fontId="8" fillId="0" borderId="0" xfId="0" applyNumberFormat="1" applyFont="1"/>
    <xf numFmtId="1" fontId="7" fillId="0" borderId="0" xfId="0" applyNumberFormat="1" applyFont="1"/>
    <xf numFmtId="9" fontId="6" fillId="0" borderId="0" xfId="0" applyNumberFormat="1" applyFont="1"/>
    <xf numFmtId="0" fontId="8" fillId="0" borderId="1" xfId="0" applyFont="1" applyBorder="1"/>
    <xf numFmtId="4" fontId="8" fillId="0" borderId="1" xfId="0" applyNumberFormat="1" applyFont="1" applyBorder="1"/>
    <xf numFmtId="3" fontId="8" fillId="0" borderId="1" xfId="0" applyNumberFormat="1" applyFont="1" applyBorder="1"/>
    <xf numFmtId="3" fontId="8" fillId="0" borderId="10" xfId="0" applyNumberFormat="1" applyFont="1" applyBorder="1"/>
    <xf numFmtId="3" fontId="8" fillId="0" borderId="0" xfId="0" applyNumberFormat="1" applyFont="1" applyAlignment="1">
      <alignment horizontal="right"/>
    </xf>
    <xf numFmtId="3" fontId="11" fillId="0" borderId="0" xfId="0" applyNumberFormat="1" applyFont="1"/>
    <xf numFmtId="3" fontId="9" fillId="0" borderId="1" xfId="0" applyNumberFormat="1" applyFont="1" applyBorder="1"/>
    <xf numFmtId="3" fontId="11" fillId="0" borderId="0" xfId="0" applyNumberFormat="1" applyFont="1" applyAlignment="1">
      <alignment horizontal="right"/>
    </xf>
    <xf numFmtId="3" fontId="10" fillId="0" borderId="0" xfId="0" applyNumberFormat="1" applyFont="1" applyAlignment="1">
      <alignment horizontal="right"/>
    </xf>
    <xf numFmtId="3" fontId="9" fillId="0" borderId="9" xfId="0" applyNumberFormat="1" applyFont="1" applyBorder="1"/>
    <xf numFmtId="0" fontId="8" fillId="0" borderId="3" xfId="0" applyFont="1" applyBorder="1"/>
    <xf numFmtId="0" fontId="15" fillId="0" borderId="0" xfId="0" applyFont="1"/>
    <xf numFmtId="3" fontId="19" fillId="0" borderId="1" xfId="0" applyNumberFormat="1" applyFont="1" applyBorder="1"/>
    <xf numFmtId="3" fontId="20" fillId="0" borderId="1" xfId="0" applyNumberFormat="1" applyFont="1" applyBorder="1"/>
    <xf numFmtId="3" fontId="19" fillId="5" borderId="1" xfId="0" applyNumberFormat="1" applyFont="1" applyFill="1" applyBorder="1"/>
    <xf numFmtId="3" fontId="20" fillId="5" borderId="1" xfId="0" applyNumberFormat="1" applyFont="1" applyFill="1" applyBorder="1"/>
    <xf numFmtId="3" fontId="19" fillId="0" borderId="5" xfId="0" applyNumberFormat="1" applyFont="1" applyBorder="1"/>
    <xf numFmtId="3" fontId="20" fillId="0" borderId="5" xfId="0" applyNumberFormat="1" applyFont="1" applyBorder="1"/>
    <xf numFmtId="0" fontId="6" fillId="5" borderId="1" xfId="0" applyFont="1" applyFill="1" applyBorder="1"/>
    <xf numFmtId="3" fontId="22" fillId="0" borderId="5" xfId="0" applyNumberFormat="1" applyFont="1" applyBorder="1"/>
    <xf numFmtId="3" fontId="22" fillId="0" borderId="1" xfId="0" applyNumberFormat="1" applyFont="1" applyBorder="1"/>
    <xf numFmtId="0" fontId="23" fillId="0" borderId="0" xfId="0" applyFont="1"/>
    <xf numFmtId="0" fontId="6" fillId="0" borderId="0" xfId="0" quotePrefix="1" applyFont="1"/>
    <xf numFmtId="0" fontId="21" fillId="0" borderId="0" xfId="0" applyFont="1"/>
    <xf numFmtId="0" fontId="6" fillId="0" borderId="0" xfId="0" applyFont="1" applyAlignment="1">
      <alignment horizontal="right"/>
    </xf>
    <xf numFmtId="0" fontId="7" fillId="5" borderId="0" xfId="0" applyFont="1" applyFill="1"/>
    <xf numFmtId="1" fontId="8" fillId="0" borderId="0" xfId="0" applyNumberFormat="1" applyFont="1" applyAlignment="1">
      <alignment horizontal="center"/>
    </xf>
    <xf numFmtId="3" fontId="8" fillId="3" borderId="12" xfId="0" applyNumberFormat="1" applyFont="1" applyFill="1" applyBorder="1"/>
    <xf numFmtId="0" fontId="8" fillId="0" borderId="9" xfId="0" applyFont="1" applyBorder="1"/>
    <xf numFmtId="2" fontId="8" fillId="0" borderId="0" xfId="0" applyNumberFormat="1" applyFont="1"/>
    <xf numFmtId="0" fontId="8" fillId="0" borderId="10" xfId="0" applyFont="1" applyBorder="1"/>
    <xf numFmtId="0" fontId="8" fillId="0" borderId="12" xfId="0" applyFont="1" applyBorder="1"/>
    <xf numFmtId="3" fontId="8" fillId="0" borderId="23" xfId="0" applyNumberFormat="1" applyFont="1" applyBorder="1"/>
    <xf numFmtId="3" fontId="8" fillId="0" borderId="26" xfId="0" applyNumberFormat="1" applyFont="1" applyBorder="1"/>
    <xf numFmtId="3" fontId="8" fillId="0" borderId="11" xfId="0" applyNumberFormat="1" applyFont="1" applyBorder="1"/>
    <xf numFmtId="0" fontId="6" fillId="0" borderId="1" xfId="0" applyFont="1" applyBorder="1"/>
    <xf numFmtId="0" fontId="25" fillId="6" borderId="27" xfId="0" applyFont="1" applyFill="1" applyBorder="1"/>
    <xf numFmtId="0" fontId="17" fillId="0" borderId="27" xfId="0" applyFont="1" applyBorder="1"/>
    <xf numFmtId="9" fontId="0" fillId="0" borderId="0" xfId="0" applyNumberFormat="1"/>
    <xf numFmtId="0" fontId="26" fillId="0" borderId="27" xfId="0" applyFont="1" applyBorder="1"/>
    <xf numFmtId="0" fontId="26" fillId="0" borderId="28" xfId="0" applyFont="1" applyBorder="1"/>
    <xf numFmtId="10" fontId="6" fillId="0" borderId="0" xfId="2" applyNumberFormat="1" applyFont="1" applyFill="1"/>
    <xf numFmtId="0" fontId="17" fillId="0" borderId="27" xfId="0" applyFont="1" applyBorder="1" applyAlignment="1">
      <alignment horizontal="left"/>
    </xf>
    <xf numFmtId="0" fontId="7" fillId="0" borderId="0" xfId="0" applyFont="1" applyAlignment="1">
      <alignment horizontal="center"/>
    </xf>
    <xf numFmtId="0" fontId="5" fillId="0" borderId="0" xfId="0" applyFont="1"/>
    <xf numFmtId="0" fontId="8" fillId="0" borderId="23" xfId="0" applyFont="1" applyBorder="1"/>
    <xf numFmtId="2" fontId="8" fillId="0" borderId="1" xfId="0" applyNumberFormat="1" applyFont="1" applyBorder="1"/>
    <xf numFmtId="3" fontId="8" fillId="0" borderId="30" xfId="0" applyNumberFormat="1" applyFont="1" applyBorder="1"/>
    <xf numFmtId="3" fontId="6" fillId="0" borderId="1" xfId="0" applyNumberFormat="1" applyFont="1" applyBorder="1"/>
    <xf numFmtId="165" fontId="9" fillId="2" borderId="1" xfId="3" applyNumberFormat="1" applyFont="1" applyFill="1" applyBorder="1" applyProtection="1">
      <protection locked="0"/>
    </xf>
    <xf numFmtId="164" fontId="9" fillId="0" borderId="0" xfId="3" applyFont="1" applyFill="1" applyBorder="1" applyAlignment="1" applyProtection="1">
      <alignment horizontal="center"/>
      <protection locked="0"/>
    </xf>
    <xf numFmtId="164" fontId="9" fillId="0" borderId="0" xfId="3" applyFont="1" applyProtection="1">
      <protection locked="0"/>
    </xf>
    <xf numFmtId="164" fontId="8" fillId="0" borderId="0" xfId="3" applyFont="1" applyProtection="1">
      <protection locked="0"/>
    </xf>
    <xf numFmtId="164" fontId="9" fillId="0" borderId="0" xfId="3" applyFont="1" applyFill="1" applyBorder="1" applyProtection="1">
      <protection locked="0"/>
    </xf>
    <xf numFmtId="164" fontId="6" fillId="0" borderId="0" xfId="3" applyFont="1" applyProtection="1">
      <protection locked="0"/>
    </xf>
    <xf numFmtId="164" fontId="6" fillId="0" borderId="0" xfId="3" applyFont="1" applyFill="1" applyBorder="1" applyAlignment="1" applyProtection="1">
      <protection locked="0"/>
    </xf>
    <xf numFmtId="164" fontId="9" fillId="0" borderId="0" xfId="3" applyFont="1" applyFill="1" applyBorder="1" applyAlignment="1" applyProtection="1">
      <protection locked="0"/>
    </xf>
    <xf numFmtId="164" fontId="8" fillId="0" borderId="0" xfId="3" applyFont="1" applyBorder="1" applyProtection="1">
      <protection locked="0"/>
    </xf>
    <xf numFmtId="164" fontId="9" fillId="0" borderId="0" xfId="3" quotePrefix="1" applyFont="1" applyProtection="1">
      <protection locked="0"/>
    </xf>
    <xf numFmtId="164" fontId="13" fillId="0" borderId="0" xfId="3" applyFont="1" applyProtection="1">
      <protection locked="0"/>
    </xf>
    <xf numFmtId="164" fontId="12" fillId="0" borderId="0" xfId="3" applyFont="1" applyProtection="1">
      <protection locked="0"/>
    </xf>
    <xf numFmtId="164" fontId="6" fillId="0" borderId="0" xfId="3" applyFont="1" applyAlignment="1" applyProtection="1">
      <protection locked="0"/>
    </xf>
    <xf numFmtId="164" fontId="6" fillId="0" borderId="0" xfId="3" applyFont="1" applyAlignment="1" applyProtection="1">
      <alignment horizontal="center" wrapText="1"/>
      <protection locked="0"/>
    </xf>
    <xf numFmtId="164" fontId="14" fillId="0" borderId="0" xfId="3" applyFont="1" applyProtection="1">
      <protection locked="0"/>
    </xf>
    <xf numFmtId="0" fontId="17" fillId="0" borderId="9" xfId="0" applyFont="1" applyBorder="1" applyAlignment="1">
      <alignment horizontal="left"/>
    </xf>
    <xf numFmtId="0" fontId="17" fillId="0" borderId="32" xfId="0" applyFont="1" applyBorder="1"/>
    <xf numFmtId="164" fontId="9" fillId="0" borderId="0" xfId="3" applyFont="1" applyFill="1" applyProtection="1">
      <protection locked="0"/>
    </xf>
    <xf numFmtId="164" fontId="8" fillId="0" borderId="0" xfId="3" applyFont="1" applyFill="1" applyBorder="1" applyProtection="1">
      <protection locked="0"/>
    </xf>
    <xf numFmtId="164" fontId="8" fillId="0" borderId="0" xfId="3" applyFont="1" applyFill="1" applyProtection="1">
      <protection locked="0"/>
    </xf>
    <xf numFmtId="164" fontId="6" fillId="0" borderId="0" xfId="3" applyFont="1" applyFill="1" applyProtection="1">
      <protection locked="0"/>
    </xf>
    <xf numFmtId="164" fontId="13" fillId="0" borderId="0" xfId="3" applyFont="1" applyFill="1" applyProtection="1">
      <protection locked="0"/>
    </xf>
    <xf numFmtId="164" fontId="12" fillId="0" borderId="0" xfId="3" applyFont="1" applyFill="1" applyProtection="1">
      <protection locked="0"/>
    </xf>
    <xf numFmtId="164" fontId="6" fillId="0" borderId="0" xfId="3" applyFont="1" applyFill="1" applyAlignment="1" applyProtection="1">
      <protection locked="0"/>
    </xf>
    <xf numFmtId="164" fontId="6" fillId="0" borderId="0" xfId="3" applyFont="1" applyFill="1" applyAlignment="1" applyProtection="1">
      <alignment horizontal="center" wrapText="1"/>
      <protection locked="0"/>
    </xf>
    <xf numFmtId="164" fontId="14" fillId="0" borderId="0" xfId="3" applyFont="1" applyFill="1" applyProtection="1">
      <protection locked="0"/>
    </xf>
    <xf numFmtId="4" fontId="8" fillId="0" borderId="9" xfId="0" applyNumberFormat="1" applyFont="1" applyBorder="1"/>
    <xf numFmtId="3" fontId="8" fillId="0" borderId="9" xfId="0" applyNumberFormat="1" applyFont="1" applyBorder="1"/>
    <xf numFmtId="14" fontId="0" fillId="0" borderId="0" xfId="0" applyNumberFormat="1"/>
    <xf numFmtId="0" fontId="31" fillId="7" borderId="26" xfId="0" applyFont="1" applyFill="1" applyBorder="1" applyAlignment="1">
      <alignment vertical="center" wrapText="1"/>
    </xf>
    <xf numFmtId="0" fontId="31" fillId="7" borderId="30" xfId="0" applyFont="1" applyFill="1" applyBorder="1" applyAlignment="1">
      <alignment vertical="center" wrapText="1"/>
    </xf>
    <xf numFmtId="3" fontId="30" fillId="5" borderId="12" xfId="0" applyNumberFormat="1" applyFont="1" applyFill="1" applyBorder="1" applyAlignment="1">
      <alignment vertical="center" wrapText="1"/>
    </xf>
    <xf numFmtId="1" fontId="8" fillId="0" borderId="0" xfId="0" applyNumberFormat="1" applyFont="1"/>
    <xf numFmtId="0" fontId="17" fillId="0" borderId="1" xfId="0" applyFont="1" applyBorder="1"/>
    <xf numFmtId="0" fontId="27" fillId="0" borderId="1" xfId="0" applyFont="1" applyBorder="1"/>
    <xf numFmtId="0" fontId="17" fillId="0" borderId="1" xfId="0" applyFont="1" applyBorder="1" applyAlignment="1">
      <alignment horizontal="right"/>
    </xf>
    <xf numFmtId="0" fontId="0" fillId="0" borderId="1" xfId="0" applyBorder="1" applyAlignment="1">
      <alignment horizontal="right"/>
    </xf>
    <xf numFmtId="0" fontId="0" fillId="0" borderId="1" xfId="0" applyBorder="1"/>
    <xf numFmtId="0" fontId="17" fillId="0" borderId="1" xfId="0" applyFont="1" applyBorder="1" applyAlignment="1">
      <alignment horizontal="left"/>
    </xf>
    <xf numFmtId="0" fontId="8" fillId="0" borderId="18" xfId="0" applyFont="1" applyBorder="1"/>
    <xf numFmtId="0" fontId="9" fillId="0" borderId="15" xfId="0" applyFont="1" applyBorder="1" applyProtection="1">
      <protection locked="0"/>
    </xf>
    <xf numFmtId="0" fontId="8" fillId="0" borderId="15" xfId="0" applyFont="1" applyBorder="1" applyAlignment="1" applyProtection="1">
      <alignment wrapText="1"/>
      <protection locked="0"/>
    </xf>
    <xf numFmtId="3" fontId="8" fillId="0" borderId="2" xfId="0" applyNumberFormat="1" applyFont="1" applyBorder="1"/>
    <xf numFmtId="3" fontId="9" fillId="0" borderId="7" xfId="0" applyNumberFormat="1" applyFont="1" applyBorder="1"/>
    <xf numFmtId="3" fontId="9" fillId="0" borderId="0" xfId="0" applyNumberFormat="1" applyFont="1"/>
    <xf numFmtId="3" fontId="9" fillId="0" borderId="31" xfId="0" applyNumberFormat="1" applyFont="1" applyBorder="1"/>
    <xf numFmtId="164" fontId="6" fillId="0" borderId="2" xfId="3" applyFont="1" applyBorder="1" applyAlignment="1" applyProtection="1">
      <alignment horizontal="center" wrapText="1"/>
      <protection locked="0"/>
    </xf>
    <xf numFmtId="164" fontId="6" fillId="0" borderId="1" xfId="3" applyFont="1" applyBorder="1" applyAlignment="1" applyProtection="1">
      <alignment horizontal="center" wrapText="1"/>
      <protection locked="0"/>
    </xf>
    <xf numFmtId="164" fontId="9" fillId="0" borderId="0" xfId="3" applyFont="1" applyBorder="1" applyProtection="1">
      <protection locked="0"/>
    </xf>
    <xf numFmtId="165" fontId="25" fillId="0" borderId="0" xfId="3" applyNumberFormat="1" applyFont="1" applyFill="1" applyBorder="1" applyAlignment="1" applyProtection="1">
      <alignment horizontal="left" wrapText="1"/>
      <protection locked="0"/>
    </xf>
    <xf numFmtId="0" fontId="13" fillId="0" borderId="14" xfId="0" applyFont="1" applyBorder="1" applyProtection="1">
      <protection locked="0"/>
    </xf>
    <xf numFmtId="0" fontId="9" fillId="0" borderId="14" xfId="0" applyFont="1" applyBorder="1" applyProtection="1">
      <protection locked="0"/>
    </xf>
    <xf numFmtId="3" fontId="23" fillId="10" borderId="21" xfId="0" applyNumberFormat="1" applyFont="1" applyFill="1" applyBorder="1" applyAlignment="1">
      <alignment horizontal="left"/>
    </xf>
    <xf numFmtId="0" fontId="8" fillId="10" borderId="16" xfId="0" applyFont="1" applyFill="1" applyBorder="1" applyAlignment="1">
      <alignment horizontal="center"/>
    </xf>
    <xf numFmtId="0" fontId="9" fillId="10" borderId="16" xfId="0" applyFont="1" applyFill="1" applyBorder="1" applyAlignment="1">
      <alignment horizontal="center"/>
    </xf>
    <xf numFmtId="164" fontId="13" fillId="10" borderId="17" xfId="3" applyFont="1" applyFill="1" applyBorder="1" applyProtection="1">
      <protection locked="0"/>
    </xf>
    <xf numFmtId="0" fontId="8" fillId="0" borderId="19" xfId="0" applyFont="1" applyBorder="1" applyAlignment="1">
      <alignment horizontal="center"/>
    </xf>
    <xf numFmtId="165" fontId="8" fillId="0" borderId="36" xfId="3" applyNumberFormat="1" applyFont="1" applyBorder="1" applyProtection="1">
      <protection locked="0"/>
    </xf>
    <xf numFmtId="165" fontId="8" fillId="0" borderId="19" xfId="3" applyNumberFormat="1" applyFont="1" applyBorder="1" applyProtection="1">
      <protection locked="0"/>
    </xf>
    <xf numFmtId="164" fontId="9" fillId="0" borderId="18" xfId="3" applyFont="1" applyBorder="1" applyProtection="1">
      <protection locked="0"/>
    </xf>
    <xf numFmtId="164" fontId="13" fillId="0" borderId="0" xfId="3" applyFont="1" applyBorder="1" applyProtection="1">
      <protection locked="0"/>
    </xf>
    <xf numFmtId="164" fontId="13" fillId="0" borderId="19" xfId="3" applyFont="1" applyBorder="1" applyProtection="1">
      <protection locked="0"/>
    </xf>
    <xf numFmtId="3" fontId="23" fillId="10" borderId="18" xfId="0" applyNumberFormat="1" applyFont="1" applyFill="1" applyBorder="1" applyAlignment="1">
      <alignment horizontal="left"/>
    </xf>
    <xf numFmtId="164" fontId="13" fillId="10" borderId="19" xfId="3" applyFont="1" applyFill="1" applyBorder="1" applyProtection="1">
      <protection locked="0"/>
    </xf>
    <xf numFmtId="3" fontId="8" fillId="0" borderId="18" xfId="0" applyNumberFormat="1" applyFont="1" applyBorder="1" applyAlignment="1">
      <alignment horizontal="right"/>
    </xf>
    <xf numFmtId="164" fontId="8" fillId="0" borderId="19" xfId="3" applyFont="1" applyBorder="1" applyProtection="1">
      <protection locked="0"/>
    </xf>
    <xf numFmtId="3" fontId="23" fillId="0" borderId="18" xfId="0" applyNumberFormat="1" applyFont="1" applyBorder="1" applyAlignment="1">
      <alignment horizontal="right"/>
    </xf>
    <xf numFmtId="164" fontId="13" fillId="10" borderId="16" xfId="3" applyFont="1" applyFill="1" applyBorder="1" applyAlignment="1" applyProtection="1">
      <alignment horizontal="center"/>
      <protection locked="0"/>
    </xf>
    <xf numFmtId="164" fontId="13" fillId="10" borderId="0" xfId="3" applyFont="1" applyFill="1" applyBorder="1" applyAlignment="1" applyProtection="1">
      <alignment horizontal="center"/>
      <protection locked="0"/>
    </xf>
    <xf numFmtId="3" fontId="8" fillId="9" borderId="1" xfId="0" applyNumberFormat="1" applyFont="1" applyFill="1" applyBorder="1"/>
    <xf numFmtId="165" fontId="8" fillId="9" borderId="39" xfId="3" applyNumberFormat="1" applyFont="1" applyFill="1" applyBorder="1" applyProtection="1">
      <protection locked="0"/>
    </xf>
    <xf numFmtId="0" fontId="8" fillId="9" borderId="19" xfId="0" applyFont="1" applyFill="1" applyBorder="1" applyAlignment="1">
      <alignment horizontal="center"/>
    </xf>
    <xf numFmtId="165" fontId="8" fillId="9" borderId="36" xfId="3" applyNumberFormat="1" applyFont="1" applyFill="1" applyBorder="1" applyProtection="1">
      <protection locked="0"/>
    </xf>
    <xf numFmtId="165" fontId="8" fillId="9" borderId="19" xfId="3" applyNumberFormat="1" applyFont="1" applyFill="1" applyBorder="1" applyProtection="1">
      <protection locked="0"/>
    </xf>
    <xf numFmtId="3" fontId="8" fillId="9" borderId="2" xfId="0" applyNumberFormat="1" applyFont="1" applyFill="1" applyBorder="1"/>
    <xf numFmtId="3" fontId="8" fillId="9" borderId="25" xfId="0" applyNumberFormat="1" applyFont="1" applyFill="1" applyBorder="1"/>
    <xf numFmtId="165" fontId="8" fillId="9" borderId="40" xfId="3" applyNumberFormat="1" applyFont="1" applyFill="1" applyBorder="1" applyProtection="1">
      <protection locked="0"/>
    </xf>
    <xf numFmtId="164" fontId="9" fillId="9" borderId="1" xfId="3" applyFont="1" applyFill="1" applyBorder="1" applyProtection="1">
      <protection locked="0"/>
    </xf>
    <xf numFmtId="164" fontId="9" fillId="9" borderId="2" xfId="3" applyFont="1" applyFill="1" applyBorder="1" applyProtection="1">
      <protection locked="0"/>
    </xf>
    <xf numFmtId="3" fontId="8" fillId="0" borderId="35" xfId="0" applyNumberFormat="1" applyFont="1" applyBorder="1" applyAlignment="1">
      <alignment horizontal="left"/>
    </xf>
    <xf numFmtId="3" fontId="8" fillId="0" borderId="37" xfId="0" applyNumberFormat="1" applyFont="1" applyBorder="1" applyAlignment="1">
      <alignment horizontal="left"/>
    </xf>
    <xf numFmtId="3" fontId="8" fillId="9" borderId="38" xfId="0" applyNumberFormat="1" applyFont="1" applyFill="1" applyBorder="1" applyAlignment="1">
      <alignment horizontal="left"/>
    </xf>
    <xf numFmtId="3" fontId="8" fillId="0" borderId="38" xfId="0" applyNumberFormat="1" applyFont="1" applyBorder="1" applyAlignment="1">
      <alignment horizontal="left"/>
    </xf>
    <xf numFmtId="0" fontId="8" fillId="0" borderId="38" xfId="0" applyFont="1" applyBorder="1" applyAlignment="1">
      <alignment horizontal="left"/>
    </xf>
    <xf numFmtId="3" fontId="8" fillId="0" borderId="18" xfId="0" applyNumberFormat="1" applyFont="1" applyBorder="1" applyAlignment="1">
      <alignment horizontal="left"/>
    </xf>
    <xf numFmtId="3" fontId="8" fillId="0" borderId="1" xfId="0" applyNumberFormat="1" applyFont="1" applyBorder="1" applyAlignment="1">
      <alignment horizontal="right"/>
    </xf>
    <xf numFmtId="3" fontId="8" fillId="0" borderId="2" xfId="0" applyNumberFormat="1" applyFont="1" applyBorder="1" applyAlignment="1">
      <alignment horizontal="right"/>
    </xf>
    <xf numFmtId="164" fontId="6" fillId="0" borderId="1" xfId="3" applyFont="1" applyBorder="1" applyAlignment="1" applyProtection="1">
      <alignment horizontal="right" wrapText="1"/>
      <protection locked="0"/>
    </xf>
    <xf numFmtId="164" fontId="6" fillId="0" borderId="2" xfId="3" applyFont="1" applyBorder="1" applyAlignment="1" applyProtection="1">
      <alignment horizontal="right" wrapText="1"/>
      <protection locked="0"/>
    </xf>
    <xf numFmtId="2" fontId="9" fillId="0" borderId="1" xfId="0" applyNumberFormat="1" applyFont="1" applyBorder="1"/>
    <xf numFmtId="2" fontId="9" fillId="0" borderId="9" xfId="0" applyNumberFormat="1" applyFont="1" applyBorder="1"/>
    <xf numFmtId="0" fontId="9" fillId="0" borderId="1" xfId="0" applyFont="1" applyBorder="1" applyProtection="1">
      <protection locked="0"/>
    </xf>
    <xf numFmtId="2" fontId="9" fillId="0" borderId="29" xfId="0" applyNumberFormat="1" applyFont="1" applyBorder="1"/>
    <xf numFmtId="2" fontId="9" fillId="0" borderId="31" xfId="0" applyNumberFormat="1" applyFont="1" applyBorder="1"/>
    <xf numFmtId="2" fontId="9" fillId="0" borderId="25" xfId="0" applyNumberFormat="1" applyFont="1" applyBorder="1"/>
    <xf numFmtId="0" fontId="8" fillId="10" borderId="17" xfId="0" applyFont="1" applyFill="1" applyBorder="1" applyAlignment="1">
      <alignment horizontal="center"/>
    </xf>
    <xf numFmtId="165" fontId="8" fillId="9" borderId="36" xfId="3" applyNumberFormat="1" applyFont="1" applyFill="1" applyBorder="1" applyProtection="1"/>
    <xf numFmtId="165" fontId="8" fillId="9" borderId="19" xfId="3" applyNumberFormat="1" applyFont="1" applyFill="1" applyBorder="1" applyProtection="1"/>
    <xf numFmtId="165" fontId="8" fillId="9" borderId="39" xfId="3" applyNumberFormat="1" applyFont="1" applyFill="1" applyBorder="1" applyProtection="1"/>
    <xf numFmtId="165" fontId="8" fillId="9" borderId="40" xfId="3" applyNumberFormat="1" applyFont="1" applyFill="1" applyBorder="1" applyProtection="1"/>
    <xf numFmtId="164" fontId="8" fillId="0" borderId="0" xfId="3" applyFont="1" applyProtection="1"/>
    <xf numFmtId="164" fontId="8" fillId="0" borderId="19" xfId="3" applyFont="1" applyBorder="1" applyProtection="1"/>
    <xf numFmtId="3" fontId="8" fillId="9" borderId="36" xfId="3" applyNumberFormat="1" applyFont="1" applyFill="1" applyBorder="1" applyProtection="1"/>
    <xf numFmtId="3" fontId="8" fillId="9" borderId="19" xfId="3" applyNumberFormat="1" applyFont="1" applyFill="1" applyBorder="1" applyProtection="1"/>
    <xf numFmtId="3" fontId="8" fillId="9" borderId="39" xfId="3" applyNumberFormat="1" applyFont="1" applyFill="1" applyBorder="1" applyProtection="1"/>
    <xf numFmtId="3" fontId="8" fillId="9" borderId="40" xfId="3" applyNumberFormat="1" applyFont="1" applyFill="1" applyBorder="1" applyProtection="1"/>
    <xf numFmtId="165" fontId="8" fillId="0" borderId="0" xfId="3" applyNumberFormat="1" applyFont="1" applyBorder="1" applyProtection="1"/>
    <xf numFmtId="0" fontId="8" fillId="10" borderId="17" xfId="0" applyFont="1" applyFill="1" applyBorder="1" applyAlignment="1">
      <alignment horizontal="left"/>
    </xf>
    <xf numFmtId="3" fontId="23" fillId="0" borderId="0" xfId="0" applyNumberFormat="1" applyFont="1" applyAlignment="1">
      <alignment horizontal="right"/>
    </xf>
    <xf numFmtId="0" fontId="23" fillId="10" borderId="21" xfId="0" applyFont="1" applyFill="1" applyBorder="1" applyAlignment="1">
      <alignment horizontal="left"/>
    </xf>
    <xf numFmtId="164" fontId="13" fillId="0" borderId="0" xfId="3" applyFont="1" applyFill="1" applyProtection="1"/>
    <xf numFmtId="164" fontId="9" fillId="0" borderId="0" xfId="3" applyFont="1" applyProtection="1"/>
    <xf numFmtId="3" fontId="8" fillId="0" borderId="41" xfId="0" applyNumberFormat="1" applyFont="1" applyBorder="1" applyAlignment="1">
      <alignment horizontal="left"/>
    </xf>
    <xf numFmtId="3" fontId="8" fillId="9" borderId="42" xfId="0" applyNumberFormat="1" applyFont="1" applyFill="1" applyBorder="1" applyAlignment="1">
      <alignment horizontal="left"/>
    </xf>
    <xf numFmtId="3" fontId="8" fillId="0" borderId="42" xfId="0" applyNumberFormat="1" applyFont="1" applyBorder="1" applyAlignment="1">
      <alignment horizontal="left"/>
    </xf>
    <xf numFmtId="0" fontId="8" fillId="0" borderId="42" xfId="0" applyFont="1" applyBorder="1" applyAlignment="1">
      <alignment horizontal="left"/>
    </xf>
    <xf numFmtId="3" fontId="8" fillId="9" borderId="43" xfId="0" applyNumberFormat="1" applyFont="1" applyFill="1" applyBorder="1" applyAlignment="1">
      <alignment horizontal="left"/>
    </xf>
    <xf numFmtId="3" fontId="8" fillId="9" borderId="44" xfId="0" applyNumberFormat="1" applyFont="1" applyFill="1" applyBorder="1"/>
    <xf numFmtId="164" fontId="8" fillId="0" borderId="0" xfId="3" applyFont="1" applyBorder="1" applyProtection="1"/>
    <xf numFmtId="3" fontId="8" fillId="9" borderId="1" xfId="3" applyNumberFormat="1" applyFont="1" applyFill="1" applyBorder="1" applyProtection="1"/>
    <xf numFmtId="3" fontId="8" fillId="9" borderId="2" xfId="3" applyNumberFormat="1" applyFont="1" applyFill="1" applyBorder="1" applyProtection="1"/>
    <xf numFmtId="3" fontId="8" fillId="0" borderId="1" xfId="3" applyNumberFormat="1" applyFont="1" applyBorder="1" applyProtection="1"/>
    <xf numFmtId="3" fontId="8" fillId="0" borderId="2" xfId="3" applyNumberFormat="1" applyFont="1" applyBorder="1" applyProtection="1"/>
    <xf numFmtId="164" fontId="9" fillId="0" borderId="0" xfId="3" applyFont="1" applyBorder="1" applyProtection="1"/>
    <xf numFmtId="0" fontId="8" fillId="10" borderId="16" xfId="0" applyFont="1" applyFill="1" applyBorder="1" applyAlignment="1">
      <alignment horizontal="left"/>
    </xf>
    <xf numFmtId="3" fontId="23" fillId="0" borderId="18" xfId="0" applyNumberFormat="1" applyFont="1" applyBorder="1" applyAlignment="1">
      <alignment horizontal="left"/>
    </xf>
    <xf numFmtId="3" fontId="9" fillId="9" borderId="1" xfId="3" applyNumberFormat="1" applyFont="1" applyFill="1" applyBorder="1" applyProtection="1"/>
    <xf numFmtId="3" fontId="9" fillId="9" borderId="2" xfId="3" applyNumberFormat="1" applyFont="1" applyFill="1" applyBorder="1" applyProtection="1"/>
    <xf numFmtId="0" fontId="30" fillId="7" borderId="12" xfId="0" applyFont="1" applyFill="1" applyBorder="1" applyAlignment="1" applyProtection="1">
      <alignment vertical="center" wrapText="1"/>
      <protection locked="0"/>
    </xf>
    <xf numFmtId="1" fontId="32" fillId="7" borderId="12" xfId="5" applyNumberFormat="1" applyFill="1" applyBorder="1" applyAlignment="1" applyProtection="1">
      <alignment vertical="center" wrapText="1"/>
      <protection locked="0"/>
    </xf>
    <xf numFmtId="0" fontId="31" fillId="7" borderId="12" xfId="0" applyFont="1" applyFill="1" applyBorder="1" applyAlignment="1" applyProtection="1">
      <alignment vertical="center" wrapText="1"/>
      <protection locked="0"/>
    </xf>
    <xf numFmtId="0" fontId="31" fillId="7" borderId="26" xfId="0" applyFont="1" applyFill="1" applyBorder="1" applyAlignment="1" applyProtection="1">
      <alignment vertical="center" wrapText="1"/>
      <protection locked="0"/>
    </xf>
    <xf numFmtId="0" fontId="32" fillId="7" borderId="12" xfId="5" applyFill="1" applyBorder="1" applyAlignment="1" applyProtection="1">
      <alignment vertical="center" wrapText="1"/>
      <protection locked="0"/>
    </xf>
    <xf numFmtId="0" fontId="9" fillId="0" borderId="0" xfId="0" applyFont="1" applyAlignment="1" applyProtection="1">
      <alignment horizontal="left"/>
      <protection locked="0"/>
    </xf>
    <xf numFmtId="165" fontId="8" fillId="0" borderId="1" xfId="3" applyNumberFormat="1" applyFont="1" applyBorder="1"/>
    <xf numFmtId="165" fontId="8" fillId="0" borderId="2" xfId="3" applyNumberFormat="1" applyFont="1" applyBorder="1"/>
    <xf numFmtId="165" fontId="8" fillId="0" borderId="1" xfId="3" applyNumberFormat="1" applyFont="1" applyBorder="1" applyProtection="1">
      <protection locked="0"/>
    </xf>
    <xf numFmtId="165" fontId="8" fillId="0" borderId="2" xfId="3" applyNumberFormat="1" applyFont="1" applyBorder="1" applyProtection="1">
      <protection locked="0"/>
    </xf>
    <xf numFmtId="165" fontId="8" fillId="9" borderId="1" xfId="3" applyNumberFormat="1" applyFont="1" applyFill="1" applyBorder="1"/>
    <xf numFmtId="165" fontId="8" fillId="9" borderId="2" xfId="3" applyNumberFormat="1" applyFont="1" applyFill="1" applyBorder="1"/>
    <xf numFmtId="165" fontId="8" fillId="9" borderId="1" xfId="3" applyNumberFormat="1" applyFont="1" applyFill="1" applyBorder="1" applyProtection="1">
      <protection locked="0"/>
    </xf>
    <xf numFmtId="165" fontId="8" fillId="9" borderId="2" xfId="3" applyNumberFormat="1" applyFont="1" applyFill="1" applyBorder="1" applyProtection="1">
      <protection locked="0"/>
    </xf>
    <xf numFmtId="0" fontId="16" fillId="0" borderId="3" xfId="0" applyFont="1" applyBorder="1" applyAlignment="1">
      <alignment wrapText="1"/>
    </xf>
    <xf numFmtId="0" fontId="45" fillId="0" borderId="0" xfId="0" applyFont="1" applyAlignment="1">
      <alignment wrapText="1"/>
    </xf>
    <xf numFmtId="0" fontId="9" fillId="11" borderId="0" xfId="0" applyFont="1" applyFill="1" applyProtection="1">
      <protection locked="0"/>
    </xf>
    <xf numFmtId="0" fontId="8" fillId="11" borderId="0" xfId="0" applyFont="1" applyFill="1"/>
    <xf numFmtId="3" fontId="11" fillId="11" borderId="0" xfId="0" applyNumberFormat="1" applyFont="1" applyFill="1"/>
    <xf numFmtId="3" fontId="9" fillId="11" borderId="1" xfId="0" applyNumberFormat="1" applyFont="1" applyFill="1" applyBorder="1"/>
    <xf numFmtId="3" fontId="8" fillId="11" borderId="1" xfId="0" applyNumberFormat="1" applyFont="1" applyFill="1" applyBorder="1"/>
    <xf numFmtId="3" fontId="9" fillId="11" borderId="13" xfId="0" applyNumberFormat="1" applyFont="1" applyFill="1" applyBorder="1"/>
    <xf numFmtId="3" fontId="8" fillId="11" borderId="0" xfId="0" applyNumberFormat="1" applyFont="1" applyFill="1" applyAlignment="1">
      <alignment horizontal="right"/>
    </xf>
    <xf numFmtId="0" fontId="9" fillId="11" borderId="0" xfId="0" applyFont="1" applyFill="1" applyAlignment="1" applyProtection="1">
      <alignment horizontal="left"/>
      <protection locked="0"/>
    </xf>
    <xf numFmtId="3" fontId="8" fillId="11" borderId="0" xfId="0" applyNumberFormat="1" applyFont="1" applyFill="1"/>
    <xf numFmtId="0" fontId="9" fillId="12" borderId="0" xfId="0" applyFont="1" applyFill="1" applyProtection="1">
      <protection locked="0"/>
    </xf>
    <xf numFmtId="0" fontId="8" fillId="12" borderId="0" xfId="0" applyFont="1" applyFill="1" applyProtection="1">
      <protection locked="0"/>
    </xf>
    <xf numFmtId="3" fontId="6" fillId="0" borderId="1" xfId="3" applyNumberFormat="1" applyFont="1" applyBorder="1" applyAlignment="1" applyProtection="1">
      <alignment horizontal="right" wrapText="1"/>
      <protection locked="0"/>
    </xf>
    <xf numFmtId="3" fontId="6" fillId="0" borderId="2" xfId="3" applyNumberFormat="1" applyFont="1" applyBorder="1" applyAlignment="1" applyProtection="1">
      <alignment horizontal="right" wrapText="1"/>
      <protection locked="0"/>
    </xf>
    <xf numFmtId="0" fontId="9" fillId="0" borderId="1" xfId="0" applyFont="1" applyBorder="1"/>
    <xf numFmtId="3" fontId="6" fillId="4" borderId="1" xfId="0" applyNumberFormat="1" applyFont="1" applyFill="1" applyBorder="1"/>
    <xf numFmtId="164" fontId="8" fillId="0" borderId="18" xfId="3" applyFont="1" applyBorder="1" applyProtection="1">
      <protection locked="0"/>
    </xf>
    <xf numFmtId="0" fontId="8" fillId="0" borderId="19" xfId="0" applyFont="1" applyBorder="1" applyProtection="1">
      <protection locked="0"/>
    </xf>
    <xf numFmtId="3" fontId="8" fillId="0" borderId="0" xfId="0" applyNumberFormat="1" applyFont="1" applyAlignment="1">
      <alignment horizontal="left"/>
    </xf>
    <xf numFmtId="0" fontId="8" fillId="10" borderId="0" xfId="0" applyFont="1" applyFill="1" applyAlignment="1">
      <alignment horizontal="center"/>
    </xf>
    <xf numFmtId="0" fontId="9" fillId="10" borderId="0" xfId="0" applyFont="1" applyFill="1" applyAlignment="1">
      <alignment horizontal="center"/>
    </xf>
    <xf numFmtId="0" fontId="6" fillId="0" borderId="23" xfId="0" applyFont="1" applyBorder="1"/>
    <xf numFmtId="0" fontId="0" fillId="0" borderId="26" xfId="0" applyBorder="1"/>
    <xf numFmtId="9" fontId="0" fillId="0" borderId="30" xfId="2" applyFont="1" applyBorder="1"/>
    <xf numFmtId="0" fontId="46" fillId="0" borderId="0" xfId="0" applyFont="1"/>
    <xf numFmtId="0" fontId="47" fillId="0" borderId="0" xfId="0" applyFont="1"/>
    <xf numFmtId="0" fontId="9" fillId="0" borderId="1" xfId="0" applyFont="1" applyBorder="1" applyAlignment="1">
      <alignment vertical="top" wrapText="1"/>
    </xf>
    <xf numFmtId="0" fontId="48" fillId="0" borderId="0" xfId="0" applyFont="1"/>
    <xf numFmtId="0" fontId="49" fillId="0" borderId="1" xfId="0" applyFont="1" applyBorder="1"/>
    <xf numFmtId="0" fontId="49" fillId="0" borderId="1" xfId="0" applyFont="1" applyBorder="1" applyAlignment="1">
      <alignment wrapText="1"/>
    </xf>
    <xf numFmtId="0" fontId="49" fillId="0" borderId="1" xfId="0" quotePrefix="1" applyFont="1" applyBorder="1"/>
    <xf numFmtId="0" fontId="15" fillId="9" borderId="1" xfId="0" applyFont="1" applyFill="1" applyBorder="1"/>
    <xf numFmtId="0" fontId="9" fillId="9" borderId="1" xfId="0" applyFont="1" applyFill="1" applyBorder="1" applyAlignment="1">
      <alignment vertical="top" wrapText="1"/>
    </xf>
    <xf numFmtId="0" fontId="49" fillId="0" borderId="1" xfId="0" quotePrefix="1" applyFont="1" applyBorder="1" applyAlignment="1">
      <alignment wrapText="1"/>
    </xf>
    <xf numFmtId="0" fontId="15" fillId="0" borderId="1" xfId="0" applyFont="1" applyBorder="1"/>
    <xf numFmtId="0" fontId="9" fillId="0" borderId="15" xfId="0" applyFont="1" applyBorder="1" applyAlignment="1" applyProtection="1">
      <alignment horizontal="left"/>
      <protection locked="0"/>
    </xf>
    <xf numFmtId="0" fontId="8" fillId="0" borderId="15" xfId="0" applyFont="1" applyBorder="1" applyProtection="1">
      <protection locked="0"/>
    </xf>
    <xf numFmtId="165" fontId="25" fillId="0" borderId="15" xfId="3" applyNumberFormat="1" applyFont="1" applyFill="1" applyBorder="1" applyAlignment="1" applyProtection="1">
      <alignment wrapText="1"/>
      <protection locked="0"/>
    </xf>
    <xf numFmtId="165" fontId="25" fillId="0" borderId="20" xfId="3" applyNumberFormat="1" applyFont="1" applyFill="1" applyBorder="1" applyAlignment="1" applyProtection="1">
      <alignment wrapText="1"/>
      <protection locked="0"/>
    </xf>
    <xf numFmtId="0" fontId="39" fillId="0" borderId="2" xfId="0" applyFont="1" applyBorder="1" applyAlignment="1" applyProtection="1">
      <alignment horizontal="left"/>
      <protection locked="0"/>
    </xf>
    <xf numFmtId="3" fontId="0" fillId="0" borderId="1" xfId="0" applyNumberFormat="1" applyBorder="1"/>
    <xf numFmtId="0" fontId="50" fillId="0" borderId="0" xfId="0" applyFont="1"/>
    <xf numFmtId="165" fontId="9" fillId="2" borderId="4" xfId="3" applyNumberFormat="1" applyFont="1" applyFill="1" applyBorder="1" applyProtection="1">
      <protection locked="0"/>
    </xf>
    <xf numFmtId="165" fontId="9" fillId="2" borderId="2" xfId="3" applyNumberFormat="1" applyFont="1" applyFill="1" applyBorder="1" applyProtection="1">
      <protection locked="0"/>
    </xf>
    <xf numFmtId="14" fontId="31" fillId="7" borderId="12" xfId="0" applyNumberFormat="1" applyFont="1" applyFill="1" applyBorder="1" applyAlignment="1" applyProtection="1">
      <alignment vertical="center"/>
      <protection locked="0"/>
    </xf>
    <xf numFmtId="0" fontId="31" fillId="7" borderId="30" xfId="0" applyFont="1" applyFill="1" applyBorder="1" applyAlignment="1" applyProtection="1">
      <alignment vertical="center"/>
      <protection locked="0"/>
    </xf>
    <xf numFmtId="14" fontId="31" fillId="7" borderId="12" xfId="0" applyNumberFormat="1" applyFont="1" applyFill="1" applyBorder="1" applyAlignment="1" applyProtection="1">
      <alignment vertical="center" wrapText="1"/>
      <protection locked="0"/>
    </xf>
    <xf numFmtId="0" fontId="31" fillId="7" borderId="30" xfId="0" applyFont="1" applyFill="1" applyBorder="1" applyAlignment="1" applyProtection="1">
      <alignment vertical="center" wrapText="1"/>
      <protection locked="0"/>
    </xf>
    <xf numFmtId="0" fontId="51" fillId="0" borderId="0" xfId="0" applyFont="1"/>
    <xf numFmtId="0" fontId="9" fillId="0" borderId="48" xfId="0" applyFont="1" applyBorder="1" applyProtection="1">
      <protection locked="0"/>
    </xf>
    <xf numFmtId="0" fontId="6" fillId="9" borderId="26" xfId="0" applyFont="1" applyFill="1" applyBorder="1" applyProtection="1">
      <protection locked="0"/>
    </xf>
    <xf numFmtId="164" fontId="6" fillId="9" borderId="26" xfId="3" applyFont="1" applyFill="1" applyBorder="1" applyAlignment="1" applyProtection="1">
      <alignment horizontal="center"/>
      <protection locked="0"/>
    </xf>
    <xf numFmtId="0" fontId="53" fillId="0" borderId="0" xfId="0" applyFont="1"/>
    <xf numFmtId="14" fontId="31" fillId="7" borderId="12" xfId="0" applyNumberFormat="1" applyFont="1" applyFill="1" applyBorder="1" applyAlignment="1" applyProtection="1">
      <alignment horizontal="right" vertical="center" wrapText="1"/>
      <protection locked="0"/>
    </xf>
    <xf numFmtId="0" fontId="0" fillId="12" borderId="0" xfId="0" applyFill="1"/>
    <xf numFmtId="0" fontId="57" fillId="12" borderId="0" xfId="0" applyFont="1" applyFill="1"/>
    <xf numFmtId="0" fontId="7" fillId="0" borderId="49" xfId="0" applyFont="1" applyBorder="1"/>
    <xf numFmtId="0" fontId="7" fillId="0" borderId="13" xfId="0" applyFont="1" applyBorder="1"/>
    <xf numFmtId="0" fontId="7" fillId="0" borderId="50" xfId="0" applyFont="1" applyBorder="1"/>
    <xf numFmtId="0" fontId="6" fillId="13" borderId="8" xfId="0" applyFont="1" applyFill="1" applyBorder="1"/>
    <xf numFmtId="0" fontId="6" fillId="13" borderId="9" xfId="0" applyFont="1" applyFill="1" applyBorder="1"/>
    <xf numFmtId="0" fontId="6" fillId="13" borderId="6" xfId="0" applyFont="1" applyFill="1" applyBorder="1"/>
    <xf numFmtId="0" fontId="6" fillId="12" borderId="0" xfId="0" applyFont="1" applyFill="1"/>
    <xf numFmtId="0" fontId="58" fillId="14" borderId="12" xfId="7" applyFont="1" applyFill="1" applyBorder="1" applyAlignment="1">
      <alignment horizontal="center" vertical="center"/>
    </xf>
    <xf numFmtId="0" fontId="56" fillId="12" borderId="0" xfId="7" applyFill="1"/>
    <xf numFmtId="0" fontId="20" fillId="0" borderId="1" xfId="0" applyFont="1" applyBorder="1"/>
    <xf numFmtId="49" fontId="9" fillId="7" borderId="9" xfId="0" applyNumberFormat="1" applyFont="1" applyFill="1" applyBorder="1" applyProtection="1">
      <protection locked="0"/>
    </xf>
    <xf numFmtId="49" fontId="9" fillId="7" borderId="1" xfId="0" applyNumberFormat="1" applyFont="1" applyFill="1" applyBorder="1" applyProtection="1">
      <protection locked="0"/>
    </xf>
    <xf numFmtId="165" fontId="9" fillId="7" borderId="1" xfId="3" applyNumberFormat="1" applyFont="1" applyFill="1" applyBorder="1" applyProtection="1">
      <protection locked="0"/>
    </xf>
    <xf numFmtId="14" fontId="9" fillId="7" borderId="25" xfId="0" applyNumberFormat="1" applyFont="1" applyFill="1" applyBorder="1" applyProtection="1">
      <protection locked="0"/>
    </xf>
    <xf numFmtId="0" fontId="9" fillId="7" borderId="13" xfId="0" applyFont="1" applyFill="1" applyBorder="1" applyAlignment="1" applyProtection="1">
      <alignment horizontal="right"/>
      <protection locked="0"/>
    </xf>
    <xf numFmtId="0" fontId="9" fillId="7" borderId="1" xfId="0" applyFont="1" applyFill="1" applyBorder="1" applyAlignment="1" applyProtection="1">
      <alignment horizontal="right"/>
      <protection locked="0"/>
    </xf>
    <xf numFmtId="0" fontId="39" fillId="7" borderId="2" xfId="0" applyFont="1" applyFill="1" applyBorder="1" applyAlignment="1" applyProtection="1">
      <alignment horizontal="left"/>
      <protection locked="0"/>
    </xf>
    <xf numFmtId="0" fontId="39" fillId="7" borderId="4" xfId="0" applyFont="1" applyFill="1" applyBorder="1" applyAlignment="1" applyProtection="1">
      <alignment horizontal="left"/>
      <protection locked="0"/>
    </xf>
    <xf numFmtId="0" fontId="9" fillId="7" borderId="1" xfId="0" applyFont="1" applyFill="1" applyBorder="1" applyProtection="1">
      <protection locked="0"/>
    </xf>
    <xf numFmtId="0" fontId="9" fillId="7" borderId="9" xfId="0" applyFont="1" applyFill="1" applyBorder="1" applyProtection="1">
      <protection locked="0"/>
    </xf>
    <xf numFmtId="0" fontId="9" fillId="7" borderId="1" xfId="0" quotePrefix="1" applyFont="1" applyFill="1" applyBorder="1" applyProtection="1">
      <protection locked="0"/>
    </xf>
    <xf numFmtId="3" fontId="9" fillId="7" borderId="1" xfId="0" applyNumberFormat="1" applyFont="1" applyFill="1" applyBorder="1" applyProtection="1">
      <protection locked="0"/>
    </xf>
    <xf numFmtId="0" fontId="3" fillId="0" borderId="0" xfId="0" applyFont="1" applyAlignment="1">
      <alignment wrapText="1"/>
    </xf>
    <xf numFmtId="0" fontId="59" fillId="0" borderId="0" xfId="0" applyFont="1"/>
    <xf numFmtId="0" fontId="3" fillId="0" borderId="1" xfId="0" applyFont="1" applyBorder="1" applyAlignment="1">
      <alignment wrapText="1"/>
    </xf>
    <xf numFmtId="0" fontId="3" fillId="0" borderId="1" xfId="0" applyFont="1" applyBorder="1"/>
    <xf numFmtId="3" fontId="0" fillId="13" borderId="1" xfId="0" applyNumberFormat="1" applyFill="1" applyBorder="1" applyProtection="1">
      <protection locked="0"/>
    </xf>
    <xf numFmtId="3" fontId="9" fillId="0" borderId="8" xfId="0" applyNumberFormat="1" applyFont="1" applyBorder="1"/>
    <xf numFmtId="3" fontId="9" fillId="0" borderId="24" xfId="0" applyNumberFormat="1" applyFont="1" applyBorder="1"/>
    <xf numFmtId="3" fontId="8" fillId="9" borderId="5" xfId="0" applyNumberFormat="1" applyFont="1" applyFill="1" applyBorder="1"/>
    <xf numFmtId="3" fontId="8" fillId="0" borderId="5" xfId="0" applyNumberFormat="1" applyFont="1" applyBorder="1"/>
    <xf numFmtId="3" fontId="8" fillId="0" borderId="5" xfId="0" applyNumberFormat="1" applyFont="1" applyBorder="1" applyAlignment="1">
      <alignment horizontal="right"/>
    </xf>
    <xf numFmtId="3" fontId="8" fillId="9" borderId="51" xfId="0" applyNumberFormat="1" applyFont="1" applyFill="1" applyBorder="1"/>
    <xf numFmtId="3" fontId="8" fillId="0" borderId="54" xfId="0" applyNumberFormat="1" applyFont="1" applyBorder="1" applyAlignment="1">
      <alignment horizontal="right"/>
    </xf>
    <xf numFmtId="0" fontId="8" fillId="10" borderId="19" xfId="0" applyFont="1" applyFill="1" applyBorder="1" applyAlignment="1">
      <alignment horizontal="center"/>
    </xf>
    <xf numFmtId="3" fontId="8" fillId="0" borderId="19" xfId="0" applyNumberFormat="1" applyFont="1" applyBorder="1"/>
    <xf numFmtId="3" fontId="8" fillId="9" borderId="55" xfId="0" applyNumberFormat="1" applyFont="1" applyFill="1" applyBorder="1" applyAlignment="1">
      <alignment horizontal="left"/>
    </xf>
    <xf numFmtId="164" fontId="13" fillId="10" borderId="17" xfId="3" applyFont="1" applyFill="1" applyBorder="1" applyAlignment="1" applyProtection="1">
      <alignment horizontal="center"/>
      <protection locked="0"/>
    </xf>
    <xf numFmtId="164" fontId="13" fillId="10" borderId="19" xfId="3" applyFont="1" applyFill="1" applyBorder="1" applyAlignment="1" applyProtection="1">
      <alignment horizontal="center"/>
      <protection locked="0"/>
    </xf>
    <xf numFmtId="3" fontId="6" fillId="0" borderId="54" xfId="3" applyNumberFormat="1" applyFont="1" applyBorder="1" applyAlignment="1" applyProtection="1">
      <alignment horizontal="right" wrapText="1"/>
      <protection locked="0"/>
    </xf>
    <xf numFmtId="164" fontId="9" fillId="0" borderId="19" xfId="3" applyFont="1" applyBorder="1" applyProtection="1">
      <protection locked="0"/>
    </xf>
    <xf numFmtId="164" fontId="6" fillId="0" borderId="54" xfId="3" applyFont="1" applyBorder="1" applyAlignment="1" applyProtection="1">
      <alignment horizontal="right" wrapText="1"/>
      <protection locked="0"/>
    </xf>
    <xf numFmtId="165" fontId="8" fillId="9" borderId="19" xfId="3" applyNumberFormat="1" applyFont="1" applyFill="1" applyBorder="1" applyAlignment="1" applyProtection="1">
      <alignment horizontal="right"/>
      <protection locked="0"/>
    </xf>
    <xf numFmtId="3" fontId="9" fillId="0" borderId="31" xfId="0" applyNumberFormat="1" applyFont="1" applyBorder="1" applyAlignment="1">
      <alignment horizontal="right"/>
    </xf>
    <xf numFmtId="3" fontId="9" fillId="0" borderId="53" xfId="0" applyNumberFormat="1" applyFont="1" applyBorder="1" applyAlignment="1">
      <alignment horizontal="right"/>
    </xf>
    <xf numFmtId="165" fontId="8" fillId="9" borderId="39" xfId="3" applyNumberFormat="1" applyFont="1" applyFill="1" applyBorder="1" applyAlignment="1" applyProtection="1">
      <alignment horizontal="right"/>
      <protection locked="0"/>
    </xf>
    <xf numFmtId="3" fontId="8" fillId="9" borderId="1" xfId="0" applyNumberFormat="1" applyFont="1" applyFill="1" applyBorder="1" applyAlignment="1">
      <alignment horizontal="right"/>
    </xf>
    <xf numFmtId="3" fontId="8" fillId="9" borderId="54" xfId="0" applyNumberFormat="1" applyFont="1" applyFill="1" applyBorder="1" applyAlignment="1">
      <alignment horizontal="right"/>
    </xf>
    <xf numFmtId="165" fontId="8" fillId="9" borderId="36" xfId="3" applyNumberFormat="1" applyFont="1" applyFill="1" applyBorder="1" applyAlignment="1" applyProtection="1">
      <alignment horizontal="right"/>
      <protection locked="0"/>
    </xf>
    <xf numFmtId="3" fontId="9" fillId="0" borderId="9" xfId="0" applyNumberFormat="1" applyFont="1" applyBorder="1" applyAlignment="1">
      <alignment horizontal="right"/>
    </xf>
    <xf numFmtId="3" fontId="9" fillId="0" borderId="52" xfId="0" applyNumberFormat="1" applyFont="1" applyBorder="1" applyAlignment="1">
      <alignment horizontal="right"/>
    </xf>
    <xf numFmtId="165" fontId="8" fillId="0" borderId="36" xfId="3" applyNumberFormat="1" applyFont="1" applyBorder="1" applyAlignment="1" applyProtection="1">
      <alignment horizontal="right"/>
      <protection locked="0"/>
    </xf>
    <xf numFmtId="3" fontId="9" fillId="0" borderId="0" xfId="0" applyNumberFormat="1" applyFont="1" applyAlignment="1">
      <alignment horizontal="right"/>
    </xf>
    <xf numFmtId="3" fontId="9" fillId="0" borderId="19" xfId="0" applyNumberFormat="1" applyFont="1" applyBorder="1" applyAlignment="1">
      <alignment horizontal="right"/>
    </xf>
    <xf numFmtId="165" fontId="8" fillId="0" borderId="1" xfId="3" applyNumberFormat="1" applyFont="1" applyBorder="1" applyAlignment="1">
      <alignment horizontal="right"/>
    </xf>
    <xf numFmtId="165" fontId="8" fillId="0" borderId="54" xfId="3" applyNumberFormat="1" applyFont="1" applyBorder="1" applyAlignment="1">
      <alignment horizontal="right"/>
    </xf>
    <xf numFmtId="165" fontId="8" fillId="0" borderId="1" xfId="3" applyNumberFormat="1" applyFont="1" applyBorder="1" applyAlignment="1" applyProtection="1">
      <alignment horizontal="right"/>
      <protection locked="0"/>
    </xf>
    <xf numFmtId="165" fontId="8" fillId="0" borderId="54" xfId="3" applyNumberFormat="1" applyFont="1" applyBorder="1" applyAlignment="1" applyProtection="1">
      <alignment horizontal="right"/>
      <protection locked="0"/>
    </xf>
    <xf numFmtId="165" fontId="8" fillId="9" borderId="1" xfId="3" applyNumberFormat="1" applyFont="1" applyFill="1" applyBorder="1" applyAlignment="1">
      <alignment horizontal="right"/>
    </xf>
    <xf numFmtId="165" fontId="8" fillId="9" borderId="54" xfId="3" applyNumberFormat="1" applyFont="1" applyFill="1" applyBorder="1" applyAlignment="1">
      <alignment horizontal="right"/>
    </xf>
    <xf numFmtId="165" fontId="8" fillId="9" borderId="1" xfId="3" applyNumberFormat="1" applyFont="1" applyFill="1" applyBorder="1" applyAlignment="1" applyProtection="1">
      <alignment horizontal="right"/>
      <protection locked="0"/>
    </xf>
    <xf numFmtId="165" fontId="8" fillId="9" borderId="54" xfId="3" applyNumberFormat="1" applyFont="1" applyFill="1" applyBorder="1" applyAlignment="1" applyProtection="1">
      <alignment horizontal="right"/>
      <protection locked="0"/>
    </xf>
    <xf numFmtId="164" fontId="9" fillId="9" borderId="1" xfId="3" applyFont="1" applyFill="1" applyBorder="1" applyAlignment="1" applyProtection="1">
      <alignment horizontal="right"/>
      <protection locked="0"/>
    </xf>
    <xf numFmtId="164" fontId="9" fillId="9" borderId="54" xfId="3" applyFont="1" applyFill="1" applyBorder="1" applyAlignment="1" applyProtection="1">
      <alignment horizontal="right"/>
      <protection locked="0"/>
    </xf>
    <xf numFmtId="165" fontId="8" fillId="9" borderId="40" xfId="3" applyNumberFormat="1" applyFont="1" applyFill="1" applyBorder="1" applyAlignment="1" applyProtection="1">
      <alignment horizontal="right"/>
      <protection locked="0"/>
    </xf>
    <xf numFmtId="3" fontId="8" fillId="9" borderId="25" xfId="0" applyNumberFormat="1" applyFont="1" applyFill="1" applyBorder="1" applyAlignment="1">
      <alignment horizontal="right"/>
    </xf>
    <xf numFmtId="3" fontId="8" fillId="9" borderId="56" xfId="0" applyNumberFormat="1" applyFont="1" applyFill="1" applyBorder="1" applyAlignment="1">
      <alignment horizontal="right"/>
    </xf>
    <xf numFmtId="164" fontId="8" fillId="0" borderId="12" xfId="3" applyFont="1" applyFill="1" applyBorder="1" applyAlignment="1" applyProtection="1">
      <alignment horizontal="left"/>
    </xf>
    <xf numFmtId="164" fontId="8" fillId="0" borderId="33" xfId="3" applyFont="1" applyFill="1" applyBorder="1" applyAlignment="1" applyProtection="1">
      <alignment horizontal="left"/>
    </xf>
    <xf numFmtId="164" fontId="8" fillId="0" borderId="0" xfId="3" applyFont="1" applyFill="1" applyBorder="1" applyAlignment="1" applyProtection="1">
      <alignment wrapText="1"/>
    </xf>
    <xf numFmtId="164" fontId="9" fillId="0" borderId="0" xfId="3" applyFont="1" applyBorder="1" applyAlignment="1" applyProtection="1"/>
    <xf numFmtId="0" fontId="6" fillId="0" borderId="0" xfId="0" applyFont="1" applyAlignment="1">
      <alignment wrapText="1"/>
    </xf>
    <xf numFmtId="0" fontId="13" fillId="0" borderId="0" xfId="0" quotePrefix="1" applyFont="1"/>
    <xf numFmtId="0" fontId="8" fillId="0" borderId="14" xfId="0" applyFont="1" applyBorder="1"/>
    <xf numFmtId="0" fontId="8" fillId="12" borderId="0" xfId="0" applyFont="1" applyFill="1"/>
    <xf numFmtId="0" fontId="7" fillId="9" borderId="23" xfId="0" applyFont="1" applyFill="1" applyBorder="1"/>
    <xf numFmtId="0" fontId="5" fillId="0" borderId="22" xfId="0" applyFont="1" applyBorder="1"/>
    <xf numFmtId="0" fontId="13" fillId="0" borderId="0" xfId="0" applyFont="1"/>
    <xf numFmtId="164" fontId="9" fillId="0" borderId="0" xfId="3" applyFont="1" applyFill="1" applyBorder="1" applyProtection="1"/>
    <xf numFmtId="0" fontId="9" fillId="0" borderId="24" xfId="0" applyFont="1" applyBorder="1"/>
    <xf numFmtId="0" fontId="9" fillId="0" borderId="7" xfId="0" applyFont="1" applyBorder="1"/>
    <xf numFmtId="0" fontId="9" fillId="0" borderId="15" xfId="0" applyFont="1" applyBorder="1"/>
    <xf numFmtId="0" fontId="8" fillId="12" borderId="0" xfId="0" applyFont="1" applyFill="1" applyAlignment="1">
      <alignment horizontal="right"/>
    </xf>
    <xf numFmtId="164" fontId="9" fillId="0" borderId="15" xfId="3" applyFont="1" applyFill="1" applyBorder="1" applyProtection="1"/>
    <xf numFmtId="164" fontId="9" fillId="0" borderId="0" xfId="3" applyFont="1" applyFill="1" applyProtection="1"/>
    <xf numFmtId="164" fontId="6" fillId="0" borderId="0" xfId="3" applyFont="1" applyProtection="1"/>
    <xf numFmtId="164" fontId="9" fillId="0" borderId="0" xfId="3" applyFont="1" applyFill="1" applyBorder="1" applyAlignment="1" applyProtection="1">
      <alignment horizontal="center"/>
    </xf>
    <xf numFmtId="164" fontId="8" fillId="0" borderId="19" xfId="3" applyFont="1" applyFill="1" applyBorder="1" applyAlignment="1" applyProtection="1">
      <alignment horizontal="left"/>
    </xf>
    <xf numFmtId="164" fontId="8" fillId="0" borderId="19" xfId="3" applyFont="1" applyFill="1" applyBorder="1" applyAlignment="1" applyProtection="1"/>
    <xf numFmtId="0" fontId="52" fillId="0" borderId="0" xfId="0" applyFont="1"/>
    <xf numFmtId="164" fontId="9" fillId="0" borderId="15" xfId="3" applyFont="1" applyFill="1" applyBorder="1" applyAlignment="1" applyProtection="1">
      <alignment horizontal="center"/>
    </xf>
    <xf numFmtId="164" fontId="6" fillId="9" borderId="26" xfId="3" applyFont="1" applyFill="1" applyBorder="1" applyAlignment="1" applyProtection="1">
      <alignment horizontal="center"/>
    </xf>
    <xf numFmtId="164" fontId="6" fillId="9" borderId="26" xfId="3" applyFont="1" applyFill="1" applyBorder="1" applyProtection="1"/>
    <xf numFmtId="164" fontId="6" fillId="9" borderId="30" xfId="3" applyFont="1" applyFill="1" applyBorder="1" applyProtection="1"/>
    <xf numFmtId="164" fontId="6" fillId="0" borderId="0" xfId="3" applyFont="1" applyFill="1" applyBorder="1" applyProtection="1"/>
    <xf numFmtId="164" fontId="7" fillId="0" borderId="0" xfId="3" applyFont="1" applyProtection="1"/>
    <xf numFmtId="0" fontId="39" fillId="0" borderId="0" xfId="0" applyFont="1" applyAlignment="1">
      <alignment horizontal="left"/>
    </xf>
    <xf numFmtId="0" fontId="43" fillId="0" borderId="0" xfId="6" applyFont="1" applyFill="1" applyBorder="1" applyAlignment="1" applyProtection="1">
      <alignment vertical="center"/>
    </xf>
    <xf numFmtId="0" fontId="39" fillId="0" borderId="0" xfId="0" applyFont="1"/>
    <xf numFmtId="0" fontId="39" fillId="0" borderId="19" xfId="0" applyFont="1" applyBorder="1"/>
    <xf numFmtId="0" fontId="38" fillId="0" borderId="0" xfId="6" applyFont="1" applyFill="1" applyBorder="1" applyAlignment="1" applyProtection="1">
      <alignment vertical="center"/>
    </xf>
    <xf numFmtId="0" fontId="39" fillId="7" borderId="2" xfId="0" applyFont="1" applyFill="1" applyBorder="1" applyAlignment="1">
      <alignment horizontal="left"/>
    </xf>
    <xf numFmtId="0" fontId="39" fillId="7" borderId="5" xfId="0" applyFont="1" applyFill="1" applyBorder="1" applyAlignment="1">
      <alignment horizontal="left"/>
    </xf>
    <xf numFmtId="0" fontId="39" fillId="0" borderId="2" xfId="0" applyFont="1" applyBorder="1" applyAlignment="1">
      <alignment horizontal="left"/>
    </xf>
    <xf numFmtId="165" fontId="25" fillId="0" borderId="0" xfId="3" applyNumberFormat="1" applyFont="1" applyFill="1" applyBorder="1" applyAlignment="1" applyProtection="1">
      <alignment wrapText="1"/>
    </xf>
    <xf numFmtId="165" fontId="25" fillId="0" borderId="19" xfId="3" applyNumberFormat="1" applyFont="1" applyFill="1" applyBorder="1" applyAlignment="1" applyProtection="1">
      <alignment wrapText="1"/>
    </xf>
    <xf numFmtId="165" fontId="25" fillId="0" borderId="0" xfId="3" applyNumberFormat="1" applyFont="1" applyFill="1" applyBorder="1" applyAlignment="1" applyProtection="1">
      <alignment horizontal="left" wrapText="1"/>
    </xf>
    <xf numFmtId="165" fontId="25" fillId="0" borderId="15" xfId="3" applyNumberFormat="1" applyFont="1" applyFill="1" applyBorder="1" applyAlignment="1" applyProtection="1">
      <alignment wrapText="1"/>
    </xf>
    <xf numFmtId="165" fontId="25" fillId="0" borderId="20" xfId="3" applyNumberFormat="1" applyFont="1" applyFill="1" applyBorder="1" applyAlignment="1" applyProtection="1">
      <alignment wrapText="1"/>
    </xf>
    <xf numFmtId="0" fontId="6" fillId="9" borderId="34" xfId="0" applyFont="1" applyFill="1" applyBorder="1"/>
    <xf numFmtId="0" fontId="7" fillId="9" borderId="26" xfId="0" applyFont="1" applyFill="1" applyBorder="1" applyAlignment="1">
      <alignment horizontal="right"/>
    </xf>
    <xf numFmtId="0" fontId="6" fillId="9" borderId="26" xfId="0" applyFont="1" applyFill="1" applyBorder="1"/>
    <xf numFmtId="165" fontId="9" fillId="0" borderId="16" xfId="3" applyNumberFormat="1" applyFont="1" applyFill="1" applyBorder="1" applyAlignment="1" applyProtection="1"/>
    <xf numFmtId="165" fontId="9" fillId="0" borderId="0" xfId="3" applyNumberFormat="1" applyFont="1" applyFill="1" applyBorder="1" applyAlignment="1" applyProtection="1"/>
    <xf numFmtId="164" fontId="8" fillId="0" borderId="0" xfId="3" applyFont="1" applyFill="1" applyBorder="1" applyProtection="1"/>
    <xf numFmtId="0" fontId="39" fillId="0" borderId="4" xfId="0" applyFont="1" applyBorder="1" applyAlignment="1">
      <alignment horizontal="left"/>
    </xf>
    <xf numFmtId="0" fontId="40" fillId="0" borderId="0" xfId="0" applyFont="1"/>
    <xf numFmtId="0" fontId="40" fillId="0" borderId="19" xfId="0" applyFont="1" applyBorder="1"/>
    <xf numFmtId="0" fontId="0" fillId="0" borderId="0" xfId="0" applyAlignment="1">
      <alignment wrapText="1"/>
    </xf>
    <xf numFmtId="3" fontId="19" fillId="0" borderId="0" xfId="0" applyNumberFormat="1" applyFont="1"/>
    <xf numFmtId="0" fontId="2" fillId="0" borderId="1" xfId="0" applyFont="1" applyBorder="1" applyAlignment="1">
      <alignment wrapText="1"/>
    </xf>
    <xf numFmtId="165" fontId="9" fillId="7" borderId="1" xfId="3" applyNumberFormat="1" applyFont="1" applyFill="1" applyBorder="1" applyAlignment="1" applyProtection="1">
      <alignment horizontal="right"/>
      <protection locked="0"/>
    </xf>
    <xf numFmtId="14" fontId="9" fillId="7" borderId="1" xfId="0" applyNumberFormat="1" applyFont="1" applyFill="1" applyBorder="1" applyAlignment="1" applyProtection="1">
      <alignment horizontal="right"/>
      <protection locked="0"/>
    </xf>
    <xf numFmtId="166" fontId="9" fillId="7" borderId="1" xfId="0" applyNumberFormat="1" applyFont="1" applyFill="1" applyBorder="1" applyProtection="1">
      <protection locked="0"/>
    </xf>
    <xf numFmtId="0" fontId="33" fillId="7" borderId="11" xfId="0" applyFont="1" applyFill="1" applyBorder="1" applyAlignment="1" applyProtection="1">
      <alignment horizontal="center" vertical="center" wrapText="1"/>
      <protection locked="0"/>
    </xf>
    <xf numFmtId="0" fontId="17" fillId="0" borderId="31" xfId="0" applyFont="1" applyBorder="1" applyAlignment="1">
      <alignment horizontal="left"/>
    </xf>
    <xf numFmtId="0" fontId="17" fillId="0" borderId="57" xfId="0" applyFont="1" applyBorder="1"/>
    <xf numFmtId="167" fontId="9" fillId="0" borderId="12" xfId="2" applyNumberFormat="1" applyFont="1" applyBorder="1" applyAlignment="1" applyProtection="1"/>
    <xf numFmtId="167" fontId="9" fillId="0" borderId="33" xfId="2" applyNumberFormat="1" applyFont="1" applyBorder="1" applyAlignment="1" applyProtection="1"/>
    <xf numFmtId="164" fontId="8" fillId="0" borderId="58" xfId="3" applyFont="1" applyFill="1" applyBorder="1" applyAlignment="1" applyProtection="1">
      <alignment horizontal="left"/>
    </xf>
    <xf numFmtId="0" fontId="1" fillId="0" borderId="1" xfId="0" applyFont="1" applyBorder="1" applyAlignment="1">
      <alignment wrapText="1"/>
    </xf>
    <xf numFmtId="0" fontId="60" fillId="0" borderId="0" xfId="0" applyFont="1"/>
    <xf numFmtId="2" fontId="0" fillId="0" borderId="0" xfId="0" applyNumberFormat="1"/>
    <xf numFmtId="0" fontId="62" fillId="0" borderId="3" xfId="0" applyFont="1" applyBorder="1" applyAlignment="1">
      <alignment wrapText="1"/>
    </xf>
    <xf numFmtId="2" fontId="0" fillId="0" borderId="0" xfId="0" applyNumberFormat="1" applyAlignment="1">
      <alignment wrapText="1"/>
    </xf>
    <xf numFmtId="1" fontId="0" fillId="0" borderId="0" xfId="0" applyNumberFormat="1"/>
    <xf numFmtId="0" fontId="31" fillId="5" borderId="23" xfId="0" applyFont="1" applyFill="1" applyBorder="1" applyAlignment="1" applyProtection="1">
      <alignment vertical="center" wrapText="1"/>
      <protection locked="0"/>
    </xf>
    <xf numFmtId="49" fontId="31" fillId="5" borderId="23" xfId="0" applyNumberFormat="1" applyFont="1" applyFill="1" applyBorder="1" applyAlignment="1" applyProtection="1">
      <alignment vertical="center" wrapText="1"/>
      <protection locked="0"/>
    </xf>
    <xf numFmtId="0" fontId="30" fillId="9" borderId="23" xfId="0" applyFont="1" applyFill="1" applyBorder="1" applyAlignment="1">
      <alignment vertical="center" wrapText="1"/>
    </xf>
    <xf numFmtId="0" fontId="30" fillId="9" borderId="12" xfId="0" applyFont="1" applyFill="1" applyBorder="1" applyAlignment="1">
      <alignment vertical="center" wrapText="1"/>
    </xf>
    <xf numFmtId="0" fontId="30" fillId="9" borderId="33" xfId="0" applyFont="1" applyFill="1" applyBorder="1" applyAlignment="1">
      <alignment vertical="center" wrapText="1"/>
    </xf>
    <xf numFmtId="0" fontId="30" fillId="9" borderId="33" xfId="0" applyFont="1" applyFill="1" applyBorder="1" applyAlignment="1">
      <alignment vertical="top" wrapText="1"/>
    </xf>
    <xf numFmtId="0" fontId="31" fillId="5" borderId="23" xfId="0" applyFont="1" applyFill="1" applyBorder="1" applyAlignment="1">
      <alignment vertical="center" wrapText="1"/>
    </xf>
    <xf numFmtId="14" fontId="31" fillId="5" borderId="23" xfId="0" applyNumberFormat="1" applyFont="1" applyFill="1" applyBorder="1" applyAlignment="1">
      <alignment horizontal="center" vertical="center" wrapText="1"/>
    </xf>
    <xf numFmtId="0" fontId="21" fillId="12" borderId="0" xfId="0" applyFont="1" applyFill="1"/>
    <xf numFmtId="0" fontId="29" fillId="12" borderId="15" xfId="0" applyFont="1" applyFill="1" applyBorder="1" applyAlignment="1">
      <alignment horizontal="center" vertical="center" wrapText="1"/>
    </xf>
    <xf numFmtId="0" fontId="29" fillId="12" borderId="0" xfId="0" applyFont="1" applyFill="1" applyAlignment="1">
      <alignment horizontal="center" vertical="center"/>
    </xf>
    <xf numFmtId="0" fontId="65" fillId="12" borderId="0" xfId="0" applyFont="1" applyFill="1"/>
    <xf numFmtId="0" fontId="23" fillId="12" borderId="0" xfId="0" applyFont="1" applyFill="1"/>
    <xf numFmtId="14" fontId="0" fillId="12" borderId="0" xfId="0" applyNumberFormat="1" applyFill="1"/>
    <xf numFmtId="3" fontId="0" fillId="12" borderId="0" xfId="0" applyNumberFormat="1" applyFill="1"/>
    <xf numFmtId="0" fontId="30" fillId="9" borderId="22" xfId="0" applyFont="1" applyFill="1" applyBorder="1" applyAlignment="1">
      <alignment vertical="center" wrapText="1"/>
    </xf>
    <xf numFmtId="3" fontId="30" fillId="9" borderId="12" xfId="0" applyNumberFormat="1" applyFont="1" applyFill="1" applyBorder="1" applyAlignment="1">
      <alignment vertical="center" wrapText="1"/>
    </xf>
    <xf numFmtId="0" fontId="31" fillId="9" borderId="12" xfId="0" applyFont="1" applyFill="1" applyBorder="1" applyAlignment="1">
      <alignment vertical="center" wrapText="1"/>
    </xf>
    <xf numFmtId="9" fontId="35" fillId="5" borderId="12" xfId="2" applyFont="1" applyFill="1" applyBorder="1" applyAlignment="1">
      <alignment vertical="center" wrapText="1"/>
    </xf>
    <xf numFmtId="14" fontId="31" fillId="7" borderId="12" xfId="0" applyNumberFormat="1" applyFont="1" applyFill="1" applyBorder="1" applyAlignment="1" applyProtection="1">
      <alignment horizontal="center" vertical="center" wrapText="1"/>
      <protection locked="0"/>
    </xf>
    <xf numFmtId="0" fontId="66" fillId="0" borderId="0" xfId="0" applyFont="1" applyAlignment="1">
      <alignment vertical="center"/>
    </xf>
    <xf numFmtId="164" fontId="0" fillId="0" borderId="1" xfId="0" applyNumberFormat="1" applyBorder="1"/>
    <xf numFmtId="165" fontId="8" fillId="2" borderId="4" xfId="3" applyNumberFormat="1" applyFont="1" applyFill="1" applyBorder="1" applyProtection="1">
      <protection locked="0"/>
    </xf>
    <xf numFmtId="165" fontId="8" fillId="2" borderId="2" xfId="3" applyNumberFormat="1" applyFont="1" applyFill="1" applyBorder="1" applyProtection="1">
      <protection locked="0"/>
    </xf>
    <xf numFmtId="165" fontId="8" fillId="2" borderId="1" xfId="3" applyNumberFormat="1" applyFont="1" applyFill="1" applyBorder="1" applyProtection="1">
      <protection locked="0"/>
    </xf>
    <xf numFmtId="164" fontId="7" fillId="0" borderId="1" xfId="0" applyNumberFormat="1" applyFont="1" applyBorder="1"/>
    <xf numFmtId="0" fontId="31" fillId="7" borderId="23" xfId="0" applyFont="1" applyFill="1" applyBorder="1" applyAlignment="1" applyProtection="1">
      <alignment vertical="center" wrapText="1"/>
      <protection locked="0"/>
    </xf>
    <xf numFmtId="0" fontId="0" fillId="12" borderId="1" xfId="0" applyFill="1" applyBorder="1"/>
    <xf numFmtId="0" fontId="0" fillId="12" borderId="1" xfId="0" applyFill="1" applyBorder="1" applyAlignment="1">
      <alignment wrapText="1"/>
    </xf>
    <xf numFmtId="0" fontId="6" fillId="12" borderId="1" xfId="0" applyFont="1" applyFill="1" applyBorder="1"/>
    <xf numFmtId="0" fontId="0" fillId="7" borderId="1" xfId="0" applyFill="1" applyBorder="1"/>
    <xf numFmtId="0" fontId="6" fillId="12" borderId="0" xfId="0" quotePrefix="1" applyFont="1" applyFill="1"/>
    <xf numFmtId="3" fontId="20" fillId="15" borderId="1" xfId="0" applyNumberFormat="1" applyFont="1" applyFill="1" applyBorder="1"/>
    <xf numFmtId="0" fontId="20" fillId="15" borderId="1" xfId="0" applyFont="1" applyFill="1" applyBorder="1"/>
    <xf numFmtId="164" fontId="0" fillId="7" borderId="1" xfId="0" applyNumberFormat="1" applyFill="1" applyBorder="1" applyProtection="1">
      <protection locked="0"/>
    </xf>
    <xf numFmtId="0" fontId="7" fillId="12" borderId="0" xfId="0" applyFont="1" applyFill="1"/>
    <xf numFmtId="0" fontId="0" fillId="12" borderId="9" xfId="0" applyFill="1" applyBorder="1"/>
    <xf numFmtId="0" fontId="57" fillId="0" borderId="0" xfId="0" applyFont="1"/>
    <xf numFmtId="14" fontId="57" fillId="0" borderId="0" xfId="0" applyNumberFormat="1" applyFont="1"/>
    <xf numFmtId="0" fontId="7" fillId="0" borderId="0" xfId="0" applyFont="1" applyAlignment="1">
      <alignment horizontal="center"/>
    </xf>
    <xf numFmtId="1" fontId="6" fillId="0" borderId="0" xfId="0" applyNumberFormat="1" applyFont="1" applyAlignment="1">
      <alignment horizontal="center"/>
    </xf>
    <xf numFmtId="0" fontId="31" fillId="7" borderId="23" xfId="0" applyFont="1" applyFill="1" applyBorder="1" applyAlignment="1" applyProtection="1">
      <alignment horizontal="left" vertical="center" wrapText="1"/>
      <protection locked="0"/>
    </xf>
    <xf numFmtId="0" fontId="31" fillId="7" borderId="26" xfId="0" applyFont="1" applyFill="1" applyBorder="1" applyAlignment="1" applyProtection="1">
      <alignment horizontal="left" vertical="center" wrapText="1"/>
      <protection locked="0"/>
    </xf>
    <xf numFmtId="0" fontId="31" fillId="7" borderId="30" xfId="0" applyFont="1" applyFill="1" applyBorder="1" applyAlignment="1" applyProtection="1">
      <alignment horizontal="left" vertical="center" wrapText="1"/>
      <protection locked="0"/>
    </xf>
    <xf numFmtId="0" fontId="28" fillId="12" borderId="0" xfId="0" applyFont="1" applyFill="1" applyAlignment="1">
      <alignment horizontal="center" vertical="center"/>
    </xf>
    <xf numFmtId="0" fontId="29" fillId="12" borderId="15" xfId="0" applyFont="1" applyFill="1" applyBorder="1" applyAlignment="1">
      <alignment horizontal="center" vertical="center" wrapText="1"/>
    </xf>
    <xf numFmtId="0" fontId="29" fillId="12" borderId="0" xfId="0" applyFont="1" applyFill="1" applyAlignment="1">
      <alignment horizontal="center" vertical="center"/>
    </xf>
    <xf numFmtId="0" fontId="31" fillId="5" borderId="23" xfId="0" applyFont="1" applyFill="1" applyBorder="1" applyAlignment="1" applyProtection="1">
      <alignment horizontal="left" vertical="center" wrapText="1"/>
      <protection locked="0"/>
    </xf>
    <xf numFmtId="0" fontId="31" fillId="5" borderId="26" xfId="0" applyFont="1" applyFill="1" applyBorder="1" applyAlignment="1" applyProtection="1">
      <alignment horizontal="left" vertical="center" wrapText="1"/>
      <protection locked="0"/>
    </xf>
    <xf numFmtId="0" fontId="31" fillId="5" borderId="30" xfId="0" applyFont="1" applyFill="1" applyBorder="1" applyAlignment="1" applyProtection="1">
      <alignment horizontal="left" vertical="center" wrapText="1"/>
      <protection locked="0"/>
    </xf>
    <xf numFmtId="0" fontId="29" fillId="0" borderId="23" xfId="0" applyFont="1" applyBorder="1" applyAlignment="1">
      <alignment horizontal="center" vertical="center"/>
    </xf>
    <xf numFmtId="0" fontId="29" fillId="0" borderId="30" xfId="0" applyFont="1" applyBorder="1" applyAlignment="1">
      <alignment horizontal="center" vertical="center"/>
    </xf>
    <xf numFmtId="0" fontId="28" fillId="0" borderId="26" xfId="0" applyFont="1" applyBorder="1" applyAlignment="1">
      <alignment horizontal="center" vertical="center"/>
    </xf>
    <xf numFmtId="0" fontId="28" fillId="0" borderId="30" xfId="0" applyFont="1" applyBorder="1" applyAlignment="1">
      <alignment horizontal="center" vertical="center"/>
    </xf>
    <xf numFmtId="0" fontId="30" fillId="9" borderId="23" xfId="0" applyFont="1" applyFill="1" applyBorder="1" applyAlignment="1">
      <alignment horizontal="left" vertical="center" wrapText="1"/>
    </xf>
    <xf numFmtId="0" fontId="30" fillId="9" borderId="30" xfId="0" applyFont="1" applyFill="1" applyBorder="1" applyAlignment="1">
      <alignment horizontal="left" vertical="center" wrapText="1"/>
    </xf>
    <xf numFmtId="14" fontId="31" fillId="5" borderId="23" xfId="0" applyNumberFormat="1" applyFont="1" applyFill="1" applyBorder="1" applyAlignment="1">
      <alignment horizontal="center" vertical="center" wrapText="1"/>
    </xf>
    <xf numFmtId="14" fontId="31" fillId="5" borderId="30" xfId="0" applyNumberFormat="1" applyFont="1" applyFill="1" applyBorder="1" applyAlignment="1">
      <alignment horizontal="center" vertical="center" wrapText="1"/>
    </xf>
    <xf numFmtId="0" fontId="30" fillId="12" borderId="18" xfId="0" applyFont="1" applyFill="1" applyBorder="1" applyAlignment="1">
      <alignment horizontal="center" vertical="center" wrapText="1"/>
    </xf>
    <xf numFmtId="0" fontId="30" fillId="12" borderId="19" xfId="0" applyFont="1" applyFill="1" applyBorder="1" applyAlignment="1">
      <alignment horizontal="center" vertical="center" wrapText="1"/>
    </xf>
    <xf numFmtId="14" fontId="31" fillId="7" borderId="23" xfId="0" applyNumberFormat="1" applyFont="1" applyFill="1" applyBorder="1" applyAlignment="1" applyProtection="1">
      <alignment horizontal="center" vertical="center" wrapText="1"/>
      <protection locked="0"/>
    </xf>
    <xf numFmtId="14" fontId="31" fillId="7" borderId="30" xfId="0" applyNumberFormat="1" applyFont="1" applyFill="1" applyBorder="1" applyAlignment="1" applyProtection="1">
      <alignment horizontal="center" vertical="center" wrapText="1"/>
      <protection locked="0"/>
    </xf>
    <xf numFmtId="0" fontId="30" fillId="12" borderId="22" xfId="0" applyFont="1" applyFill="1" applyBorder="1" applyAlignment="1">
      <alignment horizontal="center" vertical="center" wrapText="1"/>
    </xf>
    <xf numFmtId="0" fontId="30" fillId="12" borderId="20" xfId="0" applyFont="1" applyFill="1" applyBorder="1" applyAlignment="1">
      <alignment horizontal="center" vertical="center" wrapText="1"/>
    </xf>
    <xf numFmtId="14" fontId="30" fillId="7" borderId="15" xfId="0" applyNumberFormat="1" applyFont="1" applyFill="1" applyBorder="1" applyAlignment="1" applyProtection="1">
      <alignment horizontal="left" vertical="top" wrapText="1"/>
      <protection locked="0"/>
    </xf>
    <xf numFmtId="0" fontId="30" fillId="7" borderId="15" xfId="0" applyFont="1" applyFill="1" applyBorder="1" applyAlignment="1" applyProtection="1">
      <alignment horizontal="left" vertical="top" wrapText="1"/>
      <protection locked="0"/>
    </xf>
    <xf numFmtId="0" fontId="30" fillId="7" borderId="20" xfId="0" applyFont="1" applyFill="1" applyBorder="1" applyAlignment="1" applyProtection="1">
      <alignment horizontal="left" vertical="top" wrapText="1"/>
      <protection locked="0"/>
    </xf>
    <xf numFmtId="0" fontId="30" fillId="7" borderId="23" xfId="0" applyFont="1" applyFill="1" applyBorder="1" applyAlignment="1" applyProtection="1">
      <alignment horizontal="center" vertical="center" wrapText="1"/>
      <protection locked="0"/>
    </xf>
    <xf numFmtId="0" fontId="30" fillId="7" borderId="26" xfId="0" applyFont="1" applyFill="1" applyBorder="1" applyAlignment="1" applyProtection="1">
      <alignment horizontal="center" vertical="center" wrapText="1"/>
      <protection locked="0"/>
    </xf>
    <xf numFmtId="0" fontId="31" fillId="0" borderId="21" xfId="0" applyFont="1" applyBorder="1" applyAlignment="1">
      <alignment horizontal="center" vertical="center" wrapText="1"/>
    </xf>
    <xf numFmtId="0" fontId="31" fillId="0" borderId="16" xfId="0" applyFont="1" applyBorder="1" applyAlignment="1">
      <alignment horizontal="center" vertical="center" wrapText="1"/>
    </xf>
    <xf numFmtId="0" fontId="31" fillId="0" borderId="17" xfId="0" applyFont="1" applyBorder="1" applyAlignment="1">
      <alignment horizontal="center" vertical="center" wrapText="1"/>
    </xf>
    <xf numFmtId="0" fontId="34" fillId="5" borderId="23" xfId="0" applyFont="1" applyFill="1" applyBorder="1" applyAlignment="1">
      <alignment horizontal="left" vertical="center" wrapText="1"/>
    </xf>
    <xf numFmtId="0" fontId="34" fillId="5" borderId="26" xfId="0" applyFont="1" applyFill="1" applyBorder="1" applyAlignment="1">
      <alignment horizontal="left" vertical="center" wrapText="1"/>
    </xf>
    <xf numFmtId="0" fontId="34" fillId="5" borderId="30" xfId="0" applyFont="1" applyFill="1" applyBorder="1" applyAlignment="1">
      <alignment horizontal="left" vertical="center" wrapText="1"/>
    </xf>
    <xf numFmtId="3" fontId="30" fillId="7" borderId="23" xfId="0" applyNumberFormat="1" applyFont="1" applyFill="1" applyBorder="1" applyAlignment="1" applyProtection="1">
      <alignment horizontal="right" vertical="center" wrapText="1"/>
      <protection locked="0"/>
    </xf>
    <xf numFmtId="3" fontId="30" fillId="7" borderId="30" xfId="0" applyNumberFormat="1" applyFont="1" applyFill="1" applyBorder="1" applyAlignment="1" applyProtection="1">
      <alignment horizontal="right" vertical="center" wrapText="1"/>
      <protection locked="0"/>
    </xf>
    <xf numFmtId="3" fontId="35" fillId="0" borderId="21" xfId="0" applyNumberFormat="1" applyFont="1" applyBorder="1" applyAlignment="1">
      <alignment horizontal="center" vertical="center" wrapText="1"/>
    </xf>
    <xf numFmtId="3" fontId="35" fillId="0" borderId="16" xfId="0" applyNumberFormat="1" applyFont="1" applyBorder="1" applyAlignment="1">
      <alignment horizontal="center" vertical="center" wrapText="1"/>
    </xf>
    <xf numFmtId="3" fontId="35" fillId="0" borderId="17" xfId="0" applyNumberFormat="1" applyFont="1" applyBorder="1" applyAlignment="1">
      <alignment horizontal="center" vertical="center" wrapText="1"/>
    </xf>
    <xf numFmtId="3" fontId="35" fillId="0" borderId="18" xfId="0" applyNumberFormat="1" applyFont="1" applyBorder="1" applyAlignment="1">
      <alignment horizontal="center" vertical="center" wrapText="1"/>
    </xf>
    <xf numFmtId="3" fontId="35" fillId="0" borderId="0" xfId="0" applyNumberFormat="1" applyFont="1" applyAlignment="1">
      <alignment horizontal="center" vertical="center" wrapText="1"/>
    </xf>
    <xf numFmtId="3" fontId="35" fillId="0" borderId="19" xfId="0" applyNumberFormat="1" applyFont="1" applyBorder="1" applyAlignment="1">
      <alignment horizontal="center" vertical="center" wrapText="1"/>
    </xf>
    <xf numFmtId="3" fontId="30" fillId="5" borderId="23" xfId="0" applyNumberFormat="1" applyFont="1" applyFill="1" applyBorder="1" applyAlignment="1">
      <alignment horizontal="right" vertical="center" wrapText="1"/>
    </xf>
    <xf numFmtId="3" fontId="30" fillId="5" borderId="30" xfId="0" applyNumberFormat="1" applyFont="1" applyFill="1" applyBorder="1" applyAlignment="1">
      <alignment horizontal="right" vertical="center" wrapText="1"/>
    </xf>
    <xf numFmtId="3" fontId="35" fillId="7" borderId="23" xfId="0" applyNumberFormat="1" applyFont="1" applyFill="1" applyBorder="1" applyAlignment="1" applyProtection="1">
      <alignment horizontal="right" vertical="center" wrapText="1"/>
      <protection locked="0"/>
    </xf>
    <xf numFmtId="3" fontId="35" fillId="7" borderId="30" xfId="0" applyNumberFormat="1" applyFont="1" applyFill="1" applyBorder="1" applyAlignment="1" applyProtection="1">
      <alignment horizontal="right" vertical="center" wrapText="1"/>
      <protection locked="0"/>
    </xf>
    <xf numFmtId="3" fontId="37" fillId="12" borderId="18" xfId="0" applyNumberFormat="1" applyFont="1" applyFill="1" applyBorder="1" applyAlignment="1">
      <alignment horizontal="center" vertical="center" wrapText="1"/>
    </xf>
    <xf numFmtId="3" fontId="37" fillId="12" borderId="19" xfId="0" applyNumberFormat="1" applyFont="1" applyFill="1" applyBorder="1" applyAlignment="1">
      <alignment horizontal="center" vertical="center" wrapText="1"/>
    </xf>
    <xf numFmtId="3" fontId="35" fillId="0" borderId="22" xfId="0" applyNumberFormat="1" applyFont="1" applyBorder="1" applyAlignment="1">
      <alignment horizontal="center" vertical="center" wrapText="1"/>
    </xf>
    <xf numFmtId="3" fontId="35" fillId="0" borderId="15" xfId="0" applyNumberFormat="1" applyFont="1" applyBorder="1" applyAlignment="1">
      <alignment horizontal="center" vertical="center" wrapText="1"/>
    </xf>
    <xf numFmtId="3" fontId="35" fillId="0" borderId="20" xfId="0" applyNumberFormat="1" applyFont="1" applyBorder="1" applyAlignment="1">
      <alignment horizontal="center" vertical="center" wrapText="1"/>
    </xf>
    <xf numFmtId="0" fontId="33" fillId="0" borderId="22" xfId="0" applyFont="1" applyBorder="1" applyAlignment="1">
      <alignment horizontal="center" vertical="center" wrapText="1"/>
    </xf>
    <xf numFmtId="0" fontId="33" fillId="0" borderId="15" xfId="0" applyFont="1" applyBorder="1" applyAlignment="1">
      <alignment horizontal="center" vertical="center" wrapText="1"/>
    </xf>
    <xf numFmtId="0" fontId="33" fillId="0" borderId="20" xfId="0" applyFont="1" applyBorder="1" applyAlignment="1">
      <alignment horizontal="center" vertical="center" wrapText="1"/>
    </xf>
    <xf numFmtId="0" fontId="31" fillId="0" borderId="18" xfId="0" applyFont="1" applyBorder="1" applyAlignment="1">
      <alignment horizontal="center" vertical="center" wrapText="1"/>
    </xf>
    <xf numFmtId="0" fontId="31" fillId="0" borderId="0" xfId="0" applyFont="1" applyAlignment="1">
      <alignment horizontal="center" vertical="center" wrapText="1"/>
    </xf>
    <xf numFmtId="0" fontId="31" fillId="0" borderId="19" xfId="0" applyFont="1" applyBorder="1" applyAlignment="1">
      <alignment horizontal="center" vertical="center" wrapText="1"/>
    </xf>
    <xf numFmtId="0" fontId="31" fillId="0" borderId="22" xfId="0" applyFont="1" applyBorder="1" applyAlignment="1">
      <alignment horizontal="center" vertical="center" wrapText="1"/>
    </xf>
    <xf numFmtId="0" fontId="31" fillId="0" borderId="15" xfId="0" applyFont="1" applyBorder="1" applyAlignment="1">
      <alignment horizontal="center" vertical="center" wrapText="1"/>
    </xf>
    <xf numFmtId="0" fontId="31" fillId="0" borderId="20" xfId="0" applyFont="1" applyBorder="1" applyAlignment="1">
      <alignment horizontal="center" vertical="center" wrapText="1"/>
    </xf>
    <xf numFmtId="3" fontId="35" fillId="0" borderId="23" xfId="0" applyNumberFormat="1" applyFont="1" applyBorder="1" applyAlignment="1">
      <alignment horizontal="right" vertical="center" wrapText="1"/>
    </xf>
    <xf numFmtId="3" fontId="35" fillId="0" borderId="26" xfId="0" applyNumberFormat="1" applyFont="1" applyBorder="1" applyAlignment="1">
      <alignment horizontal="right" vertical="center" wrapText="1"/>
    </xf>
    <xf numFmtId="3" fontId="35" fillId="0" borderId="30" xfId="0" applyNumberFormat="1" applyFont="1" applyBorder="1" applyAlignment="1">
      <alignment horizontal="right" vertical="center" wrapText="1"/>
    </xf>
    <xf numFmtId="0" fontId="30" fillId="9" borderId="26" xfId="0" applyFont="1" applyFill="1" applyBorder="1" applyAlignment="1">
      <alignment horizontal="left" vertical="center" wrapText="1"/>
    </xf>
    <xf numFmtId="9" fontId="35" fillId="5" borderId="23" xfId="2" applyFont="1" applyFill="1" applyBorder="1" applyAlignment="1">
      <alignment horizontal="right" vertical="center" wrapText="1"/>
    </xf>
    <xf numFmtId="9" fontId="35" fillId="5" borderId="30" xfId="2" applyFont="1" applyFill="1" applyBorder="1" applyAlignment="1">
      <alignment horizontal="right" vertical="center" wrapText="1"/>
    </xf>
    <xf numFmtId="0" fontId="30" fillId="9" borderId="22" xfId="0" applyFont="1" applyFill="1" applyBorder="1" applyAlignment="1">
      <alignment horizontal="left" vertical="center" wrapText="1"/>
    </xf>
    <xf numFmtId="0" fontId="30" fillId="9" borderId="20" xfId="0" applyFont="1" applyFill="1" applyBorder="1" applyAlignment="1">
      <alignment horizontal="left" vertical="center" wrapText="1"/>
    </xf>
    <xf numFmtId="0" fontId="31" fillId="7" borderId="26" xfId="0" applyFont="1" applyFill="1" applyBorder="1" applyAlignment="1" applyProtection="1">
      <alignment horizontal="center" vertical="center" wrapText="1"/>
      <protection locked="0"/>
    </xf>
    <xf numFmtId="0" fontId="31" fillId="7" borderId="30" xfId="0" applyFont="1" applyFill="1" applyBorder="1" applyAlignment="1" applyProtection="1">
      <alignment horizontal="center" vertical="center" wrapText="1"/>
      <protection locked="0"/>
    </xf>
    <xf numFmtId="0" fontId="30" fillId="9" borderId="23" xfId="0" applyFont="1" applyFill="1" applyBorder="1" applyAlignment="1">
      <alignment vertical="center" wrapText="1"/>
    </xf>
    <xf numFmtId="0" fontId="30" fillId="9" borderId="26" xfId="0" applyFont="1" applyFill="1" applyBorder="1" applyAlignment="1">
      <alignment vertical="center" wrapText="1"/>
    </xf>
    <xf numFmtId="0" fontId="30" fillId="9" borderId="30" xfId="0" applyFont="1" applyFill="1" applyBorder="1" applyAlignment="1">
      <alignment vertical="center" wrapText="1"/>
    </xf>
    <xf numFmtId="0" fontId="33" fillId="0" borderId="21" xfId="0" applyFont="1" applyBorder="1" applyAlignment="1">
      <alignment horizontal="center" vertical="center" wrapText="1"/>
    </xf>
    <xf numFmtId="0" fontId="33" fillId="0" borderId="16" xfId="0" applyFont="1" applyBorder="1" applyAlignment="1">
      <alignment horizontal="center" vertical="center" wrapText="1"/>
    </xf>
    <xf numFmtId="0" fontId="33" fillId="0" borderId="17" xfId="0" applyFont="1" applyBorder="1" applyAlignment="1">
      <alignment horizontal="center" vertical="center" wrapText="1"/>
    </xf>
    <xf numFmtId="3" fontId="35" fillId="12" borderId="22" xfId="0" applyNumberFormat="1" applyFont="1" applyFill="1" applyBorder="1" applyAlignment="1">
      <alignment horizontal="center" vertical="center" wrapText="1"/>
    </xf>
    <xf numFmtId="3" fontId="35" fillId="12" borderId="15" xfId="0" applyNumberFormat="1" applyFont="1" applyFill="1" applyBorder="1" applyAlignment="1">
      <alignment horizontal="center" vertical="center" wrapText="1"/>
    </xf>
    <xf numFmtId="3" fontId="35" fillId="12" borderId="20" xfId="0" applyNumberFormat="1" applyFont="1" applyFill="1" applyBorder="1" applyAlignment="1">
      <alignment horizontal="center" vertical="center" wrapText="1"/>
    </xf>
    <xf numFmtId="0" fontId="64" fillId="0" borderId="26" xfId="0" applyFont="1" applyBorder="1" applyAlignment="1">
      <alignment horizontal="center" vertical="center"/>
    </xf>
    <xf numFmtId="0" fontId="64" fillId="0" borderId="30" xfId="0" applyFont="1" applyBorder="1" applyAlignment="1">
      <alignment horizontal="center" vertical="center"/>
    </xf>
    <xf numFmtId="0" fontId="30" fillId="0" borderId="21" xfId="0" applyFont="1" applyBorder="1" applyAlignment="1">
      <alignment horizontal="center" vertical="center" wrapText="1"/>
    </xf>
    <xf numFmtId="0" fontId="30" fillId="0" borderId="17" xfId="0" applyFont="1" applyBorder="1" applyAlignment="1">
      <alignment horizontal="center" vertical="center" wrapText="1"/>
    </xf>
    <xf numFmtId="0" fontId="30" fillId="0" borderId="22" xfId="0" applyFont="1" applyBorder="1" applyAlignment="1">
      <alignment horizontal="center" vertical="center" wrapText="1"/>
    </xf>
    <xf numFmtId="0" fontId="30" fillId="0" borderId="20" xfId="0" applyFont="1" applyBorder="1" applyAlignment="1">
      <alignment horizontal="center" vertical="center" wrapText="1"/>
    </xf>
    <xf numFmtId="0" fontId="30" fillId="7" borderId="30" xfId="0" applyFont="1" applyFill="1" applyBorder="1" applyAlignment="1" applyProtection="1">
      <alignment horizontal="center" vertical="center" wrapText="1"/>
      <protection locked="0"/>
    </xf>
    <xf numFmtId="14" fontId="31" fillId="7" borderId="23" xfId="0" applyNumberFormat="1" applyFont="1" applyFill="1" applyBorder="1" applyAlignment="1" applyProtection="1">
      <alignment horizontal="left" vertical="center" wrapText="1"/>
      <protection locked="0"/>
    </xf>
    <xf numFmtId="14" fontId="31" fillId="7" borderId="30" xfId="0" applyNumberFormat="1" applyFont="1" applyFill="1" applyBorder="1" applyAlignment="1" applyProtection="1">
      <alignment horizontal="left" vertical="center" wrapText="1"/>
      <protection locked="0"/>
    </xf>
    <xf numFmtId="0" fontId="30" fillId="9" borderId="21" xfId="0" applyFont="1" applyFill="1" applyBorder="1" applyAlignment="1">
      <alignment horizontal="left" vertical="center" wrapText="1"/>
    </xf>
    <xf numFmtId="0" fontId="30" fillId="9" borderId="17" xfId="0" applyFont="1" applyFill="1" applyBorder="1" applyAlignment="1">
      <alignment horizontal="left" vertical="center" wrapText="1"/>
    </xf>
    <xf numFmtId="0" fontId="30" fillId="9" borderId="18" xfId="0" quotePrefix="1" applyFont="1" applyFill="1" applyBorder="1" applyAlignment="1">
      <alignment horizontal="left" vertical="center" wrapText="1"/>
    </xf>
    <xf numFmtId="0" fontId="30" fillId="9" borderId="19" xfId="0" applyFont="1" applyFill="1" applyBorder="1" applyAlignment="1">
      <alignment horizontal="left" vertical="center" wrapText="1"/>
    </xf>
    <xf numFmtId="0" fontId="31" fillId="7" borderId="23" xfId="0" applyFont="1" applyFill="1" applyBorder="1" applyAlignment="1" applyProtection="1">
      <alignment horizontal="center" vertical="center" wrapText="1"/>
      <protection locked="0"/>
    </xf>
    <xf numFmtId="0" fontId="31" fillId="7" borderId="17" xfId="0" applyFont="1" applyFill="1" applyBorder="1" applyAlignment="1" applyProtection="1">
      <alignment horizontal="left" vertical="center" wrapText="1"/>
      <protection locked="0"/>
    </xf>
    <xf numFmtId="0" fontId="30" fillId="0" borderId="23" xfId="0" applyFont="1" applyBorder="1" applyAlignment="1">
      <alignment horizontal="center" vertical="center" wrapText="1"/>
    </xf>
    <xf numFmtId="0" fontId="30" fillId="0" borderId="26" xfId="0" applyFont="1" applyBorder="1" applyAlignment="1">
      <alignment horizontal="center" vertical="center" wrapText="1"/>
    </xf>
    <xf numFmtId="0" fontId="30" fillId="0" borderId="30" xfId="0" applyFont="1" applyBorder="1" applyAlignment="1">
      <alignment horizontal="center" vertical="center" wrapText="1"/>
    </xf>
    <xf numFmtId="0" fontId="9" fillId="7" borderId="4" xfId="0" applyFont="1" applyFill="1" applyBorder="1" applyAlignment="1" applyProtection="1">
      <alignment horizontal="left"/>
      <protection locked="0"/>
    </xf>
    <xf numFmtId="0" fontId="9" fillId="7" borderId="2" xfId="0" applyFont="1" applyFill="1" applyBorder="1" applyAlignment="1" applyProtection="1">
      <alignment horizontal="left"/>
      <protection locked="0"/>
    </xf>
    <xf numFmtId="0" fontId="9" fillId="7" borderId="5" xfId="0" applyFont="1" applyFill="1" applyBorder="1" applyAlignment="1" applyProtection="1">
      <alignment horizontal="left"/>
      <protection locked="0"/>
    </xf>
    <xf numFmtId="0" fontId="9" fillId="7" borderId="4" xfId="0" applyFont="1" applyFill="1" applyBorder="1" applyAlignment="1" applyProtection="1">
      <alignment horizontal="center"/>
      <protection locked="0"/>
    </xf>
    <xf numFmtId="0" fontId="9" fillId="7" borderId="2" xfId="0" applyFont="1" applyFill="1" applyBorder="1" applyAlignment="1" applyProtection="1">
      <alignment horizontal="center"/>
      <protection locked="0"/>
    </xf>
    <xf numFmtId="0" fontId="9" fillId="7" borderId="5" xfId="0" applyFont="1" applyFill="1" applyBorder="1" applyAlignment="1" applyProtection="1">
      <alignment horizontal="center"/>
      <protection locked="0"/>
    </xf>
    <xf numFmtId="1" fontId="8" fillId="0" borderId="4" xfId="0" applyNumberFormat="1" applyFont="1" applyBorder="1" applyAlignment="1">
      <alignment horizontal="center"/>
    </xf>
    <xf numFmtId="0" fontId="8" fillId="0" borderId="5" xfId="0" applyFont="1" applyBorder="1" applyAlignment="1">
      <alignment horizontal="center"/>
    </xf>
    <xf numFmtId="0" fontId="8" fillId="0" borderId="4" xfId="0" applyFont="1" applyBorder="1" applyAlignment="1">
      <alignment horizontal="center"/>
    </xf>
    <xf numFmtId="0" fontId="8" fillId="0" borderId="14" xfId="0" applyFont="1" applyBorder="1" applyAlignment="1">
      <alignment horizontal="right"/>
    </xf>
    <xf numFmtId="0" fontId="8" fillId="0" borderId="0" xfId="0" applyFont="1" applyAlignment="1">
      <alignment horizontal="right"/>
    </xf>
    <xf numFmtId="0" fontId="8" fillId="0" borderId="24" xfId="0" applyFont="1" applyBorder="1" applyAlignment="1">
      <alignment horizontal="right"/>
    </xf>
    <xf numFmtId="0" fontId="39" fillId="7" borderId="4" xfId="0" applyFont="1" applyFill="1" applyBorder="1" applyAlignment="1" applyProtection="1">
      <alignment horizontal="center" wrapText="1"/>
      <protection locked="0"/>
    </xf>
    <xf numFmtId="0" fontId="39" fillId="7" borderId="2" xfId="0" applyFont="1" applyFill="1" applyBorder="1" applyAlignment="1" applyProtection="1">
      <alignment horizontal="center"/>
      <protection locked="0"/>
    </xf>
    <xf numFmtId="0" fontId="39" fillId="7" borderId="5" xfId="0" applyFont="1" applyFill="1" applyBorder="1" applyAlignment="1" applyProtection="1">
      <alignment horizontal="center"/>
      <protection locked="0"/>
    </xf>
    <xf numFmtId="0" fontId="39" fillId="7" borderId="2" xfId="0" applyFont="1" applyFill="1" applyBorder="1" applyAlignment="1" applyProtection="1">
      <alignment horizontal="center" wrapText="1"/>
      <protection locked="0"/>
    </xf>
    <xf numFmtId="0" fontId="39" fillId="7" borderId="5" xfId="0" applyFont="1" applyFill="1" applyBorder="1" applyAlignment="1" applyProtection="1">
      <alignment horizontal="center" wrapText="1"/>
      <protection locked="0"/>
    </xf>
    <xf numFmtId="0" fontId="8" fillId="0" borderId="6" xfId="0" applyFont="1" applyBorder="1" applyAlignment="1">
      <alignment horizontal="right"/>
    </xf>
    <xf numFmtId="0" fontId="6" fillId="0" borderId="7" xfId="0" applyFont="1" applyBorder="1" applyAlignment="1">
      <alignment horizontal="right"/>
    </xf>
    <xf numFmtId="0" fontId="9" fillId="7" borderId="6" xfId="0" applyFont="1" applyFill="1" applyBorder="1" applyProtection="1">
      <protection locked="0"/>
    </xf>
    <xf numFmtId="0" fontId="0" fillId="7" borderId="8" xfId="0" applyFill="1" applyBorder="1" applyProtection="1">
      <protection locked="0"/>
    </xf>
    <xf numFmtId="0" fontId="9" fillId="7" borderId="4" xfId="0" applyFont="1" applyFill="1" applyBorder="1" applyProtection="1">
      <protection locked="0"/>
    </xf>
    <xf numFmtId="0" fontId="0" fillId="7" borderId="5" xfId="0" applyFill="1" applyBorder="1" applyProtection="1">
      <protection locked="0"/>
    </xf>
    <xf numFmtId="0" fontId="39" fillId="0" borderId="45" xfId="0" applyFont="1" applyBorder="1" applyAlignment="1">
      <alignment horizontal="left"/>
    </xf>
    <xf numFmtId="0" fontId="39" fillId="0" borderId="46" xfId="0" applyFont="1" applyBorder="1" applyAlignment="1">
      <alignment horizontal="left"/>
    </xf>
    <xf numFmtId="0" fontId="39" fillId="0" borderId="47" xfId="0" applyFont="1" applyBorder="1" applyAlignment="1">
      <alignment horizontal="left"/>
    </xf>
    <xf numFmtId="0" fontId="9" fillId="7" borderId="5" xfId="0" applyFont="1" applyFill="1" applyBorder="1" applyProtection="1">
      <protection locked="0"/>
    </xf>
    <xf numFmtId="0" fontId="23" fillId="10" borderId="23" xfId="0" applyFont="1" applyFill="1" applyBorder="1" applyAlignment="1">
      <alignment horizontal="center"/>
    </xf>
    <xf numFmtId="0" fontId="23" fillId="10" borderId="26" xfId="0" applyFont="1" applyFill="1" applyBorder="1" applyAlignment="1">
      <alignment horizontal="center"/>
    </xf>
    <xf numFmtId="0" fontId="23" fillId="10" borderId="30" xfId="0" applyFont="1" applyFill="1" applyBorder="1" applyAlignment="1">
      <alignment horizontal="center"/>
    </xf>
  </cellXfs>
  <cellStyles count="8">
    <cellStyle name="60% - Accent6" xfId="6" builtinId="52"/>
    <cellStyle name="Comma" xfId="3" builtinId="3"/>
    <cellStyle name="Comma 2" xfId="4" xr:uid="{C92640FB-ABD0-43E7-9258-7665AE22FF6B}"/>
    <cellStyle name="Hyperlink" xfId="7" builtinId="8"/>
    <cellStyle name="Hyperlink 2" xfId="5" xr:uid="{A9CEAA37-C56A-40A6-8E77-B0E8F2FD104F}"/>
    <cellStyle name="Komma 2" xfId="1" xr:uid="{00000000-0005-0000-0000-000002000000}"/>
    <cellStyle name="Normal" xfId="0" builtinId="0"/>
    <cellStyle name="Percent" xfId="2" builtinId="5"/>
  </cellStyles>
  <dxfs count="90">
    <dxf>
      <fill>
        <patternFill>
          <bgColor theme="6" tint="0.39994506668294322"/>
        </patternFill>
      </fill>
      <border>
        <left style="thin">
          <color auto="1"/>
        </left>
        <right style="thin">
          <color auto="1"/>
        </right>
        <top style="thin">
          <color auto="1"/>
        </top>
        <bottom style="thin">
          <color auto="1"/>
        </bottom>
        <vertical/>
        <horizontal/>
      </border>
    </dxf>
    <dxf>
      <fill>
        <patternFill>
          <bgColor rgb="FFFABB00"/>
        </patternFill>
      </fill>
    </dxf>
    <dxf>
      <fill>
        <patternFill>
          <bgColor rgb="FFFABB00"/>
        </patternFill>
      </fill>
    </dxf>
    <dxf>
      <fill>
        <patternFill>
          <bgColor rgb="FFFABB00"/>
        </patternFill>
      </fill>
    </dxf>
    <dxf>
      <fill>
        <patternFill>
          <bgColor rgb="FFFABB00"/>
        </patternFill>
      </fill>
    </dxf>
    <dxf>
      <fill>
        <patternFill>
          <bgColor rgb="FFFABB00"/>
        </patternFill>
      </fill>
    </dxf>
    <dxf>
      <fill>
        <patternFill>
          <bgColor rgb="FFFABB00"/>
        </patternFill>
      </fill>
    </dxf>
    <dxf>
      <fill>
        <patternFill>
          <bgColor rgb="FFFABB00"/>
        </patternFill>
      </fill>
    </dxf>
    <dxf>
      <fill>
        <patternFill>
          <bgColor theme="6" tint="0.39994506668294322"/>
        </patternFill>
      </fill>
    </dxf>
    <dxf>
      <font>
        <color theme="1"/>
      </font>
      <fill>
        <patternFill>
          <bgColor rgb="FFFFC000"/>
        </patternFill>
      </fill>
    </dxf>
    <dxf>
      <fill>
        <patternFill>
          <bgColor rgb="FFFFC000"/>
        </patternFill>
      </fill>
    </dxf>
    <dxf>
      <fill>
        <patternFill>
          <bgColor rgb="FFFABB00"/>
        </patternFill>
      </fill>
    </dxf>
    <dxf>
      <fill>
        <patternFill>
          <bgColor rgb="FFFFC000"/>
        </patternFill>
      </fill>
    </dxf>
    <dxf>
      <fill>
        <patternFill>
          <bgColor rgb="FFFABB00"/>
        </patternFill>
      </fill>
    </dxf>
    <dxf>
      <fill>
        <patternFill>
          <bgColor theme="6" tint="0.39994506668294322"/>
        </patternFill>
      </fill>
      <border>
        <left style="thin">
          <color auto="1"/>
        </left>
        <right style="thin">
          <color auto="1"/>
        </right>
        <top style="thin">
          <color auto="1"/>
        </top>
        <bottom style="thin">
          <color auto="1"/>
        </bottom>
        <vertical/>
        <horizontal/>
      </border>
    </dxf>
    <dxf>
      <fill>
        <patternFill>
          <bgColor rgb="FFFABB00"/>
        </patternFill>
      </fill>
    </dxf>
    <dxf>
      <fill>
        <patternFill>
          <bgColor rgb="FFFABB00"/>
        </patternFill>
      </fill>
    </dxf>
    <dxf>
      <fill>
        <patternFill>
          <bgColor rgb="FFFABB00"/>
        </patternFill>
      </fill>
    </dxf>
    <dxf>
      <fill>
        <patternFill>
          <bgColor rgb="FFFABB00"/>
        </patternFill>
      </fill>
    </dxf>
    <dxf>
      <fill>
        <patternFill>
          <bgColor rgb="FFFABB00"/>
        </patternFill>
      </fill>
    </dxf>
    <dxf>
      <fill>
        <patternFill>
          <bgColor rgb="FFFABB00"/>
        </patternFill>
      </fill>
    </dxf>
    <dxf>
      <fill>
        <patternFill>
          <bgColor rgb="FFFABB00"/>
        </patternFill>
      </fill>
    </dxf>
    <dxf>
      <fill>
        <patternFill>
          <bgColor theme="6" tint="0.39994506668294322"/>
        </patternFill>
      </fill>
    </dxf>
    <dxf>
      <font>
        <color theme="1"/>
      </font>
      <fill>
        <patternFill>
          <bgColor rgb="FFFABB00"/>
        </patternFill>
      </fill>
    </dxf>
    <dxf>
      <fill>
        <patternFill>
          <bgColor rgb="FFFFC000"/>
        </patternFill>
      </fill>
    </dxf>
    <dxf>
      <fill>
        <patternFill>
          <bgColor rgb="FFFABB00"/>
        </patternFill>
      </fill>
    </dxf>
    <dxf>
      <fill>
        <patternFill>
          <bgColor rgb="FFFABB00"/>
        </patternFill>
      </fill>
    </dxf>
    <dxf>
      <fill>
        <patternFill>
          <bgColor rgb="FFFABB00"/>
        </patternFill>
      </fill>
    </dxf>
    <dxf>
      <numFmt numFmtId="19" formatCode="m/d/yyyy"/>
    </dxf>
    <dxf>
      <fill>
        <patternFill patternType="solid">
          <fgColor indexed="64"/>
          <bgColor theme="0"/>
        </patternFill>
      </fill>
      <border diagonalUp="0" diagonalDown="0">
        <left style="thin">
          <color indexed="64"/>
        </left>
        <right style="thin">
          <color indexed="64"/>
        </right>
        <top style="thin">
          <color indexed="64"/>
        </top>
        <bottom/>
        <vertical/>
        <horizontal/>
      </border>
    </dxf>
    <dxf>
      <border outline="0">
        <bottom style="thin">
          <color indexed="64"/>
        </bottom>
      </border>
    </dxf>
    <dxf>
      <fill>
        <patternFill patternType="solid">
          <fgColor indexed="64"/>
          <bgColor theme="0"/>
        </patternFill>
      </fill>
    </dxf>
    <dxf>
      <font>
        <b/>
        <family val="2"/>
      </font>
      <fill>
        <patternFill patternType="solid">
          <fgColor indexed="64"/>
          <bgColor theme="0"/>
        </patternFill>
      </fill>
    </dxf>
    <dxf>
      <font>
        <b val="0"/>
        <i val="0"/>
        <strike val="0"/>
        <condense val="0"/>
        <extend val="0"/>
        <outline val="0"/>
        <shadow val="0"/>
        <u val="none"/>
        <vertAlign val="baseline"/>
        <sz val="11"/>
        <color auto="1"/>
        <name val="Arial"/>
        <family val="2"/>
        <scheme val="none"/>
      </font>
      <fill>
        <patternFill patternType="solid">
          <fgColor indexed="64"/>
          <bgColor theme="6" tint="0.59999389629810485"/>
        </patternFill>
      </fill>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Arial"/>
        <family val="2"/>
        <scheme val="none"/>
      </font>
      <fill>
        <patternFill patternType="solid">
          <fgColor indexed="64"/>
          <bgColor theme="6" tint="0.59999389629810485"/>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fill>
        <patternFill patternType="solid">
          <fgColor indexed="64"/>
          <bgColor theme="6" tint="0.59999389629810485"/>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fill>
        <patternFill patternType="solid">
          <fgColor indexed="64"/>
          <bgColor theme="6" tint="0.59999389629810485"/>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rial"/>
        <family val="2"/>
        <scheme val="none"/>
      </font>
      <fill>
        <patternFill patternType="solid">
          <fgColor indexed="64"/>
          <bgColor theme="6" tint="0.59999389629810485"/>
        </patternFill>
      </fill>
    </dxf>
    <dxf>
      <border>
        <bottom style="thin">
          <color indexed="64"/>
        </bottom>
      </border>
    </dxf>
    <dxf>
      <font>
        <b/>
        <i val="0"/>
        <strike val="0"/>
        <condense val="0"/>
        <extend val="0"/>
        <outline val="0"/>
        <shadow val="0"/>
        <u val="none"/>
        <vertAlign val="baseline"/>
        <sz val="11"/>
        <color auto="1"/>
        <name val="Arial"/>
        <family val="2"/>
        <scheme val="none"/>
      </font>
      <border diagonalUp="0" diagonalDown="0">
        <left style="thin">
          <color indexed="64"/>
        </left>
        <right style="thin">
          <color indexed="64"/>
        </right>
        <top/>
        <bottom/>
        <vertical style="thin">
          <color indexed="64"/>
        </vertical>
        <horizontal style="thin">
          <color indexed="64"/>
        </horizontal>
      </border>
    </dxf>
    <dxf>
      <numFmt numFmtId="0" formatCode="General"/>
    </dxf>
    <dxf>
      <numFmt numFmtId="2" formatCode="0.00"/>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fill>
        <patternFill patternType="none">
          <fgColor indexed="64"/>
          <bgColor indexed="65"/>
        </patternFill>
      </fill>
    </dxf>
    <dxf>
      <font>
        <b val="0"/>
        <i val="0"/>
        <strike val="0"/>
        <condense val="0"/>
        <extend val="0"/>
        <outline val="0"/>
        <shadow val="0"/>
        <u val="none"/>
        <vertAlign val="baseline"/>
        <sz val="11"/>
        <color auto="1"/>
        <name val="Arial"/>
        <scheme val="none"/>
      </font>
      <fill>
        <patternFill patternType="none">
          <fgColor indexed="64"/>
          <bgColor indexed="65"/>
        </patternFill>
      </fill>
    </dxf>
    <dxf>
      <font>
        <b val="0"/>
        <i val="0"/>
        <strike val="0"/>
        <condense val="0"/>
        <extend val="0"/>
        <outline val="0"/>
        <shadow val="0"/>
        <u val="none"/>
        <vertAlign val="baseline"/>
        <sz val="11"/>
        <color auto="1"/>
        <name val="Arial"/>
        <scheme val="none"/>
      </font>
      <fill>
        <patternFill patternType="none">
          <fgColor indexed="64"/>
          <bgColor indexed="65"/>
        </patternFill>
      </fill>
    </dxf>
    <dxf>
      <font>
        <b/>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numFmt numFmtId="1" formatCode="0"/>
    </dxf>
    <dxf>
      <font>
        <b val="0"/>
        <i val="0"/>
        <strike val="0"/>
        <condense val="0"/>
        <extend val="0"/>
        <outline val="0"/>
        <shadow val="0"/>
        <u val="none"/>
        <vertAlign val="baseline"/>
        <sz val="11"/>
        <color auto="1"/>
        <name val="Arial"/>
        <scheme val="none"/>
      </font>
    </dxf>
    <dxf>
      <font>
        <b/>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numFmt numFmtId="1" formatCode="0"/>
    </dxf>
    <dxf>
      <font>
        <b val="0"/>
        <i val="0"/>
        <strike val="0"/>
        <condense val="0"/>
        <extend val="0"/>
        <outline val="0"/>
        <shadow val="0"/>
        <u val="none"/>
        <vertAlign val="baseline"/>
        <sz val="11"/>
        <color auto="1"/>
        <name val="Arial"/>
        <scheme val="none"/>
      </font>
      <numFmt numFmtId="1" formatCode="0"/>
    </dxf>
    <dxf>
      <font>
        <b val="0"/>
        <i val="0"/>
        <strike val="0"/>
        <condense val="0"/>
        <extend val="0"/>
        <outline val="0"/>
        <shadow val="0"/>
        <u val="none"/>
        <vertAlign val="baseline"/>
        <sz val="11"/>
        <color auto="1"/>
        <name val="Arial"/>
        <scheme val="none"/>
      </font>
    </dxf>
    <dxf>
      <font>
        <b/>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dxf>
    <dxf>
      <font>
        <b/>
        <i val="0"/>
        <strike val="0"/>
        <condense val="0"/>
        <extend val="0"/>
        <outline val="0"/>
        <shadow val="0"/>
        <u val="none"/>
        <vertAlign val="baseline"/>
        <sz val="11"/>
        <color auto="1"/>
        <name val="Arial"/>
        <scheme val="none"/>
      </font>
    </dxf>
    <dxf>
      <font>
        <b val="0"/>
        <i val="0"/>
        <strike val="0"/>
        <condense val="0"/>
        <extend val="0"/>
        <outline val="0"/>
        <shadow val="0"/>
        <u val="none"/>
        <vertAlign val="baseline"/>
        <sz val="11"/>
        <color auto="1"/>
        <name val="Arial"/>
        <scheme val="none"/>
      </font>
      <fill>
        <patternFill patternType="none">
          <fgColor indexed="64"/>
          <bgColor indexed="65"/>
        </patternFill>
      </fill>
    </dxf>
    <dxf>
      <font>
        <b val="0"/>
        <i val="0"/>
        <strike val="0"/>
        <condense val="0"/>
        <extend val="0"/>
        <outline val="0"/>
        <shadow val="0"/>
        <u val="none"/>
        <vertAlign val="baseline"/>
        <sz val="11"/>
        <color auto="1"/>
        <name val="Arial"/>
        <scheme val="none"/>
      </font>
      <fill>
        <patternFill patternType="none">
          <fgColor indexed="64"/>
          <bgColor indexed="65"/>
        </patternFill>
      </fill>
    </dxf>
    <dxf>
      <font>
        <b val="0"/>
        <i val="0"/>
        <strike val="0"/>
        <condense val="0"/>
        <extend val="0"/>
        <outline val="0"/>
        <shadow val="0"/>
        <u val="none"/>
        <vertAlign val="baseline"/>
        <sz val="11"/>
        <color auto="1"/>
        <name val="Arial"/>
        <scheme val="none"/>
      </font>
      <fill>
        <patternFill patternType="none">
          <fgColor indexed="64"/>
          <bgColor indexed="65"/>
        </patternFill>
      </fill>
    </dxf>
    <dxf>
      <font>
        <b/>
        <i val="0"/>
        <strike val="0"/>
        <condense val="0"/>
        <extend val="0"/>
        <outline val="0"/>
        <shadow val="0"/>
        <u val="none"/>
        <vertAlign val="baseline"/>
        <sz val="11"/>
        <color auto="1"/>
        <name val="Arial"/>
        <scheme val="none"/>
      </font>
    </dxf>
    <dxf>
      <numFmt numFmtId="0" formatCode="General"/>
    </dxf>
    <dxf>
      <numFmt numFmtId="0" formatCode="General"/>
    </dxf>
    <dxf>
      <font>
        <b val="0"/>
        <i val="0"/>
        <strike val="0"/>
        <condense val="0"/>
        <extend val="0"/>
        <outline val="0"/>
        <shadow val="0"/>
        <u val="none"/>
        <vertAlign val="baseline"/>
        <sz val="11"/>
        <color auto="1"/>
        <name val="Arial"/>
        <scheme val="none"/>
      </font>
      <fill>
        <patternFill patternType="none">
          <fgColor indexed="64"/>
          <bgColor indexed="65"/>
        </patternFill>
      </fill>
    </dxf>
    <dxf>
      <font>
        <b val="0"/>
        <i val="0"/>
        <strike val="0"/>
        <condense val="0"/>
        <extend val="0"/>
        <outline val="0"/>
        <shadow val="0"/>
        <u val="none"/>
        <vertAlign val="baseline"/>
        <sz val="11"/>
        <color auto="1"/>
        <name val="Arial"/>
        <scheme val="none"/>
      </font>
      <fill>
        <patternFill patternType="none">
          <fgColor indexed="64"/>
          <bgColor indexed="65"/>
        </patternFill>
      </fill>
    </dxf>
    <dxf>
      <font>
        <b val="0"/>
        <i val="0"/>
        <strike val="0"/>
        <condense val="0"/>
        <extend val="0"/>
        <outline val="0"/>
        <shadow val="0"/>
        <u val="none"/>
        <vertAlign val="baseline"/>
        <sz val="11"/>
        <color auto="1"/>
        <name val="Arial"/>
        <scheme val="none"/>
      </font>
      <fill>
        <patternFill patternType="none">
          <fgColor indexed="64"/>
          <bgColor indexed="65"/>
        </patternFill>
      </fill>
    </dxf>
    <dxf>
      <font>
        <b/>
        <i val="0"/>
        <strike val="0"/>
        <condense val="0"/>
        <extend val="0"/>
        <outline val="0"/>
        <shadow val="0"/>
        <u val="none"/>
        <vertAlign val="baseline"/>
        <sz val="11"/>
        <color auto="1"/>
        <name val="Arial"/>
        <scheme val="none"/>
      </font>
      <fill>
        <patternFill patternType="none">
          <fgColor indexed="64"/>
          <bgColor indexed="65"/>
        </patternFill>
      </fill>
    </dxf>
    <dxf>
      <font>
        <b val="0"/>
        <i val="0"/>
        <strike val="0"/>
        <condense val="0"/>
        <extend val="0"/>
        <outline val="0"/>
        <shadow val="0"/>
        <u val="none"/>
        <vertAlign val="baseline"/>
        <sz val="11"/>
        <color auto="1"/>
        <name val="Arial"/>
        <scheme val="none"/>
      </font>
      <fill>
        <patternFill patternType="none">
          <fgColor indexed="64"/>
          <bgColor indexed="65"/>
        </patternFill>
      </fill>
    </dxf>
    <dxf>
      <font>
        <b val="0"/>
        <i val="0"/>
        <strike val="0"/>
        <condense val="0"/>
        <extend val="0"/>
        <outline val="0"/>
        <shadow val="0"/>
        <u val="none"/>
        <vertAlign val="baseline"/>
        <sz val="11"/>
        <color auto="1"/>
        <name val="Arial"/>
        <scheme val="none"/>
      </font>
      <fill>
        <patternFill patternType="none">
          <fgColor indexed="64"/>
          <bgColor indexed="65"/>
        </patternFill>
      </fill>
    </dxf>
    <dxf>
      <font>
        <b val="0"/>
        <i val="0"/>
        <strike val="0"/>
        <condense val="0"/>
        <extend val="0"/>
        <outline val="0"/>
        <shadow val="0"/>
        <u val="none"/>
        <vertAlign val="baseline"/>
        <sz val="11"/>
        <color auto="1"/>
        <name val="Arial"/>
        <scheme val="none"/>
      </font>
      <fill>
        <patternFill patternType="none">
          <fgColor indexed="64"/>
          <bgColor indexed="65"/>
        </patternFill>
      </fill>
    </dxf>
    <dxf>
      <font>
        <b val="0"/>
        <i val="0"/>
        <strike val="0"/>
        <condense val="0"/>
        <extend val="0"/>
        <outline val="0"/>
        <shadow val="0"/>
        <u val="none"/>
        <vertAlign val="baseline"/>
        <sz val="11"/>
        <color auto="1"/>
        <name val="Arial"/>
        <scheme val="none"/>
      </font>
      <fill>
        <patternFill patternType="none">
          <fgColor indexed="64"/>
          <bgColor indexed="65"/>
        </patternFill>
      </fill>
    </dxf>
    <dxf>
      <font>
        <b/>
        <i val="0"/>
        <strike val="0"/>
        <condense val="0"/>
        <extend val="0"/>
        <outline val="0"/>
        <shadow val="0"/>
        <u val="none"/>
        <vertAlign val="baseline"/>
        <sz val="11"/>
        <color auto="1"/>
        <name val="Arial"/>
        <scheme val="none"/>
      </font>
      <fill>
        <patternFill patternType="none">
          <fgColor indexed="64"/>
          <bgColor indexed="65"/>
        </patternFill>
      </fill>
    </dxf>
    <dxf>
      <font>
        <b val="0"/>
        <i val="0"/>
        <strike val="0"/>
        <condense val="0"/>
        <extend val="0"/>
        <outline val="0"/>
        <shadow val="0"/>
        <u val="none"/>
        <vertAlign val="baseline"/>
        <sz val="11"/>
        <color auto="1"/>
        <name val="Arial"/>
        <scheme val="none"/>
      </font>
      <fill>
        <patternFill patternType="none">
          <fgColor indexed="64"/>
          <bgColor indexed="65"/>
        </patternFill>
      </fill>
    </dxf>
    <dxf>
      <font>
        <b val="0"/>
        <i val="0"/>
        <strike val="0"/>
        <condense val="0"/>
        <extend val="0"/>
        <outline val="0"/>
        <shadow val="0"/>
        <u val="none"/>
        <vertAlign val="baseline"/>
        <sz val="11"/>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1"/>
        <color auto="1"/>
        <name val="Arial"/>
        <scheme val="none"/>
      </font>
      <fill>
        <patternFill patternType="none">
          <fgColor indexed="64"/>
          <bgColor indexed="65"/>
        </patternFill>
      </fill>
    </dxf>
    <dxf>
      <font>
        <b val="0"/>
        <i val="0"/>
        <strike val="0"/>
        <condense val="0"/>
        <extend val="0"/>
        <outline val="0"/>
        <shadow val="0"/>
        <u val="none"/>
        <vertAlign val="baseline"/>
        <sz val="11"/>
        <color auto="1"/>
        <name val="Arial"/>
        <scheme val="none"/>
      </font>
      <fill>
        <patternFill patternType="none">
          <fgColor indexed="64"/>
          <bgColor indexed="65"/>
        </patternFill>
      </fill>
    </dxf>
    <dxf>
      <font>
        <b/>
        <i val="0"/>
        <strike val="0"/>
        <condense val="0"/>
        <extend val="0"/>
        <outline val="0"/>
        <shadow val="0"/>
        <u val="none"/>
        <vertAlign val="baseline"/>
        <sz val="11"/>
        <color auto="1"/>
        <name val="Arial"/>
        <scheme val="none"/>
      </font>
      <fill>
        <patternFill patternType="none">
          <fgColor indexed="64"/>
          <bgColor indexed="65"/>
        </patternFill>
      </fill>
    </dxf>
  </dxfs>
  <tableStyles count="0" defaultTableStyle="TableStyleMedium9" defaultPivotStyle="PivotStyleLight16"/>
  <colors>
    <mruColors>
      <color rgb="FFFFC000"/>
      <color rgb="FFFABB00"/>
      <color rgb="FFFDE68A"/>
      <color rgb="FF634B0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37" Type="http://schemas.openxmlformats.org/officeDocument/2006/relationships/customXml" Target="../customXml/item6.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36" Type="http://schemas.openxmlformats.org/officeDocument/2006/relationships/customXml" Target="../customXml/item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onnections" Target="connections.xml"/><Relationship Id="rId30" Type="http://schemas.openxmlformats.org/officeDocument/2006/relationships/sheetMetadata" Target="metadata.xml"/><Relationship Id="rId35" Type="http://schemas.openxmlformats.org/officeDocument/2006/relationships/customXml" Target="../customXml/item4.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hyperlink" Target="#'Add new grant source'!A1"/></Relationships>
</file>

<file path=xl/drawings/_rels/drawing2.xml.rels><?xml version="1.0" encoding="UTF-8" standalone="yes"?>
<Relationships xmlns="http://schemas.openxmlformats.org/package/2006/relationships"><Relationship Id="rId1" Type="http://schemas.openxmlformats.org/officeDocument/2006/relationships/hyperlink" Target="#'Add new grant source'!A1"/></Relationships>
</file>

<file path=xl/drawings/drawing1.xml><?xml version="1.0" encoding="utf-8"?>
<xdr:wsDr xmlns:xdr="http://schemas.openxmlformats.org/drawingml/2006/spreadsheetDrawing" xmlns:a="http://schemas.openxmlformats.org/drawingml/2006/main">
  <xdr:twoCellAnchor>
    <xdr:from>
      <xdr:col>1</xdr:col>
      <xdr:colOff>1131792</xdr:colOff>
      <xdr:row>6</xdr:row>
      <xdr:rowOff>44823</xdr:rowOff>
    </xdr:from>
    <xdr:to>
      <xdr:col>1</xdr:col>
      <xdr:colOff>1815353</xdr:colOff>
      <xdr:row>6</xdr:row>
      <xdr:rowOff>257734</xdr:rowOff>
    </xdr:to>
    <xdr:sp macro="" textlink="">
      <xdr:nvSpPr>
        <xdr:cNvPr id="2" name="Rektangel: afrundede hjørner 1">
          <a:hlinkClick xmlns:r="http://schemas.openxmlformats.org/officeDocument/2006/relationships" r:id="rId1"/>
          <a:extLst>
            <a:ext uri="{FF2B5EF4-FFF2-40B4-BE49-F238E27FC236}">
              <a16:creationId xmlns:a16="http://schemas.microsoft.com/office/drawing/2014/main" id="{ADD6DCA3-8D66-894A-4270-A1983EFB9CA9}"/>
            </a:ext>
          </a:extLst>
        </xdr:cNvPr>
        <xdr:cNvSpPr/>
      </xdr:nvSpPr>
      <xdr:spPr>
        <a:xfrm>
          <a:off x="1815351" y="1725705"/>
          <a:ext cx="683561" cy="212911"/>
        </a:xfrm>
        <a:prstGeom prst="roundRect">
          <a:avLst/>
        </a:prstGeom>
        <a:solidFill>
          <a:srgbClr val="634B0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000" kern="1200">
              <a:solidFill>
                <a:schemeClr val="bg1"/>
              </a:solidFill>
            </a:rPr>
            <a:t>Add new</a:t>
          </a:r>
        </a:p>
      </xdr:txBody>
    </xdr:sp>
    <xdr:clientData/>
  </xdr:twoCellAnchor>
  <xdr:twoCellAnchor>
    <xdr:from>
      <xdr:col>1</xdr:col>
      <xdr:colOff>1126130</xdr:colOff>
      <xdr:row>7</xdr:row>
      <xdr:rowOff>40341</xdr:rowOff>
    </xdr:from>
    <xdr:to>
      <xdr:col>1</xdr:col>
      <xdr:colOff>1809691</xdr:colOff>
      <xdr:row>7</xdr:row>
      <xdr:rowOff>253252</xdr:rowOff>
    </xdr:to>
    <xdr:sp macro="" textlink="">
      <xdr:nvSpPr>
        <xdr:cNvPr id="3" name="Rektangel: afrundede hjørner 2">
          <a:hlinkClick xmlns:r="http://schemas.openxmlformats.org/officeDocument/2006/relationships" r:id="rId1"/>
          <a:extLst>
            <a:ext uri="{FF2B5EF4-FFF2-40B4-BE49-F238E27FC236}">
              <a16:creationId xmlns:a16="http://schemas.microsoft.com/office/drawing/2014/main" id="{26D72B9D-A855-4084-BA3E-EDD072BB16D1}"/>
            </a:ext>
          </a:extLst>
        </xdr:cNvPr>
        <xdr:cNvSpPr/>
      </xdr:nvSpPr>
      <xdr:spPr>
        <a:xfrm>
          <a:off x="1812933" y="2035578"/>
          <a:ext cx="683561" cy="212911"/>
        </a:xfrm>
        <a:prstGeom prst="roundRect">
          <a:avLst/>
        </a:prstGeom>
        <a:solidFill>
          <a:srgbClr val="634B0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000" kern="1200">
              <a:solidFill>
                <a:schemeClr val="bg1"/>
              </a:solidFill>
            </a:rPr>
            <a:t>Add new</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1128555</xdr:colOff>
      <xdr:row>7</xdr:row>
      <xdr:rowOff>49406</xdr:rowOff>
    </xdr:from>
    <xdr:to>
      <xdr:col>1</xdr:col>
      <xdr:colOff>1812116</xdr:colOff>
      <xdr:row>7</xdr:row>
      <xdr:rowOff>262317</xdr:rowOff>
    </xdr:to>
    <xdr:sp macro="" textlink="">
      <xdr:nvSpPr>
        <xdr:cNvPr id="2" name="Rektangel: afrundede hjørner 1">
          <a:hlinkClick xmlns:r="http://schemas.openxmlformats.org/officeDocument/2006/relationships" r:id="rId1"/>
          <a:extLst>
            <a:ext uri="{FF2B5EF4-FFF2-40B4-BE49-F238E27FC236}">
              <a16:creationId xmlns:a16="http://schemas.microsoft.com/office/drawing/2014/main" id="{F796A9D6-436A-49D3-AEF9-AD6624D24B1D}"/>
            </a:ext>
          </a:extLst>
        </xdr:cNvPr>
        <xdr:cNvSpPr/>
      </xdr:nvSpPr>
      <xdr:spPr>
        <a:xfrm>
          <a:off x="1814355" y="2014277"/>
          <a:ext cx="683561" cy="212911"/>
        </a:xfrm>
        <a:prstGeom prst="roundRect">
          <a:avLst/>
        </a:prstGeom>
        <a:solidFill>
          <a:srgbClr val="634B0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000" kern="1200">
              <a:solidFill>
                <a:schemeClr val="bg1"/>
              </a:solidFill>
            </a:rPr>
            <a:t>Add new</a:t>
          </a:r>
        </a:p>
      </xdr:txBody>
    </xdr:sp>
    <xdr:clientData/>
  </xdr:twoCellAnchor>
  <xdr:twoCellAnchor>
    <xdr:from>
      <xdr:col>1</xdr:col>
      <xdr:colOff>1127090</xdr:colOff>
      <xdr:row>6</xdr:row>
      <xdr:rowOff>40613</xdr:rowOff>
    </xdr:from>
    <xdr:to>
      <xdr:col>1</xdr:col>
      <xdr:colOff>1810651</xdr:colOff>
      <xdr:row>6</xdr:row>
      <xdr:rowOff>253524</xdr:rowOff>
    </xdr:to>
    <xdr:sp macro="" textlink="">
      <xdr:nvSpPr>
        <xdr:cNvPr id="3" name="Rektangel: afrundede hjørner 2">
          <a:hlinkClick xmlns:r="http://schemas.openxmlformats.org/officeDocument/2006/relationships" r:id="rId1"/>
          <a:extLst>
            <a:ext uri="{FF2B5EF4-FFF2-40B4-BE49-F238E27FC236}">
              <a16:creationId xmlns:a16="http://schemas.microsoft.com/office/drawing/2014/main" id="{23B4E1CB-84CA-4517-AA2C-DC3AAAF73B79}"/>
            </a:ext>
          </a:extLst>
        </xdr:cNvPr>
        <xdr:cNvSpPr/>
      </xdr:nvSpPr>
      <xdr:spPr>
        <a:xfrm>
          <a:off x="1812890" y="1700684"/>
          <a:ext cx="683561" cy="212911"/>
        </a:xfrm>
        <a:prstGeom prst="roundRect">
          <a:avLst/>
        </a:prstGeom>
        <a:solidFill>
          <a:srgbClr val="634B0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a-DK" sz="1000" kern="1200">
              <a:solidFill>
                <a:schemeClr val="bg1"/>
              </a:solidFill>
            </a:rPr>
            <a:t>Add new</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aarhusuniversitet-my.sharepoint.com/Nat-Tech_Adm_Finance/Ans&#248;gninger/2022/Ans&#248;gningsskema%20Dansk_202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kumentation"/>
      <sheetName val="Takstblad"/>
      <sheetName val="Lister"/>
      <sheetName val="Overblik til IL"/>
      <sheetName val="Vejledning"/>
      <sheetName val="Forside ANIS"/>
      <sheetName val="Delt. 1 Ekstern"/>
      <sheetName val="Delt. 1 Medf."/>
      <sheetName val="Delt. 2 Ekstern"/>
      <sheetName val="Delt. 2 Medf."/>
      <sheetName val="Delt. 3 Ekstern"/>
      <sheetName val="Delt. 3 Medf."/>
      <sheetName val="Delt. 4 Ekstern"/>
      <sheetName val="Delt. 4 Medf."/>
      <sheetName val="Delt. 5 Ekstern"/>
      <sheetName val="Delt. 5 Medf."/>
      <sheetName val="Ekstern+medf. i alt"/>
      <sheetName val="Ekstern i alt"/>
      <sheetName val="Medf. i alt"/>
      <sheetName val="GUDP"/>
      <sheetName val="Fondsprojekter"/>
    </sheetNames>
    <sheetDataSet>
      <sheetData sheetId="0"/>
      <sheetData sheetId="1">
        <row r="2">
          <cell r="C2" t="str">
            <v>MÅNEDSLØN</v>
          </cell>
          <cell r="L2" t="str">
            <v>KOSTPRIS</v>
          </cell>
        </row>
        <row r="3">
          <cell r="A3" t="str">
            <v>Kategori</v>
          </cell>
          <cell r="C3">
            <v>2022</v>
          </cell>
          <cell r="D3">
            <v>2023</v>
          </cell>
          <cell r="E3">
            <v>2024</v>
          </cell>
          <cell r="F3">
            <v>2025</v>
          </cell>
          <cell r="G3">
            <v>2026</v>
          </cell>
          <cell r="H3">
            <v>2027</v>
          </cell>
          <cell r="I3">
            <v>2028</v>
          </cell>
          <cell r="J3">
            <v>2029</v>
          </cell>
          <cell r="L3">
            <v>2022</v>
          </cell>
          <cell r="M3">
            <v>2023</v>
          </cell>
          <cell r="N3">
            <v>2024</v>
          </cell>
          <cell r="O3">
            <v>2025</v>
          </cell>
          <cell r="P3">
            <v>2026</v>
          </cell>
          <cell r="Q3">
            <v>2027</v>
          </cell>
          <cell r="R3">
            <v>2028</v>
          </cell>
        </row>
        <row r="4">
          <cell r="A4" t="str">
            <v>VIP</v>
          </cell>
          <cell r="B4" t="str">
            <v xml:space="preserve"> </v>
          </cell>
        </row>
        <row r="5">
          <cell r="A5" t="str">
            <v>"Vælg stillingskategori"</v>
          </cell>
          <cell r="B5" t="str">
            <v/>
          </cell>
        </row>
        <row r="6">
          <cell r="A6" t="str">
            <v>Institutleder/Forskningschef</v>
          </cell>
          <cell r="B6" t="str">
            <v/>
          </cell>
          <cell r="C6">
            <v>95500</v>
          </cell>
          <cell r="D6">
            <v>97900</v>
          </cell>
          <cell r="E6">
            <v>100400</v>
          </cell>
          <cell r="F6">
            <v>103000</v>
          </cell>
          <cell r="G6">
            <v>105600</v>
          </cell>
          <cell r="H6">
            <v>108300</v>
          </cell>
          <cell r="I6">
            <v>111100</v>
          </cell>
          <cell r="J6">
            <v>113900</v>
          </cell>
          <cell r="L6">
            <v>784.93150684931504</v>
          </cell>
          <cell r="M6">
            <v>804.65753424657532</v>
          </cell>
          <cell r="N6">
            <v>825.20547945205476</v>
          </cell>
          <cell r="O6">
            <v>846.57534246575335</v>
          </cell>
          <cell r="P6">
            <v>867.94520547945206</v>
          </cell>
          <cell r="Q6">
            <v>890.1369863013698</v>
          </cell>
          <cell r="R6">
            <v>913.15068493150682</v>
          </cell>
        </row>
        <row r="7">
          <cell r="A7" t="str">
            <v>Forskningsleder/Professor</v>
          </cell>
          <cell r="B7" t="str">
            <v/>
          </cell>
          <cell r="C7">
            <v>74800</v>
          </cell>
          <cell r="D7">
            <v>76700</v>
          </cell>
          <cell r="E7">
            <v>78700</v>
          </cell>
          <cell r="F7">
            <v>80700</v>
          </cell>
          <cell r="G7">
            <v>82800</v>
          </cell>
          <cell r="H7">
            <v>84900</v>
          </cell>
          <cell r="I7">
            <v>87100</v>
          </cell>
          <cell r="J7">
            <v>89300</v>
          </cell>
          <cell r="L7">
            <v>614.79452054794513</v>
          </cell>
          <cell r="M7">
            <v>630.41095890410952</v>
          </cell>
          <cell r="N7">
            <v>646.84931506849307</v>
          </cell>
          <cell r="O7">
            <v>663.28767123287673</v>
          </cell>
          <cell r="P7">
            <v>680.54794520547944</v>
          </cell>
          <cell r="Q7">
            <v>697.80821917808214</v>
          </cell>
          <cell r="R7">
            <v>715.89041095890411</v>
          </cell>
        </row>
        <row r="8">
          <cell r="A8" t="str">
            <v>Seniorforsker/Lektor - høj sats</v>
          </cell>
          <cell r="B8" t="str">
            <v/>
          </cell>
          <cell r="C8">
            <v>68700</v>
          </cell>
          <cell r="D8">
            <v>70500</v>
          </cell>
          <cell r="E8">
            <v>72300</v>
          </cell>
          <cell r="F8">
            <v>74200</v>
          </cell>
          <cell r="G8">
            <v>76100</v>
          </cell>
          <cell r="H8">
            <v>78100</v>
          </cell>
          <cell r="I8">
            <v>80100</v>
          </cell>
          <cell r="J8">
            <v>82200</v>
          </cell>
          <cell r="L8">
            <v>564.65753424657532</v>
          </cell>
          <cell r="M8">
            <v>579.45205479452056</v>
          </cell>
          <cell r="N8">
            <v>594.24657534246569</v>
          </cell>
          <cell r="O8">
            <v>609.86301369863008</v>
          </cell>
          <cell r="P8">
            <v>625.47945205479448</v>
          </cell>
          <cell r="Q8">
            <v>641.91780821917803</v>
          </cell>
          <cell r="R8">
            <v>658.35616438356158</v>
          </cell>
        </row>
        <row r="9">
          <cell r="A9" t="str">
            <v>Seniorforsker/Lektor - gns sats</v>
          </cell>
          <cell r="B9" t="str">
            <v/>
          </cell>
          <cell r="C9">
            <v>64100</v>
          </cell>
          <cell r="D9">
            <v>65800</v>
          </cell>
          <cell r="E9">
            <v>67500</v>
          </cell>
          <cell r="F9">
            <v>69200</v>
          </cell>
          <cell r="G9">
            <v>71000</v>
          </cell>
          <cell r="H9">
            <v>72800</v>
          </cell>
          <cell r="I9">
            <v>74700</v>
          </cell>
          <cell r="J9">
            <v>76600</v>
          </cell>
          <cell r="L9">
            <v>526.84931506849318</v>
          </cell>
          <cell r="M9">
            <v>540.82191780821915</v>
          </cell>
          <cell r="N9">
            <v>554.79452054794524</v>
          </cell>
          <cell r="O9">
            <v>568.76712328767121</v>
          </cell>
          <cell r="P9">
            <v>583.56164383561645</v>
          </cell>
          <cell r="Q9">
            <v>598.35616438356158</v>
          </cell>
          <cell r="R9">
            <v>613.97260273972597</v>
          </cell>
        </row>
        <row r="10">
          <cell r="A10" t="str">
            <v>Adjunkt</v>
          </cell>
          <cell r="B10" t="str">
            <v/>
          </cell>
          <cell r="C10">
            <v>48700</v>
          </cell>
          <cell r="D10">
            <v>50000</v>
          </cell>
          <cell r="E10">
            <v>51300</v>
          </cell>
          <cell r="F10">
            <v>52600</v>
          </cell>
          <cell r="G10">
            <v>54000</v>
          </cell>
          <cell r="H10">
            <v>55400</v>
          </cell>
          <cell r="I10">
            <v>56800</v>
          </cell>
          <cell r="J10">
            <v>58300</v>
          </cell>
          <cell r="L10">
            <v>400.27397260273972</v>
          </cell>
          <cell r="M10">
            <v>410.95890410958901</v>
          </cell>
          <cell r="N10">
            <v>421.64383561643837</v>
          </cell>
          <cell r="O10">
            <v>432.32876712328766</v>
          </cell>
          <cell r="P10">
            <v>443.83561643835617</v>
          </cell>
          <cell r="Q10">
            <v>455.34246575342462</v>
          </cell>
          <cell r="R10">
            <v>466.84931506849313</v>
          </cell>
        </row>
        <row r="11">
          <cell r="A11" t="str">
            <v>Tenure Track</v>
          </cell>
          <cell r="B11" t="str">
            <v/>
          </cell>
          <cell r="C11">
            <v>50900</v>
          </cell>
          <cell r="D11">
            <v>52200</v>
          </cell>
          <cell r="E11">
            <v>53600</v>
          </cell>
          <cell r="F11">
            <v>55000</v>
          </cell>
          <cell r="G11">
            <v>56400</v>
          </cell>
          <cell r="H11">
            <v>57900</v>
          </cell>
          <cell r="I11">
            <v>59400</v>
          </cell>
          <cell r="J11">
            <v>60900</v>
          </cell>
          <cell r="L11">
            <v>418.35616438356163</v>
          </cell>
          <cell r="M11">
            <v>429.04109589041093</v>
          </cell>
          <cell r="N11">
            <v>440.54794520547944</v>
          </cell>
          <cell r="O11">
            <v>452.05479452054794</v>
          </cell>
          <cell r="P11">
            <v>463.56164383561639</v>
          </cell>
          <cell r="Q11">
            <v>475.89041095890411</v>
          </cell>
          <cell r="R11">
            <v>488.21917808219177</v>
          </cell>
        </row>
        <row r="12">
          <cell r="A12" t="str">
            <v>Forsker</v>
          </cell>
          <cell r="B12" t="str">
            <v/>
          </cell>
          <cell r="C12">
            <v>49900</v>
          </cell>
          <cell r="D12">
            <v>51200</v>
          </cell>
          <cell r="E12">
            <v>52500</v>
          </cell>
          <cell r="F12">
            <v>53900</v>
          </cell>
          <cell r="G12">
            <v>55300</v>
          </cell>
          <cell r="H12">
            <v>56700</v>
          </cell>
          <cell r="I12">
            <v>58200</v>
          </cell>
          <cell r="J12">
            <v>59700</v>
          </cell>
          <cell r="L12">
            <v>410.13698630136986</v>
          </cell>
          <cell r="M12">
            <v>420.82191780821915</v>
          </cell>
          <cell r="N12">
            <v>431.50684931506845</v>
          </cell>
          <cell r="O12">
            <v>443.01369863013696</v>
          </cell>
          <cell r="P12">
            <v>454.52054794520546</v>
          </cell>
          <cell r="Q12">
            <v>466.02739726027397</v>
          </cell>
          <cell r="R12">
            <v>478.35616438356163</v>
          </cell>
        </row>
        <row r="13">
          <cell r="A13" t="str">
            <v>Postdoc</v>
          </cell>
          <cell r="B13" t="str">
            <v/>
          </cell>
          <cell r="C13">
            <v>46200</v>
          </cell>
          <cell r="D13">
            <v>47400</v>
          </cell>
          <cell r="E13">
            <v>48600</v>
          </cell>
          <cell r="F13">
            <v>49900</v>
          </cell>
          <cell r="G13">
            <v>51200</v>
          </cell>
          <cell r="H13">
            <v>52500</v>
          </cell>
          <cell r="I13">
            <v>53900</v>
          </cell>
          <cell r="J13">
            <v>55300</v>
          </cell>
          <cell r="L13">
            <v>379.72602739726028</v>
          </cell>
          <cell r="M13">
            <v>389.58904109589042</v>
          </cell>
          <cell r="N13">
            <v>399.45205479452051</v>
          </cell>
          <cell r="O13">
            <v>410.13698630136986</v>
          </cell>
          <cell r="P13">
            <v>420.82191780821915</v>
          </cell>
          <cell r="Q13">
            <v>431.50684931506845</v>
          </cell>
          <cell r="R13">
            <v>443.01369863013696</v>
          </cell>
        </row>
        <row r="14">
          <cell r="A14" t="str">
            <v>Videnskabelig assistent</v>
          </cell>
          <cell r="B14" t="str">
            <v/>
          </cell>
          <cell r="C14">
            <v>39500</v>
          </cell>
          <cell r="D14">
            <v>40500</v>
          </cell>
          <cell r="E14">
            <v>41600</v>
          </cell>
          <cell r="F14">
            <v>42700</v>
          </cell>
          <cell r="G14">
            <v>43800</v>
          </cell>
          <cell r="H14">
            <v>44900</v>
          </cell>
          <cell r="I14">
            <v>46100</v>
          </cell>
          <cell r="J14">
            <v>47300</v>
          </cell>
          <cell r="L14">
            <v>324.65753424657532</v>
          </cell>
          <cell r="M14">
            <v>332.8767123287671</v>
          </cell>
          <cell r="N14">
            <v>341.91780821917808</v>
          </cell>
          <cell r="O14">
            <v>350.95890410958901</v>
          </cell>
          <cell r="P14">
            <v>360</v>
          </cell>
          <cell r="Q14">
            <v>369.04109589041093</v>
          </cell>
          <cell r="R14">
            <v>378.90410958904107</v>
          </cell>
        </row>
        <row r="15">
          <cell r="A15" t="str">
            <v>PhD</v>
          </cell>
          <cell r="B15" t="str">
            <v>PhD</v>
          </cell>
          <cell r="C15">
            <v>36900</v>
          </cell>
          <cell r="D15">
            <v>37900</v>
          </cell>
          <cell r="E15">
            <v>38900</v>
          </cell>
          <cell r="F15">
            <v>39900</v>
          </cell>
          <cell r="G15">
            <v>40900</v>
          </cell>
          <cell r="H15">
            <v>42000</v>
          </cell>
          <cell r="I15">
            <v>43100</v>
          </cell>
          <cell r="J15">
            <v>44200</v>
          </cell>
          <cell r="L15">
            <v>303.28767123287668</v>
          </cell>
          <cell r="M15">
            <v>311.50684931506851</v>
          </cell>
          <cell r="N15">
            <v>319.72602739726028</v>
          </cell>
          <cell r="O15">
            <v>327.94520547945206</v>
          </cell>
          <cell r="P15">
            <v>336.16438356164383</v>
          </cell>
          <cell r="Q15">
            <v>345.20547945205476</v>
          </cell>
          <cell r="R15">
            <v>354.24657534246575</v>
          </cell>
        </row>
        <row r="16">
          <cell r="B16" t="str">
            <v/>
          </cell>
          <cell r="D16">
            <v>0</v>
          </cell>
          <cell r="E16">
            <v>0</v>
          </cell>
          <cell r="F16">
            <v>0</v>
          </cell>
          <cell r="G16">
            <v>0</v>
          </cell>
          <cell r="H16">
            <v>0</v>
          </cell>
          <cell r="I16">
            <v>0</v>
          </cell>
          <cell r="J16">
            <v>0</v>
          </cell>
          <cell r="L16">
            <v>0</v>
          </cell>
          <cell r="M16">
            <v>0</v>
          </cell>
          <cell r="N16">
            <v>0</v>
          </cell>
          <cell r="O16">
            <v>0</v>
          </cell>
          <cell r="P16">
            <v>0</v>
          </cell>
          <cell r="Q16">
            <v>0</v>
          </cell>
          <cell r="R16">
            <v>0</v>
          </cell>
        </row>
        <row r="17">
          <cell r="B17" t="str">
            <v/>
          </cell>
          <cell r="D17">
            <v>0</v>
          </cell>
          <cell r="E17">
            <v>0</v>
          </cell>
          <cell r="F17">
            <v>0</v>
          </cell>
          <cell r="G17">
            <v>0</v>
          </cell>
          <cell r="H17">
            <v>0</v>
          </cell>
          <cell r="I17">
            <v>0</v>
          </cell>
          <cell r="J17">
            <v>0</v>
          </cell>
          <cell r="L17">
            <v>0</v>
          </cell>
          <cell r="M17">
            <v>0</v>
          </cell>
          <cell r="N17">
            <v>0</v>
          </cell>
          <cell r="O17">
            <v>0</v>
          </cell>
          <cell r="P17">
            <v>0</v>
          </cell>
          <cell r="Q17">
            <v>0</v>
          </cell>
          <cell r="R17">
            <v>0</v>
          </cell>
        </row>
        <row r="18">
          <cell r="B18" t="str">
            <v/>
          </cell>
          <cell r="D18">
            <v>0</v>
          </cell>
          <cell r="E18">
            <v>0</v>
          </cell>
          <cell r="F18">
            <v>0</v>
          </cell>
          <cell r="G18">
            <v>0</v>
          </cell>
          <cell r="H18">
            <v>0</v>
          </cell>
          <cell r="I18">
            <v>0</v>
          </cell>
          <cell r="J18">
            <v>0</v>
          </cell>
          <cell r="L18">
            <v>0</v>
          </cell>
          <cell r="M18">
            <v>0</v>
          </cell>
          <cell r="N18">
            <v>0</v>
          </cell>
          <cell r="O18">
            <v>0</v>
          </cell>
          <cell r="P18">
            <v>0</v>
          </cell>
          <cell r="Q18">
            <v>0</v>
          </cell>
          <cell r="R18">
            <v>0</v>
          </cell>
        </row>
        <row r="19">
          <cell r="B19" t="str">
            <v/>
          </cell>
          <cell r="D19">
            <v>0</v>
          </cell>
          <cell r="E19">
            <v>0</v>
          </cell>
          <cell r="F19">
            <v>0</v>
          </cell>
          <cell r="G19">
            <v>0</v>
          </cell>
          <cell r="H19">
            <v>0</v>
          </cell>
          <cell r="I19">
            <v>0</v>
          </cell>
          <cell r="J19">
            <v>0</v>
          </cell>
          <cell r="L19">
            <v>0</v>
          </cell>
          <cell r="M19">
            <v>0</v>
          </cell>
          <cell r="N19">
            <v>0</v>
          </cell>
          <cell r="O19">
            <v>0</v>
          </cell>
          <cell r="P19">
            <v>0</v>
          </cell>
          <cell r="Q19">
            <v>0</v>
          </cell>
          <cell r="R19">
            <v>0</v>
          </cell>
        </row>
        <row r="20">
          <cell r="B20" t="str">
            <v/>
          </cell>
          <cell r="D20">
            <v>0</v>
          </cell>
          <cell r="E20">
            <v>0</v>
          </cell>
          <cell r="F20">
            <v>0</v>
          </cell>
          <cell r="G20">
            <v>0</v>
          </cell>
          <cell r="H20">
            <v>0</v>
          </cell>
          <cell r="I20">
            <v>0</v>
          </cell>
          <cell r="J20">
            <v>0</v>
          </cell>
          <cell r="L20">
            <v>0</v>
          </cell>
          <cell r="M20">
            <v>0</v>
          </cell>
          <cell r="N20">
            <v>0</v>
          </cell>
          <cell r="O20">
            <v>0</v>
          </cell>
          <cell r="P20">
            <v>0</v>
          </cell>
          <cell r="Q20">
            <v>0</v>
          </cell>
          <cell r="R20">
            <v>0</v>
          </cell>
        </row>
        <row r="21">
          <cell r="B21" t="str">
            <v/>
          </cell>
          <cell r="D21">
            <v>0</v>
          </cell>
          <cell r="E21">
            <v>0</v>
          </cell>
          <cell r="F21">
            <v>0</v>
          </cell>
          <cell r="G21">
            <v>0</v>
          </cell>
          <cell r="H21">
            <v>0</v>
          </cell>
          <cell r="I21">
            <v>0</v>
          </cell>
          <cell r="J21">
            <v>0</v>
          </cell>
          <cell r="L21">
            <v>0</v>
          </cell>
          <cell r="M21">
            <v>0</v>
          </cell>
          <cell r="N21">
            <v>0</v>
          </cell>
          <cell r="O21">
            <v>0</v>
          </cell>
          <cell r="P21">
            <v>0</v>
          </cell>
          <cell r="Q21">
            <v>0</v>
          </cell>
          <cell r="R21">
            <v>0</v>
          </cell>
        </row>
        <row r="22">
          <cell r="B22" t="str">
            <v/>
          </cell>
          <cell r="D22">
            <v>0</v>
          </cell>
          <cell r="E22">
            <v>0</v>
          </cell>
          <cell r="F22">
            <v>0</v>
          </cell>
          <cell r="G22">
            <v>0</v>
          </cell>
          <cell r="H22">
            <v>0</v>
          </cell>
          <cell r="I22">
            <v>0</v>
          </cell>
          <cell r="J22">
            <v>0</v>
          </cell>
          <cell r="L22">
            <v>0</v>
          </cell>
          <cell r="M22">
            <v>0</v>
          </cell>
          <cell r="N22">
            <v>0</v>
          </cell>
          <cell r="O22">
            <v>0</v>
          </cell>
          <cell r="P22">
            <v>0</v>
          </cell>
          <cell r="Q22">
            <v>0</v>
          </cell>
          <cell r="R22">
            <v>0</v>
          </cell>
        </row>
        <row r="23">
          <cell r="B23" t="str">
            <v/>
          </cell>
          <cell r="D23">
            <v>0</v>
          </cell>
          <cell r="E23">
            <v>0</v>
          </cell>
          <cell r="F23">
            <v>0</v>
          </cell>
          <cell r="G23">
            <v>0</v>
          </cell>
          <cell r="H23">
            <v>0</v>
          </cell>
          <cell r="I23">
            <v>0</v>
          </cell>
          <cell r="J23">
            <v>0</v>
          </cell>
          <cell r="L23">
            <v>0</v>
          </cell>
          <cell r="M23">
            <v>0</v>
          </cell>
          <cell r="N23">
            <v>0</v>
          </cell>
          <cell r="O23">
            <v>0</v>
          </cell>
          <cell r="P23">
            <v>0</v>
          </cell>
          <cell r="Q23">
            <v>0</v>
          </cell>
          <cell r="R23">
            <v>0</v>
          </cell>
        </row>
        <row r="24">
          <cell r="B24" t="str">
            <v/>
          </cell>
          <cell r="D24">
            <v>0</v>
          </cell>
          <cell r="E24">
            <v>0</v>
          </cell>
          <cell r="F24">
            <v>0</v>
          </cell>
          <cell r="G24">
            <v>0</v>
          </cell>
          <cell r="H24">
            <v>0</v>
          </cell>
          <cell r="I24">
            <v>0</v>
          </cell>
          <cell r="J24">
            <v>0</v>
          </cell>
          <cell r="L24">
            <v>0</v>
          </cell>
          <cell r="M24">
            <v>0</v>
          </cell>
          <cell r="N24">
            <v>0</v>
          </cell>
          <cell r="O24">
            <v>0</v>
          </cell>
          <cell r="P24">
            <v>0</v>
          </cell>
          <cell r="Q24">
            <v>0</v>
          </cell>
          <cell r="R24">
            <v>0</v>
          </cell>
        </row>
        <row r="25">
          <cell r="B25" t="str">
            <v/>
          </cell>
          <cell r="D25">
            <v>0</v>
          </cell>
          <cell r="E25">
            <v>0</v>
          </cell>
          <cell r="F25">
            <v>0</v>
          </cell>
          <cell r="G25">
            <v>0</v>
          </cell>
          <cell r="H25">
            <v>0</v>
          </cell>
          <cell r="I25">
            <v>0</v>
          </cell>
          <cell r="J25">
            <v>0</v>
          </cell>
          <cell r="L25">
            <v>0</v>
          </cell>
          <cell r="M25">
            <v>0</v>
          </cell>
          <cell r="N25">
            <v>0</v>
          </cell>
          <cell r="O25">
            <v>0</v>
          </cell>
          <cell r="P25">
            <v>0</v>
          </cell>
          <cell r="Q25">
            <v>0</v>
          </cell>
          <cell r="R25">
            <v>0</v>
          </cell>
        </row>
        <row r="27">
          <cell r="A27" t="str">
            <v>TAP</v>
          </cell>
          <cell r="B27" t="str">
            <v xml:space="preserve"> </v>
          </cell>
        </row>
        <row r="28">
          <cell r="A28" t="str">
            <v>"Vælg stillingskategori"</v>
          </cell>
        </row>
        <row r="29">
          <cell r="A29" t="str">
            <v>Studentermedhjælp</v>
          </cell>
          <cell r="B29" t="str">
            <v/>
          </cell>
          <cell r="C29">
            <v>20500</v>
          </cell>
          <cell r="D29">
            <v>21100</v>
          </cell>
          <cell r="E29">
            <v>21700</v>
          </cell>
          <cell r="F29">
            <v>22300</v>
          </cell>
          <cell r="G29">
            <v>22900</v>
          </cell>
          <cell r="H29">
            <v>23500</v>
          </cell>
          <cell r="I29">
            <v>24100</v>
          </cell>
          <cell r="J29">
            <v>24800</v>
          </cell>
          <cell r="L29">
            <v>168.49315068493149</v>
          </cell>
          <cell r="M29">
            <v>173.42465753424656</v>
          </cell>
          <cell r="N29">
            <v>178.35616438356163</v>
          </cell>
          <cell r="O29">
            <v>183.2876712328767</v>
          </cell>
          <cell r="P29">
            <v>188.21917808219177</v>
          </cell>
          <cell r="Q29">
            <v>193.15068493150685</v>
          </cell>
          <cell r="R29">
            <v>198.08219178082192</v>
          </cell>
        </row>
        <row r="30">
          <cell r="A30" t="str">
            <v>TAP/Øvrig kandidatuddannede</v>
          </cell>
          <cell r="B30" t="str">
            <v>TAP/Øvrig kandidatuddannede</v>
          </cell>
          <cell r="C30">
            <v>50200</v>
          </cell>
          <cell r="D30">
            <v>51500</v>
          </cell>
          <cell r="E30">
            <v>52800</v>
          </cell>
          <cell r="F30">
            <v>54200</v>
          </cell>
          <cell r="G30">
            <v>55600</v>
          </cell>
          <cell r="H30">
            <v>57000</v>
          </cell>
          <cell r="I30">
            <v>58500</v>
          </cell>
          <cell r="J30">
            <v>60000</v>
          </cell>
          <cell r="L30">
            <v>412.60273972602738</v>
          </cell>
          <cell r="M30">
            <v>423.28767123287668</v>
          </cell>
          <cell r="N30">
            <v>433.97260273972603</v>
          </cell>
          <cell r="O30">
            <v>445.47945205479448</v>
          </cell>
          <cell r="P30">
            <v>456.98630136986299</v>
          </cell>
          <cell r="Q30">
            <v>468.49315068493149</v>
          </cell>
          <cell r="R30">
            <v>480.82191780821915</v>
          </cell>
        </row>
        <row r="31">
          <cell r="A31" t="str">
            <v>Data/IT medarbejder</v>
          </cell>
          <cell r="B31" t="str">
            <v/>
          </cell>
          <cell r="C31">
            <v>48700</v>
          </cell>
          <cell r="D31">
            <v>50000</v>
          </cell>
          <cell r="E31">
            <v>51300</v>
          </cell>
          <cell r="F31">
            <v>52600</v>
          </cell>
          <cell r="G31">
            <v>54000</v>
          </cell>
          <cell r="H31">
            <v>55400</v>
          </cell>
          <cell r="I31">
            <v>56800</v>
          </cell>
          <cell r="J31">
            <v>58300</v>
          </cell>
          <cell r="L31">
            <v>400.27397260273972</v>
          </cell>
          <cell r="M31">
            <v>410.95890410958901</v>
          </cell>
          <cell r="N31">
            <v>421.64383561643837</v>
          </cell>
          <cell r="O31">
            <v>432.32876712328766</v>
          </cell>
          <cell r="P31">
            <v>443.83561643835617</v>
          </cell>
          <cell r="Q31">
            <v>455.34246575342462</v>
          </cell>
          <cell r="R31">
            <v>466.84931506849313</v>
          </cell>
        </row>
        <row r="32">
          <cell r="A32" t="str">
            <v>Laborant - høj sats</v>
          </cell>
          <cell r="B32" t="str">
            <v>Laborant</v>
          </cell>
          <cell r="C32">
            <v>40800</v>
          </cell>
          <cell r="D32">
            <v>41900</v>
          </cell>
          <cell r="E32">
            <v>43000</v>
          </cell>
          <cell r="F32">
            <v>44100</v>
          </cell>
          <cell r="G32">
            <v>45300</v>
          </cell>
          <cell r="H32">
            <v>46500</v>
          </cell>
          <cell r="I32">
            <v>47700</v>
          </cell>
          <cell r="J32">
            <v>48900</v>
          </cell>
          <cell r="L32">
            <v>335.34246575342462</v>
          </cell>
          <cell r="M32">
            <v>344.38356164383561</v>
          </cell>
          <cell r="N32">
            <v>353.42465753424653</v>
          </cell>
          <cell r="O32">
            <v>362.46575342465752</v>
          </cell>
          <cell r="P32">
            <v>372.32876712328766</v>
          </cell>
          <cell r="Q32">
            <v>382.1917808219178</v>
          </cell>
          <cell r="R32">
            <v>392.05479452054794</v>
          </cell>
        </row>
        <row r="33">
          <cell r="A33" t="str">
            <v>Laborant - gennemsnitssats</v>
          </cell>
          <cell r="B33" t="str">
            <v>Laborant</v>
          </cell>
          <cell r="C33">
            <v>38300</v>
          </cell>
          <cell r="D33">
            <v>39300</v>
          </cell>
          <cell r="E33">
            <v>40300</v>
          </cell>
          <cell r="F33">
            <v>41400</v>
          </cell>
          <cell r="G33">
            <v>42500</v>
          </cell>
          <cell r="H33">
            <v>43600</v>
          </cell>
          <cell r="I33">
            <v>44700</v>
          </cell>
          <cell r="J33">
            <v>45900</v>
          </cell>
          <cell r="L33">
            <v>314.79452054794518</v>
          </cell>
          <cell r="M33">
            <v>323.01369863013696</v>
          </cell>
          <cell r="N33">
            <v>331.23287671232873</v>
          </cell>
          <cell r="O33">
            <v>340.27397260273972</v>
          </cell>
          <cell r="P33">
            <v>349.31506849315065</v>
          </cell>
          <cell r="Q33">
            <v>358.35616438356163</v>
          </cell>
          <cell r="R33">
            <v>367.39726027397256</v>
          </cell>
        </row>
        <row r="34">
          <cell r="A34" t="str">
            <v>Tekniker - høj sats</v>
          </cell>
          <cell r="B34" t="str">
            <v>Tekniker</v>
          </cell>
          <cell r="C34">
            <v>44000</v>
          </cell>
          <cell r="D34">
            <v>45100</v>
          </cell>
          <cell r="E34">
            <v>46300</v>
          </cell>
          <cell r="F34">
            <v>47500</v>
          </cell>
          <cell r="G34">
            <v>48700</v>
          </cell>
          <cell r="H34">
            <v>50000</v>
          </cell>
          <cell r="I34">
            <v>51300</v>
          </cell>
          <cell r="J34">
            <v>52600</v>
          </cell>
          <cell r="L34">
            <v>361.64383561643837</v>
          </cell>
          <cell r="M34">
            <v>370.6849315068493</v>
          </cell>
          <cell r="N34">
            <v>380.54794520547944</v>
          </cell>
          <cell r="O34">
            <v>390.41095890410958</v>
          </cell>
          <cell r="P34">
            <v>400.27397260273972</v>
          </cell>
          <cell r="Q34">
            <v>410.95890410958901</v>
          </cell>
          <cell r="R34">
            <v>421.64383561643837</v>
          </cell>
        </row>
        <row r="35">
          <cell r="A35" t="str">
            <v>Tekniker - gennemsnitssats</v>
          </cell>
          <cell r="B35" t="str">
            <v>Tekniker</v>
          </cell>
          <cell r="C35">
            <v>41600</v>
          </cell>
          <cell r="D35">
            <v>42700</v>
          </cell>
          <cell r="E35">
            <v>43800</v>
          </cell>
          <cell r="F35">
            <v>44900</v>
          </cell>
          <cell r="G35">
            <v>46100</v>
          </cell>
          <cell r="H35">
            <v>47300</v>
          </cell>
          <cell r="I35">
            <v>48500</v>
          </cell>
          <cell r="J35">
            <v>49800</v>
          </cell>
          <cell r="L35">
            <v>341.91780821917808</v>
          </cell>
          <cell r="M35">
            <v>350.95890410958901</v>
          </cell>
          <cell r="N35">
            <v>360</v>
          </cell>
          <cell r="O35">
            <v>369.04109589041093</v>
          </cell>
          <cell r="P35">
            <v>378.90410958904107</v>
          </cell>
          <cell r="Q35">
            <v>388.76712328767121</v>
          </cell>
          <cell r="R35">
            <v>398.63013698630135</v>
          </cell>
        </row>
        <row r="36">
          <cell r="A36" t="str">
            <v>Anden TAP - gennemsnitssats</v>
          </cell>
          <cell r="B36" t="str">
            <v/>
          </cell>
          <cell r="C36">
            <v>41400</v>
          </cell>
          <cell r="D36">
            <v>42500</v>
          </cell>
          <cell r="E36">
            <v>43600</v>
          </cell>
          <cell r="F36">
            <v>44700</v>
          </cell>
          <cell r="G36">
            <v>45900</v>
          </cell>
          <cell r="H36">
            <v>47100</v>
          </cell>
          <cell r="I36">
            <v>48300</v>
          </cell>
          <cell r="J36">
            <v>49600</v>
          </cell>
          <cell r="L36">
            <v>340.27397260273972</v>
          </cell>
          <cell r="M36">
            <v>349.31506849315065</v>
          </cell>
          <cell r="N36">
            <v>358.35616438356163</v>
          </cell>
          <cell r="O36">
            <v>367.39726027397256</v>
          </cell>
          <cell r="P36">
            <v>377.2602739726027</v>
          </cell>
          <cell r="Q36">
            <v>387.12328767123284</v>
          </cell>
          <cell r="R36">
            <v>396.98630136986299</v>
          </cell>
        </row>
        <row r="37">
          <cell r="B37" t="str">
            <v/>
          </cell>
          <cell r="D37">
            <v>0</v>
          </cell>
          <cell r="E37">
            <v>0</v>
          </cell>
          <cell r="F37">
            <v>0</v>
          </cell>
          <cell r="G37">
            <v>0</v>
          </cell>
          <cell r="H37">
            <v>0</v>
          </cell>
          <cell r="I37">
            <v>0</v>
          </cell>
          <cell r="J37">
            <v>0</v>
          </cell>
          <cell r="L37">
            <v>0</v>
          </cell>
          <cell r="M37">
            <v>0</v>
          </cell>
          <cell r="N37">
            <v>0</v>
          </cell>
          <cell r="O37">
            <v>0</v>
          </cell>
          <cell r="P37">
            <v>0</v>
          </cell>
          <cell r="Q37">
            <v>0</v>
          </cell>
          <cell r="R37">
            <v>0</v>
          </cell>
        </row>
        <row r="38">
          <cell r="B38" t="str">
            <v/>
          </cell>
          <cell r="D38">
            <v>0</v>
          </cell>
          <cell r="E38">
            <v>0</v>
          </cell>
          <cell r="F38">
            <v>0</v>
          </cell>
          <cell r="G38">
            <v>0</v>
          </cell>
          <cell r="H38">
            <v>0</v>
          </cell>
          <cell r="I38">
            <v>0</v>
          </cell>
          <cell r="J38">
            <v>0</v>
          </cell>
          <cell r="L38">
            <v>0</v>
          </cell>
          <cell r="M38">
            <v>0</v>
          </cell>
          <cell r="N38">
            <v>0</v>
          </cell>
          <cell r="O38">
            <v>0</v>
          </cell>
          <cell r="P38">
            <v>0</v>
          </cell>
          <cell r="Q38">
            <v>0</v>
          </cell>
          <cell r="R38">
            <v>0</v>
          </cell>
        </row>
        <row r="39">
          <cell r="B39" t="str">
            <v/>
          </cell>
          <cell r="D39">
            <v>0</v>
          </cell>
          <cell r="E39">
            <v>0</v>
          </cell>
          <cell r="F39">
            <v>0</v>
          </cell>
          <cell r="G39">
            <v>0</v>
          </cell>
          <cell r="H39">
            <v>0</v>
          </cell>
          <cell r="I39">
            <v>0</v>
          </cell>
          <cell r="J39">
            <v>0</v>
          </cell>
          <cell r="L39">
            <v>0</v>
          </cell>
          <cell r="M39">
            <v>0</v>
          </cell>
          <cell r="N39">
            <v>0</v>
          </cell>
          <cell r="O39">
            <v>0</v>
          </cell>
          <cell r="P39">
            <v>0</v>
          </cell>
          <cell r="Q39">
            <v>0</v>
          </cell>
          <cell r="R39">
            <v>0</v>
          </cell>
        </row>
        <row r="40">
          <cell r="B40" t="str">
            <v/>
          </cell>
          <cell r="D40">
            <v>0</v>
          </cell>
          <cell r="E40">
            <v>0</v>
          </cell>
          <cell r="F40">
            <v>0</v>
          </cell>
          <cell r="G40">
            <v>0</v>
          </cell>
          <cell r="H40">
            <v>0</v>
          </cell>
          <cell r="I40">
            <v>0</v>
          </cell>
          <cell r="J40">
            <v>0</v>
          </cell>
          <cell r="L40">
            <v>0</v>
          </cell>
          <cell r="M40">
            <v>0</v>
          </cell>
          <cell r="N40">
            <v>0</v>
          </cell>
          <cell r="O40">
            <v>0</v>
          </cell>
          <cell r="P40">
            <v>0</v>
          </cell>
          <cell r="Q40">
            <v>0</v>
          </cell>
          <cell r="R40">
            <v>0</v>
          </cell>
        </row>
        <row r="41">
          <cell r="B41" t="str">
            <v/>
          </cell>
          <cell r="D41">
            <v>0</v>
          </cell>
          <cell r="E41">
            <v>0</v>
          </cell>
          <cell r="F41">
            <v>0</v>
          </cell>
          <cell r="G41">
            <v>0</v>
          </cell>
          <cell r="H41">
            <v>0</v>
          </cell>
          <cell r="I41">
            <v>0</v>
          </cell>
          <cell r="J41">
            <v>0</v>
          </cell>
          <cell r="L41">
            <v>0</v>
          </cell>
          <cell r="M41">
            <v>0</v>
          </cell>
          <cell r="N41">
            <v>0</v>
          </cell>
          <cell r="O41">
            <v>0</v>
          </cell>
          <cell r="P41">
            <v>0</v>
          </cell>
          <cell r="Q41">
            <v>0</v>
          </cell>
          <cell r="R41">
            <v>0</v>
          </cell>
        </row>
        <row r="42">
          <cell r="B42" t="str">
            <v/>
          </cell>
          <cell r="D42">
            <v>0</v>
          </cell>
          <cell r="E42">
            <v>0</v>
          </cell>
          <cell r="F42">
            <v>0</v>
          </cell>
          <cell r="G42">
            <v>0</v>
          </cell>
          <cell r="H42">
            <v>0</v>
          </cell>
          <cell r="I42">
            <v>0</v>
          </cell>
          <cell r="J42">
            <v>0</v>
          </cell>
          <cell r="L42">
            <v>0</v>
          </cell>
          <cell r="M42">
            <v>0</v>
          </cell>
          <cell r="N42">
            <v>0</v>
          </cell>
          <cell r="O42">
            <v>0</v>
          </cell>
          <cell r="P42">
            <v>0</v>
          </cell>
          <cell r="Q42">
            <v>0</v>
          </cell>
          <cell r="R42">
            <v>0</v>
          </cell>
        </row>
        <row r="43">
          <cell r="B43" t="str">
            <v/>
          </cell>
          <cell r="D43">
            <v>0</v>
          </cell>
          <cell r="E43">
            <v>0</v>
          </cell>
          <cell r="F43">
            <v>0</v>
          </cell>
          <cell r="G43">
            <v>0</v>
          </cell>
          <cell r="H43">
            <v>0</v>
          </cell>
          <cell r="I43">
            <v>0</v>
          </cell>
          <cell r="J43">
            <v>0</v>
          </cell>
          <cell r="L43">
            <v>0</v>
          </cell>
          <cell r="M43">
            <v>0</v>
          </cell>
          <cell r="N43">
            <v>0</v>
          </cell>
          <cell r="O43">
            <v>0</v>
          </cell>
          <cell r="P43">
            <v>0</v>
          </cell>
          <cell r="Q43">
            <v>0</v>
          </cell>
          <cell r="R43">
            <v>0</v>
          </cell>
        </row>
        <row r="44">
          <cell r="B44" t="str">
            <v/>
          </cell>
          <cell r="D44">
            <v>0</v>
          </cell>
          <cell r="E44">
            <v>0</v>
          </cell>
          <cell r="F44">
            <v>0</v>
          </cell>
          <cell r="G44">
            <v>0</v>
          </cell>
          <cell r="H44">
            <v>0</v>
          </cell>
          <cell r="I44">
            <v>0</v>
          </cell>
          <cell r="J44">
            <v>0</v>
          </cell>
          <cell r="L44">
            <v>0</v>
          </cell>
          <cell r="M44">
            <v>0</v>
          </cell>
          <cell r="N44">
            <v>0</v>
          </cell>
          <cell r="O44">
            <v>0</v>
          </cell>
          <cell r="P44">
            <v>0</v>
          </cell>
          <cell r="Q44">
            <v>0</v>
          </cell>
          <cell r="R44">
            <v>0</v>
          </cell>
        </row>
        <row r="45">
          <cell r="B45" t="str">
            <v/>
          </cell>
          <cell r="D45">
            <v>0</v>
          </cell>
          <cell r="E45">
            <v>0</v>
          </cell>
          <cell r="F45">
            <v>0</v>
          </cell>
          <cell r="G45">
            <v>0</v>
          </cell>
          <cell r="H45">
            <v>0</v>
          </cell>
          <cell r="I45">
            <v>0</v>
          </cell>
          <cell r="J45">
            <v>0</v>
          </cell>
          <cell r="L45">
            <v>0</v>
          </cell>
          <cell r="M45">
            <v>0</v>
          </cell>
          <cell r="N45">
            <v>0</v>
          </cell>
          <cell r="O45">
            <v>0</v>
          </cell>
          <cell r="P45">
            <v>0</v>
          </cell>
          <cell r="Q45">
            <v>0</v>
          </cell>
          <cell r="R45">
            <v>0</v>
          </cell>
        </row>
        <row r="46">
          <cell r="B46" t="str">
            <v/>
          </cell>
          <cell r="D46">
            <v>0</v>
          </cell>
          <cell r="E46">
            <v>0</v>
          </cell>
          <cell r="F46">
            <v>0</v>
          </cell>
          <cell r="G46">
            <v>0</v>
          </cell>
          <cell r="H46">
            <v>0</v>
          </cell>
          <cell r="I46">
            <v>0</v>
          </cell>
          <cell r="J46">
            <v>0</v>
          </cell>
          <cell r="L46">
            <v>0</v>
          </cell>
          <cell r="M46">
            <v>0</v>
          </cell>
          <cell r="N46">
            <v>0</v>
          </cell>
          <cell r="O46">
            <v>0</v>
          </cell>
          <cell r="P46">
            <v>0</v>
          </cell>
          <cell r="Q46">
            <v>0</v>
          </cell>
          <cell r="R46">
            <v>0</v>
          </cell>
        </row>
        <row r="48">
          <cell r="A48" t="str">
            <v>DRIFT</v>
          </cell>
        </row>
        <row r="49">
          <cell r="A49" t="str">
            <v>Sekretærløn</v>
          </cell>
          <cell r="C49">
            <v>39600</v>
          </cell>
          <cell r="D49">
            <v>40600</v>
          </cell>
          <cell r="E49">
            <v>41700</v>
          </cell>
          <cell r="F49">
            <v>42800</v>
          </cell>
          <cell r="G49">
            <v>43900</v>
          </cell>
          <cell r="H49">
            <v>45000</v>
          </cell>
          <cell r="I49">
            <v>46200</v>
          </cell>
          <cell r="J49">
            <v>47400</v>
          </cell>
        </row>
        <row r="50">
          <cell r="A50" t="str">
            <v>Forskningsadministration TAP AGRO</v>
          </cell>
          <cell r="C50">
            <v>4400</v>
          </cell>
          <cell r="D50">
            <v>4600</v>
          </cell>
          <cell r="E50">
            <v>4800</v>
          </cell>
          <cell r="F50">
            <v>5000</v>
          </cell>
          <cell r="G50">
            <v>5200</v>
          </cell>
          <cell r="H50">
            <v>5400</v>
          </cell>
          <cell r="I50">
            <v>5600</v>
          </cell>
          <cell r="J50">
            <v>5800</v>
          </cell>
          <cell r="L50">
            <v>36.164383561643831</v>
          </cell>
          <cell r="M50">
            <v>37.80821917808219</v>
          </cell>
          <cell r="N50">
            <v>39.452054794520549</v>
          </cell>
          <cell r="O50">
            <v>41.095890410958901</v>
          </cell>
          <cell r="P50">
            <v>42.739726027397261</v>
          </cell>
          <cell r="Q50">
            <v>44.383561643835613</v>
          </cell>
          <cell r="R50">
            <v>46.027397260273972</v>
          </cell>
        </row>
        <row r="51">
          <cell r="A51" t="str">
            <v>Forskningsadministration TAP QGG</v>
          </cell>
          <cell r="C51">
            <v>1600</v>
          </cell>
          <cell r="D51">
            <v>1700</v>
          </cell>
          <cell r="E51">
            <v>1800</v>
          </cell>
          <cell r="F51">
            <v>1900</v>
          </cell>
          <cell r="G51">
            <v>2000</v>
          </cell>
          <cell r="H51">
            <v>2100</v>
          </cell>
          <cell r="I51">
            <v>2200</v>
          </cell>
          <cell r="J51">
            <v>2300</v>
          </cell>
          <cell r="L51">
            <v>13.150684931506849</v>
          </cell>
          <cell r="M51">
            <v>13.972602739726026</v>
          </cell>
          <cell r="N51">
            <v>14.794520547945204</v>
          </cell>
          <cell r="O51">
            <v>15.616438356164384</v>
          </cell>
          <cell r="P51">
            <v>16.43835616438356</v>
          </cell>
          <cell r="Q51">
            <v>17.260273972602739</v>
          </cell>
          <cell r="R51">
            <v>18.082191780821915</v>
          </cell>
        </row>
        <row r="52">
          <cell r="A52" t="str">
            <v>Forskningsadministration TAP ANIS</v>
          </cell>
          <cell r="C52">
            <v>3900</v>
          </cell>
          <cell r="D52">
            <v>4000</v>
          </cell>
          <cell r="E52">
            <v>4100</v>
          </cell>
          <cell r="F52">
            <v>4300</v>
          </cell>
          <cell r="G52">
            <v>4500</v>
          </cell>
          <cell r="H52">
            <v>4700</v>
          </cell>
          <cell r="I52">
            <v>4900</v>
          </cell>
          <cell r="J52">
            <v>5100</v>
          </cell>
          <cell r="L52">
            <v>32.054794520547944</v>
          </cell>
          <cell r="M52">
            <v>32.87671232876712</v>
          </cell>
          <cell r="N52">
            <v>33.698630136986303</v>
          </cell>
          <cell r="O52">
            <v>35.342465753424655</v>
          </cell>
          <cell r="P52">
            <v>36.986301369863014</v>
          </cell>
          <cell r="Q52">
            <v>38.630136986301366</v>
          </cell>
          <cell r="R52">
            <v>40.273972602739725</v>
          </cell>
        </row>
        <row r="53">
          <cell r="A53" t="str">
            <v>Forskningsadministration TAP FOOD</v>
          </cell>
          <cell r="C53">
            <v>3300</v>
          </cell>
          <cell r="D53">
            <v>3400</v>
          </cell>
          <cell r="E53">
            <v>3500</v>
          </cell>
          <cell r="F53">
            <v>3600</v>
          </cell>
          <cell r="G53">
            <v>3700</v>
          </cell>
          <cell r="H53">
            <v>3800</v>
          </cell>
          <cell r="I53">
            <v>3900</v>
          </cell>
          <cell r="J53">
            <v>4000</v>
          </cell>
          <cell r="L53">
            <v>27.123287671232877</v>
          </cell>
          <cell r="M53">
            <v>27.945205479452053</v>
          </cell>
          <cell r="N53">
            <v>28.767123287671232</v>
          </cell>
          <cell r="O53">
            <v>29.589041095890408</v>
          </cell>
          <cell r="P53">
            <v>30.410958904109588</v>
          </cell>
          <cell r="Q53">
            <v>31.232876712328768</v>
          </cell>
          <cell r="R53">
            <v>32.054794520547944</v>
          </cell>
        </row>
        <row r="54">
          <cell r="A54" t="str">
            <v>Forskningsadministration drift FOOD</v>
          </cell>
          <cell r="C54">
            <v>0.1</v>
          </cell>
          <cell r="D54">
            <v>0.1</v>
          </cell>
          <cell r="E54">
            <v>0.1</v>
          </cell>
          <cell r="F54">
            <v>0.1</v>
          </cell>
          <cell r="G54">
            <v>0.1</v>
          </cell>
          <cell r="H54">
            <v>0.1</v>
          </cell>
          <cell r="I54">
            <v>0.1</v>
          </cell>
          <cell r="J54">
            <v>0.1</v>
          </cell>
        </row>
        <row r="55">
          <cell r="A55" t="str">
            <v>Forskningsadministration drift ANIS</v>
          </cell>
          <cell r="C55">
            <v>3300</v>
          </cell>
          <cell r="D55">
            <v>3400</v>
          </cell>
          <cell r="E55">
            <v>3500</v>
          </cell>
          <cell r="F55">
            <v>3600</v>
          </cell>
          <cell r="G55">
            <v>3800</v>
          </cell>
          <cell r="H55">
            <v>4000</v>
          </cell>
          <cell r="I55">
            <v>4200</v>
          </cell>
          <cell r="J55">
            <v>4400</v>
          </cell>
        </row>
        <row r="56">
          <cell r="A56" t="str">
            <v>Forskningsadministration drift AGRO</v>
          </cell>
          <cell r="C56">
            <v>5600</v>
          </cell>
          <cell r="D56">
            <v>5800</v>
          </cell>
          <cell r="E56">
            <v>6000</v>
          </cell>
          <cell r="F56">
            <v>6200</v>
          </cell>
          <cell r="G56">
            <v>6400</v>
          </cell>
          <cell r="H56">
            <v>6600</v>
          </cell>
          <cell r="I56">
            <v>6800</v>
          </cell>
          <cell r="J56">
            <v>7000</v>
          </cell>
        </row>
        <row r="57">
          <cell r="A57" t="str">
            <v>Forskningsadministration drift QGG</v>
          </cell>
          <cell r="C57">
            <v>0</v>
          </cell>
          <cell r="D57">
            <v>0</v>
          </cell>
          <cell r="E57">
            <v>0</v>
          </cell>
          <cell r="F57">
            <v>0</v>
          </cell>
          <cell r="G57">
            <v>0</v>
          </cell>
          <cell r="H57">
            <v>0</v>
          </cell>
          <cell r="I57">
            <v>0</v>
          </cell>
          <cell r="J57">
            <v>0</v>
          </cell>
        </row>
        <row r="58">
          <cell r="A58" t="str">
            <v>Bench Fee (kun ved NNF)</v>
          </cell>
          <cell r="C58">
            <v>8000</v>
          </cell>
          <cell r="D58">
            <v>8000</v>
          </cell>
          <cell r="E58">
            <v>8000</v>
          </cell>
          <cell r="F58">
            <v>8000</v>
          </cell>
          <cell r="G58">
            <v>8000</v>
          </cell>
          <cell r="H58">
            <v>8000</v>
          </cell>
          <cell r="I58">
            <v>8000</v>
          </cell>
          <cell r="J58">
            <v>8000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ksterneData_1" connectionId="3" xr16:uid="{297CBD91-0113-44C3-89B7-F9F0004A6CFF}" autoFormatId="16" applyNumberFormats="0" applyBorderFormats="0" applyFontFormats="0" applyPatternFormats="0" applyAlignmentFormats="0" applyWidthHeightFormats="0">
  <queryTableRefresh nextId="5">
    <queryTableFields count="3">
      <queryTableField id="2" name="GrantSource" tableColumnId="2"/>
      <queryTableField id="3" name="GrantSourceExtra" tableColumnId="1"/>
      <queryTableField id="4" name="GrantSourceUdvidet"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ksterneData_2" connectionId="5" xr16:uid="{A2263165-6FD6-4D8A-97FD-FA653DB41009}" autoFormatId="16" applyNumberFormats="0" applyBorderFormats="0" applyFontFormats="0" applyPatternFormats="0" applyAlignmentFormats="0" applyWidthHeightFormats="0">
  <queryTableRefresh nextId="8">
    <queryTableFields count="4">
      <queryTableField id="1" name="GrantSource" tableColumnId="1"/>
      <queryTableField id="4" name="GrantSourcesExtra" tableColumnId="2"/>
      <queryTableField id="5" name="GrantSourceUdvidet" tableColumnId="4"/>
      <queryTableField id="3" name="Instrument"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ksterneData_2" connectionId="7" xr16:uid="{8E726E2F-6FBE-4127-B0AF-C2D0402CBCA4}" autoFormatId="16" applyNumberFormats="0" applyBorderFormats="0" applyFontFormats="0" applyPatternFormats="0" applyAlignmentFormats="0" applyWidthHeightFormats="0">
  <queryTableRefresh nextId="4">
    <queryTableFields count="2">
      <queryTableField id="2" name="Department" tableColumnId="2"/>
      <queryTableField id="3" name="Section"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ksterneData_2" connectionId="6" xr16:uid="{0024D9E5-A19B-498D-B108-43669E381B79}" autoFormatId="16" applyNumberFormats="0" applyBorderFormats="0" applyFontFormats="0" applyPatternFormats="0" applyAlignmentFormats="0" applyWidthHeightFormats="0">
  <queryTableRefresh nextId="4">
    <queryTableFields count="2">
      <queryTableField id="2" name="Department" tableColumnId="2"/>
      <queryTableField id="3" name="Section"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ksterneData_3" connectionId="2" xr16:uid="{AA1F09C1-61C8-4668-8B21-84C1E7CFD7BA}" autoFormatId="16" applyNumberFormats="0" applyBorderFormats="0" applyFontFormats="0" applyPatternFormats="0" applyAlignmentFormats="0" applyWidthHeightFormats="0">
  <queryTableRefresh nextId="3">
    <queryTableFields count="2">
      <queryTableField id="1" name="AUID" tableColumnId="1"/>
      <queryTableField id="2" name="Name"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ksterneData_1" connectionId="1" xr16:uid="{4F72BFE8-ACFF-416D-B9D8-F2008FF27307}" autoFormatId="16" applyNumberFormats="0" applyBorderFormats="0" applyFontFormats="0" applyPatternFormats="0" applyAlignmentFormats="0" applyWidthHeightFormats="0">
  <queryTableRefresh nextId="8">
    <queryTableFields count="4">
      <queryTableField id="4" name="currency.code" tableColumnId="4"/>
      <queryTableField id="5" name="currency.name" tableColumnId="5"/>
      <queryTableField id="6" name="currency.rate" tableColumnId="6"/>
      <queryTableField id="7" name="LastUpdated" tableColumnId="7"/>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ksterneData_1" connectionId="4" xr16:uid="{AF2CD2E5-9BB1-417C-8620-72451C065E17}" autoFormatId="16" applyNumberFormats="0" applyBorderFormats="0" applyFontFormats="0" applyPatternFormats="0" applyAlignmentFormats="0" applyWidthHeightFormats="0">
  <queryTableRefresh nextId="9">
    <queryTableFields count="4">
      <queryTableField id="5" name="GrantSourceCategory" tableColumnId="5"/>
      <queryTableField id="6" name="GrantSource" tableColumnId="6"/>
      <queryTableField id="7" name="GrantSourceExtra" tableColumnId="7"/>
      <queryTableField id="8" name="GrantSourceUdvidet" tableColumnId="8"/>
    </queryTableFields>
  </queryTableRefresh>
</queryTable>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9.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20.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0000000}" name="Tabel12" displayName="Tabel12" ref="A4:C30" totalsRowShown="0" headerRowDxfId="89" dataDxfId="88">
  <autoFilter ref="A4:C30" xr:uid="{00000000-0009-0000-0100-00000C000000}"/>
  <tableColumns count="3">
    <tableColumn id="1" xr3:uid="{00000000-0010-0000-0000-000001000000}" name="VIP" dataDxfId="87"/>
    <tableColumn id="2" xr3:uid="{00000000-0010-0000-0000-000002000000}" name=" " dataDxfId="86">
      <calculatedColumnFormula>_xlfn.XLOOKUP(Tabel12[[#This Row],[VIP]],Tabel19[Job functions],Tabel19[Column1],"",0)&amp;""</calculatedColumnFormula>
    </tableColumn>
    <tableColumn id="3" xr3:uid="{00000000-0010-0000-0000-000003000000}" name="Column1" dataDxfId="85"/>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1000000}" name="Tabel13" displayName="Tabel13" ref="A32:C54" totalsRowShown="0" headerRowDxfId="84" dataDxfId="83">
  <autoFilter ref="A32:C54" xr:uid="{00000000-0009-0000-0100-00000D000000}"/>
  <tableColumns count="3">
    <tableColumn id="1" xr3:uid="{00000000-0010-0000-0100-000001000000}" name="TAP" dataDxfId="82"/>
    <tableColumn id="2" xr3:uid="{00000000-0010-0000-0100-000002000000}" name=" " dataDxfId="81">
      <calculatedColumnFormula>_xlfn.XLOOKUP(Tabel13[[#This Row],[TAP]],Tabel19[Job functions],Tabel19[Column1],"",0)&amp;""</calculatedColumnFormula>
    </tableColumn>
    <tableColumn id="3" xr3:uid="{00000000-0010-0000-0100-000003000000}" name="Column1" dataDxfId="80"/>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2000000}" name="Tabel14" displayName="Tabel14" ref="A56:B85" totalsRowShown="0" headerRowDxfId="79" dataDxfId="78">
  <autoFilter ref="A56:B85" xr:uid="{00000000-0009-0000-0100-00000E000000}"/>
  <tableColumns count="2">
    <tableColumn id="1" xr3:uid="{00000000-0010-0000-0200-000001000000}" name="DRIFT" dataDxfId="77"/>
    <tableColumn id="2" xr3:uid="{843405C8-EF05-4369-B0D8-8C773642AB33}" name="Column1" dataDxfId="76"/>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6751D78-A8A8-40E4-8944-BE4232AB2ED8}" name="GrantSource" displayName="GrantSource" ref="A1:C442" tableType="queryTable" totalsRowShown="0">
  <autoFilter ref="A1:C442" xr:uid="{B6751D78-A8A8-40E4-8944-BE4232AB2ED8}"/>
  <tableColumns count="3">
    <tableColumn id="2" xr3:uid="{D1B449A3-26A1-4D67-A0B7-ED1445256610}" uniqueName="2" name="GrantSource" queryTableFieldId="2"/>
    <tableColumn id="1" xr3:uid="{3ADC1B03-D0EF-4FCF-81FB-F5D6B074F894}" uniqueName="1" name="GrantSourceExtra" queryTableFieldId="3"/>
    <tableColumn id="3" xr3:uid="{080BDB10-C101-4EB2-B502-E019A32664FF}" uniqueName="3" name="GrantSourceUdvidet" queryTableFieldId="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24460C0-F70E-47E1-BDB5-2C5DDEDDFBD6}" name="Instrument_1" displayName="Instrument_1" ref="A1:D625" tableType="queryTable" totalsRowShown="0">
  <autoFilter ref="A1:D625" xr:uid="{E24460C0-F70E-47E1-BDB5-2C5DDEDDFBD6}"/>
  <tableColumns count="4">
    <tableColumn id="1" xr3:uid="{F2D7E88B-1B2A-4DDC-B7AC-8FFCE101558E}" uniqueName="1" name="GrantSource" queryTableFieldId="1"/>
    <tableColumn id="2" xr3:uid="{4354724E-E890-4679-9F2F-98D481751404}" uniqueName="2" name="GrantSourcesExtra" queryTableFieldId="4"/>
    <tableColumn id="4" xr3:uid="{4112F0FE-D24B-4F2C-A1C5-FB6D268A7890}" uniqueName="4" name="GrantSourceUdvidet" queryTableFieldId="5"/>
    <tableColumn id="3" xr3:uid="{9C172E3C-B499-4F89-9A9A-1E7A747EE8CC}" uniqueName="3" name="Instrument" queryTableFieldId="3"/>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38442B6-3C64-43A0-A5F7-46262B86E72D}" name="Section12" displayName="Section12" ref="A1:B85" tableType="queryTable" totalsRowShown="0">
  <autoFilter ref="A1:B85" xr:uid="{C8B8D3B5-1436-4425-B40E-40E5BE6A3034}"/>
  <tableColumns count="2">
    <tableColumn id="2" xr3:uid="{3597A5EC-A1D4-4925-824F-D555A109A8D4}" uniqueName="2" name="Department" queryTableFieldId="2" dataDxfId="75"/>
    <tableColumn id="3" xr3:uid="{EE63219E-79CE-4C16-BEB1-CA15CF3DBF59}" uniqueName="3" name="Section" queryTableFieldId="3"/>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8B8D3B5-1436-4425-B40E-40E5BE6A3034}" name="Section" displayName="Section" ref="A1:B85" tableType="queryTable" totalsRowShown="0">
  <autoFilter ref="A1:B85" xr:uid="{C8B8D3B5-1436-4425-B40E-40E5BE6A3034}"/>
  <tableColumns count="2">
    <tableColumn id="2" xr3:uid="{0F8D3E4E-0903-4759-97CA-1CDBB204C2CD}" uniqueName="2" name="Department" queryTableFieldId="2" dataDxfId="74"/>
    <tableColumn id="3" xr3:uid="{BAA8D8DB-1505-4545-B9A9-DC3BE0DFF04E}" uniqueName="3" name="Section" queryTableFieldId="3"/>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89FC23D-476D-473B-9B35-ABE86F8F0725}" name="Economists" displayName="Economists" ref="A1:B83" tableType="queryTable" totalsRowShown="0">
  <autoFilter ref="A1:B83" xr:uid="{989FC23D-476D-473B-9B35-ABE86F8F0725}"/>
  <tableColumns count="2">
    <tableColumn id="1" xr3:uid="{5ADF051C-1D5C-4EBE-BA2A-F9D105FE6152}" uniqueName="1" name="AUID" queryTableFieldId="1"/>
    <tableColumn id="2" xr3:uid="{FE7B8CEB-6CDE-44B2-A56A-50C93B5D7EC5}" uniqueName="2" name="Name" queryTableFieldId="2"/>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3000000}" name="Tabel1" displayName="Tabel1" ref="A3:B17" totalsRowShown="0" headerRowDxfId="73" dataDxfId="72">
  <autoFilter ref="A3:B17" xr:uid="{00000000-0009-0000-0100-000001000000}"/>
  <tableColumns count="2">
    <tableColumn id="1" xr3:uid="{00000000-0010-0000-0300-000001000000}" name="Institute" dataDxfId="71"/>
    <tableColumn id="2" xr3:uid="{9ED6E835-55A0-4792-B574-668D2544C82F}" name="Long name" dataDxfId="70"/>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el2" displayName="Tabel2" ref="D36:D44" totalsRowShown="0" headerRowDxfId="69" dataDxfId="68">
  <autoFilter ref="D36:D44" xr:uid="{00000000-0009-0000-0100-000002000000}"/>
  <tableColumns count="1">
    <tableColumn id="1" xr3:uid="{00000000-0010-0000-0400-000001000000}" name="Overheadsrate" dataDxfId="67"/>
  </tableColumns>
  <tableStyleInfo name="TableStyleLight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5000000}" name="Tabel3" displayName="Tabel3" ref="D3:D9" totalsRowShown="0" headerRowDxfId="66" dataDxfId="65">
  <autoFilter ref="D3:D9" xr:uid="{00000000-0009-0000-0100-000003000000}"/>
  <tableColumns count="1">
    <tableColumn id="1" xr3:uid="{00000000-0010-0000-0500-000001000000}" name="Overhead calculated on" dataDxfId="64"/>
  </tableColumns>
  <tableStyleInfo name="TableStyleLight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6000000}" name="Tabel4" displayName="Tabel4" ref="F3:G10" totalsRowShown="0" headerRowDxfId="63" dataDxfId="62">
  <autoFilter ref="F3:G10" xr:uid="{00000000-0009-0000-0100-000004000000}"/>
  <tableColumns count="2">
    <tableColumn id="1" xr3:uid="{00000000-0010-0000-0600-000001000000}" name="Yearly hours" dataDxfId="61"/>
    <tableColumn id="2" xr3:uid="{00000000-0010-0000-0600-000002000000}" name="Description" dataDxfId="60"/>
  </tableColumns>
  <tableStyleInfo name="TableStyleLight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7000000}" name="Tabel6" displayName="Tabel6" ref="I3:I7" totalsRowShown="0" headerRowDxfId="59" dataDxfId="58">
  <autoFilter ref="I3:I7" xr:uid="{00000000-0009-0000-0100-000006000000}"/>
  <tableColumns count="1">
    <tableColumn id="1" xr3:uid="{00000000-0010-0000-0700-000001000000}" name="Supplement to research administration calculated by" dataDxfId="57"/>
  </tableColumns>
  <tableStyleInfo name="TableStyleLight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8000000}" name="Tabel58" displayName="Tabel58" ref="K3:K6" totalsRowShown="0" headerRowDxfId="56" dataDxfId="55">
  <autoFilter ref="K3:K6" xr:uid="{00000000-0009-0000-0100-000007000000}"/>
  <tableColumns count="1">
    <tableColumn id="1" xr3:uid="{00000000-0010-0000-0800-000001000000}" name="Currency" dataDxfId="54"/>
  </tableColumns>
  <tableStyleInfo name="TableStyleLight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9000000}" name="Tabel19" displayName="Tabel19" ref="A19:B36" totalsRowShown="0" headerRowDxfId="53" dataDxfId="52">
  <autoFilter ref="A19:B36" xr:uid="{00000000-0009-0000-0100-000008000000}"/>
  <tableColumns count="2">
    <tableColumn id="1" xr3:uid="{00000000-0010-0000-0900-000001000000}" name="Job functions" dataDxfId="51"/>
    <tableColumn id="2" xr3:uid="{D50A1E8C-352E-4ED6-B789-2EDC8F0BA57E}" name="Column1" dataDxfId="50"/>
  </tableColumns>
  <tableStyleInfo name="TableStyleLight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A000000}" name="Tabel5810" displayName="Tabel5810" ref="D19:D25" totalsRowShown="0" headerRowDxfId="49" dataDxfId="48">
  <autoFilter ref="D19:D25" xr:uid="{00000000-0009-0000-0100-000009000000}"/>
  <tableColumns count="1">
    <tableColumn id="1" xr3:uid="{00000000-0010-0000-0A00-000001000000}" name="Currency" dataDxfId="47"/>
  </tableColumns>
  <tableStyleInfo name="TableStyleLight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BF6115D-6A2B-44B4-B40E-4A07895469F3}" name="Tabel581011" displayName="Tabel581011" ref="D28:D32" totalsRowShown="0" headerRowDxfId="46" dataDxfId="45">
  <autoFilter ref="D28:D32" xr:uid="{4BF6115D-6A2B-44B4-B40E-4A07895469F3}"/>
  <tableColumns count="1">
    <tableColumn id="1" xr3:uid="{5EF91EAB-EF9F-4399-97CB-9B35EC1FF71B}" name="Type of budget" dataDxfId="44"/>
  </tableColumns>
  <tableStyleInfo name="TableStyleLight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FEA1AAF-63BF-4896-8083-23FB9383CDB3}" name="Table22" displayName="Table22" ref="F44:G46" totalsRowShown="0">
  <autoFilter ref="F44:G46" xr:uid="{9FEA1AAF-63BF-4896-8083-23FB9383CDB3}"/>
  <tableColumns count="2">
    <tableColumn id="1" xr3:uid="{59032071-D084-4DB7-A74D-0635D86EF102}" name="IV fra-dato"/>
    <tableColumn id="2" xr3:uid="{3586B15B-D4B7-4344-B5C6-5C5794B34881}" name="Overhead" dataDxfId="43"/>
  </tableColumns>
  <tableStyleInfo name="TableStyleMedium9"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0C196CF-ECBA-417B-8FF6-D709B223808C}" name="currencyratesxml?lang_en" displayName="currencyratesxml?lang_en" ref="A1:D31" tableType="queryTable" totalsRowShown="0">
  <autoFilter ref="A1:D31" xr:uid="{60C196CF-ECBA-417B-8FF6-D709B223808C}"/>
  <tableColumns count="4">
    <tableColumn id="4" xr3:uid="{04AF38F5-830F-4C56-B907-7D4F80B78666}" uniqueName="4" name="currency.code" queryTableFieldId="4"/>
    <tableColumn id="5" xr3:uid="{6FAF032E-ACA6-4F32-9F17-834828F70898}" uniqueName="5" name="currency.name" queryTableFieldId="5"/>
    <tableColumn id="6" xr3:uid="{B7C9D2A6-1C6B-4143-BBAB-289D085BB853}" uniqueName="6" name="currency.rate" queryTableFieldId="6" dataDxfId="42"/>
    <tableColumn id="7" xr3:uid="{E8CDBB81-E604-483C-B9DA-50A08C208E66}" uniqueName="7" name="LastUpdated" queryTableFieldId="7" dataDxfId="28"/>
  </tableColumns>
  <tableStyleInfo name="TableStyleMedium7"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86B8747-C13D-496C-A8EB-3E7CEEFF664D}" name="GrantSourceCategory" displayName="GrantSourceCategory" ref="A1:D442" tableType="queryTable" totalsRowShown="0">
  <autoFilter ref="A1:D442" xr:uid="{086B8747-C13D-496C-A8EB-3E7CEEFF664D}"/>
  <tableColumns count="4">
    <tableColumn id="5" xr3:uid="{1F656762-A6E4-461A-A845-B018726AC291}" uniqueName="5" name="GrantSourceCategory" queryTableFieldId="5"/>
    <tableColumn id="6" xr3:uid="{3039F0B3-EFCC-42B4-8FF1-6E476ADB388C}" uniqueName="6" name="GrantSource" queryTableFieldId="6"/>
    <tableColumn id="7" xr3:uid="{4361F253-2903-47BF-BF82-0A752E4C78B9}" uniqueName="7" name="GrantSourceExtra" queryTableFieldId="7"/>
    <tableColumn id="8" xr3:uid="{FB53EDEF-6409-4C79-B688-50D8246B1219}" uniqueName="8" name="GrantSourceUdvidet" queryTableFieldId="8"/>
  </tableColumns>
  <tableStyleInfo name="TableStyleMedium7"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5E17C6C3-4687-4E2F-A79C-AD34E1BCCB3D}" name="Tabel21" displayName="Tabel21" ref="A3:D4" insertRowShift="1" totalsRowShown="0" headerRowDxfId="41" dataDxfId="39" headerRowBorderDxfId="40" tableBorderDxfId="38" totalsRowBorderDxfId="37">
  <autoFilter ref="A3:D4" xr:uid="{5E17C6C3-4687-4E2F-A79C-AD34E1BCCB3D}"/>
  <tableColumns count="4">
    <tableColumn id="1" xr3:uid="{4CF30B76-FB9F-4FF2-B483-B66382117172}" name="Grant source" dataDxfId="36"/>
    <tableColumn id="2" xr3:uid="{0271C793-9499-46A8-9801-E7781411E095}" name="Instrument" dataDxfId="35"/>
    <tableColumn id="3" xr3:uid="{96558316-C822-4A77-BBFC-9D8EB8CCEF5C}" name="Overhead %" dataDxfId="34"/>
    <tableColumn id="4" xr3:uid="{5DF362D1-04B3-4F14-A6D2-CBED535FAEBB}" name="Project supplement (Yes/No)" dataDxfId="33"/>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52DF2282-3D45-4853-8E06-2C3EBE8B6FA9}" name="Institut" displayName="Institut" ref="A68:A69" totalsRowShown="0" headerRowDxfId="32" dataDxfId="31" tableBorderDxfId="30">
  <autoFilter ref="A68:A69" xr:uid="{52DF2282-3D45-4853-8E06-2C3EBE8B6FA9}"/>
  <tableColumns count="1">
    <tableColumn id="1" xr3:uid="{83F0E79E-FDC6-4523-91F8-AF2F6CE9B27C}" name="Institut" dataDxfId="29">
      <calculatedColumnFormula>IF(ISBLANK('Cover letter'!$I$5),
'Cover letter ECE_MPE'!E5,
'Cover letter'!E5)</calculatedColumnFormula>
    </tableColumn>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table" Target="../tables/table7.xml"/></Relationships>
</file>

<file path=xl/worksheets/_rels/sheet6.xml.rels><?xml version="1.0" encoding="UTF-8" standalone="yes"?>
<Relationships xmlns="http://schemas.openxmlformats.org/package/2006/relationships"><Relationship Id="rId1" Type="http://schemas.openxmlformats.org/officeDocument/2006/relationships/table" Target="../tables/table8.xml"/></Relationships>
</file>

<file path=xl/worksheets/_rels/sheet7.xml.rels><?xml version="1.0" encoding="UTF-8" standalone="yes"?>
<Relationships xmlns="http://schemas.openxmlformats.org/package/2006/relationships"><Relationship Id="rId8" Type="http://schemas.openxmlformats.org/officeDocument/2006/relationships/table" Target="../tables/table15.xml"/><Relationship Id="rId3" Type="http://schemas.openxmlformats.org/officeDocument/2006/relationships/table" Target="../tables/table10.xml"/><Relationship Id="rId7" Type="http://schemas.openxmlformats.org/officeDocument/2006/relationships/table" Target="../tables/table14.xml"/><Relationship Id="rId2" Type="http://schemas.openxmlformats.org/officeDocument/2006/relationships/table" Target="../tables/table9.xml"/><Relationship Id="rId1" Type="http://schemas.openxmlformats.org/officeDocument/2006/relationships/printerSettings" Target="../printerSettings/printerSettings2.bin"/><Relationship Id="rId6" Type="http://schemas.openxmlformats.org/officeDocument/2006/relationships/table" Target="../tables/table13.xml"/><Relationship Id="rId11" Type="http://schemas.openxmlformats.org/officeDocument/2006/relationships/table" Target="../tables/table18.xml"/><Relationship Id="rId5" Type="http://schemas.openxmlformats.org/officeDocument/2006/relationships/table" Target="../tables/table12.xml"/><Relationship Id="rId10" Type="http://schemas.openxmlformats.org/officeDocument/2006/relationships/table" Target="../tables/table17.xml"/><Relationship Id="rId4" Type="http://schemas.openxmlformats.org/officeDocument/2006/relationships/table" Target="../tables/table11.xml"/><Relationship Id="rId9" Type="http://schemas.openxmlformats.org/officeDocument/2006/relationships/table" Target="../tables/table16.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3.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hyperlink" Target="mailto:Nat-Tech.Finance.Application@au.dk" TargetMode="Externa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Ark11"/>
  <dimension ref="A1:AA102"/>
  <sheetViews>
    <sheetView zoomScale="110" zoomScaleNormal="110" workbookViewId="0">
      <selection activeCell="A26" sqref="A26"/>
    </sheetView>
  </sheetViews>
  <sheetFormatPr defaultColWidth="8.58203125" defaultRowHeight="14"/>
  <cols>
    <col min="1" max="1" width="47.08203125" style="1" customWidth="1"/>
    <col min="2" max="2" width="24.5" style="1" customWidth="1"/>
    <col min="3" max="12" width="8.58203125" style="1"/>
    <col min="13" max="13" width="3" style="1" customWidth="1"/>
    <col min="14" max="14" width="8.58203125" style="1"/>
    <col min="15" max="23" width="8.58203125" style="3" customWidth="1"/>
    <col min="24" max="24" width="8.58203125" style="1"/>
    <col min="25" max="25" width="10.58203125" style="1" bestFit="1" customWidth="1"/>
    <col min="26" max="16384" width="8.58203125" style="1"/>
  </cols>
  <sheetData>
    <row r="1" spans="1:27" ht="18">
      <c r="A1" s="40" t="s">
        <v>36</v>
      </c>
      <c r="B1" s="40"/>
      <c r="C1" s="42" t="s">
        <v>109</v>
      </c>
    </row>
    <row r="2" spans="1:27" s="2" customFormat="1">
      <c r="C2" s="442" t="s">
        <v>37</v>
      </c>
      <c r="D2" s="442"/>
      <c r="E2" s="442"/>
      <c r="F2" s="442"/>
      <c r="G2" s="442"/>
      <c r="H2" s="442"/>
      <c r="I2" s="442"/>
      <c r="J2" s="62"/>
      <c r="K2" s="62"/>
      <c r="L2" s="62"/>
      <c r="N2" s="442" t="s">
        <v>38</v>
      </c>
      <c r="O2" s="442"/>
      <c r="P2" s="442"/>
      <c r="Q2" s="442"/>
      <c r="R2" s="442"/>
      <c r="S2" s="442"/>
      <c r="T2" s="442"/>
      <c r="U2" s="62"/>
      <c r="V2" s="62"/>
      <c r="W2" s="62"/>
    </row>
    <row r="3" spans="1:27" s="2" customFormat="1">
      <c r="A3" s="2" t="s">
        <v>11</v>
      </c>
      <c r="C3" s="44">
        <v>2026</v>
      </c>
      <c r="D3" s="17">
        <f t="shared" ref="D3:J3" si="0">+C3+1</f>
        <v>2027</v>
      </c>
      <c r="E3" s="17">
        <f t="shared" si="0"/>
        <v>2028</v>
      </c>
      <c r="F3" s="17">
        <f t="shared" si="0"/>
        <v>2029</v>
      </c>
      <c r="G3" s="17">
        <f t="shared" si="0"/>
        <v>2030</v>
      </c>
      <c r="H3" s="17">
        <f t="shared" si="0"/>
        <v>2031</v>
      </c>
      <c r="I3" s="17">
        <f t="shared" si="0"/>
        <v>2032</v>
      </c>
      <c r="J3" s="17">
        <f t="shared" si="0"/>
        <v>2033</v>
      </c>
      <c r="K3" s="17">
        <f>+J3+1</f>
        <v>2034</v>
      </c>
      <c r="L3" s="17">
        <f>+K3+1</f>
        <v>2035</v>
      </c>
      <c r="N3" s="2">
        <f>+C3</f>
        <v>2026</v>
      </c>
      <c r="O3" s="2">
        <f t="shared" ref="O3:U3" si="1">+D3</f>
        <v>2027</v>
      </c>
      <c r="P3" s="2">
        <f t="shared" si="1"/>
        <v>2028</v>
      </c>
      <c r="Q3" s="2">
        <f t="shared" si="1"/>
        <v>2029</v>
      </c>
      <c r="R3" s="2">
        <f t="shared" si="1"/>
        <v>2030</v>
      </c>
      <c r="S3" s="2">
        <f t="shared" si="1"/>
        <v>2031</v>
      </c>
      <c r="T3" s="2">
        <f t="shared" si="1"/>
        <v>2032</v>
      </c>
      <c r="U3" s="2">
        <f t="shared" si="1"/>
        <v>2033</v>
      </c>
      <c r="V3" s="2">
        <f>+K3</f>
        <v>2034</v>
      </c>
      <c r="W3" s="2">
        <f>+L3</f>
        <v>2035</v>
      </c>
      <c r="Y3" s="37" t="s">
        <v>2</v>
      </c>
      <c r="Z3" s="37">
        <v>1.0249999999999999</v>
      </c>
      <c r="AA3" s="1"/>
    </row>
    <row r="4" spans="1:27" s="2" customFormat="1">
      <c r="A4" s="2" t="s">
        <v>7</v>
      </c>
      <c r="B4" s="2" t="s">
        <v>19</v>
      </c>
      <c r="C4" s="2" t="s">
        <v>97</v>
      </c>
      <c r="O4" s="17"/>
      <c r="P4" s="17"/>
      <c r="Q4" s="17"/>
      <c r="R4" s="17"/>
      <c r="S4" s="17"/>
      <c r="T4" s="17"/>
      <c r="U4" s="17"/>
      <c r="V4" s="17"/>
      <c r="W4" s="17"/>
      <c r="Y4" s="37" t="s">
        <v>1</v>
      </c>
      <c r="Z4" s="37">
        <v>1.02</v>
      </c>
    </row>
    <row r="5" spans="1:27" s="2" customFormat="1">
      <c r="A5" s="1" t="s">
        <v>1238</v>
      </c>
      <c r="B5" s="1" t="str">
        <f>_xlfn.XLOOKUP(Tabel12[[#This Row],[VIP]],Tabel19[Job functions],Tabel19[Column1],"",0)&amp;""</f>
        <v/>
      </c>
      <c r="C5" s="1"/>
      <c r="O5" s="17"/>
      <c r="P5" s="17"/>
      <c r="Q5" s="17"/>
      <c r="R5" s="17"/>
      <c r="S5" s="17"/>
      <c r="T5" s="17"/>
      <c r="U5" s="17"/>
      <c r="V5" s="17"/>
      <c r="W5" s="17"/>
      <c r="Y5" s="37" t="s">
        <v>12</v>
      </c>
      <c r="Z5" s="37">
        <f>1460/12</f>
        <v>121.66666666666667</v>
      </c>
      <c r="AA5" s="41"/>
    </row>
    <row r="6" spans="1:27" s="2" customFormat="1">
      <c r="A6" s="1" t="s">
        <v>35</v>
      </c>
      <c r="B6" s="54" t="str">
        <f>_xlfn.XLOOKUP(Tabel12[[#This Row],[VIP]],Tabel19[Job functions],Tabel19[Column1],"",0)&amp;""</f>
        <v/>
      </c>
      <c r="C6" s="226">
        <v>114000</v>
      </c>
      <c r="D6" s="35">
        <f t="shared" ref="D6:L6" si="2">ROUNDUP(+C6*$Z$3,-3)</f>
        <v>117000</v>
      </c>
      <c r="E6" s="35">
        <f t="shared" si="2"/>
        <v>120000</v>
      </c>
      <c r="F6" s="35">
        <f t="shared" si="2"/>
        <v>123000</v>
      </c>
      <c r="G6" s="35">
        <f t="shared" si="2"/>
        <v>127000</v>
      </c>
      <c r="H6" s="35">
        <f t="shared" si="2"/>
        <v>131000</v>
      </c>
      <c r="I6" s="35">
        <f t="shared" si="2"/>
        <v>135000</v>
      </c>
      <c r="J6" s="35">
        <f t="shared" si="2"/>
        <v>139000</v>
      </c>
      <c r="K6" s="35">
        <f t="shared" si="2"/>
        <v>143000</v>
      </c>
      <c r="L6" s="35">
        <f t="shared" si="2"/>
        <v>147000</v>
      </c>
      <c r="M6" s="1"/>
      <c r="N6" s="31">
        <f t="shared" ref="N6:N12" si="3">+C6/$Z$5</f>
        <v>936.98630136986299</v>
      </c>
      <c r="O6" s="31">
        <f t="shared" ref="O6:O30" si="4">+D6/$Z$5</f>
        <v>961.64383561643831</v>
      </c>
      <c r="P6" s="31">
        <f t="shared" ref="P6:P30" si="5">+E6/$Z$5</f>
        <v>986.30136986301363</v>
      </c>
      <c r="Q6" s="31">
        <f t="shared" ref="Q6:Q30" si="6">+F6/$Z$5</f>
        <v>1010.958904109589</v>
      </c>
      <c r="R6" s="31">
        <f t="shared" ref="R6:R30" si="7">+G6/$Z$5</f>
        <v>1043.8356164383561</v>
      </c>
      <c r="S6" s="31">
        <f t="shared" ref="S6:S30" si="8">+H6/$Z$5</f>
        <v>1076.7123287671232</v>
      </c>
      <c r="T6" s="31">
        <f t="shared" ref="T6:U30" si="9">+I6/$Z$5</f>
        <v>1109.5890410958905</v>
      </c>
      <c r="U6" s="31">
        <f t="shared" si="9"/>
        <v>1142.4657534246576</v>
      </c>
      <c r="V6" s="31">
        <f>+K6/$Z$5</f>
        <v>1175.3424657534247</v>
      </c>
      <c r="W6" s="31">
        <f t="shared" ref="W6:W30" si="10">+L6/$Z$5</f>
        <v>1208.2191780821918</v>
      </c>
      <c r="X6" s="1"/>
    </row>
    <row r="7" spans="1:27">
      <c r="A7" s="1" t="s">
        <v>717</v>
      </c>
      <c r="B7" s="54" t="str">
        <f>_xlfn.XLOOKUP(Tabel12[[#This Row],[VIP]],Tabel19[Job functions],Tabel19[Column1],"",0)&amp;""</f>
        <v/>
      </c>
      <c r="C7" s="226">
        <v>90000</v>
      </c>
      <c r="D7" s="35">
        <f t="shared" ref="D7:E30" si="11">ROUNDUP(+C7*$Z$3,-3)</f>
        <v>93000</v>
      </c>
      <c r="E7" s="35">
        <f t="shared" si="11"/>
        <v>96000</v>
      </c>
      <c r="F7" s="35">
        <f t="shared" ref="F7:L7" si="12">ROUNDUP(+E7*$Z$3,-3)</f>
        <v>99000</v>
      </c>
      <c r="G7" s="35">
        <f t="shared" si="12"/>
        <v>102000</v>
      </c>
      <c r="H7" s="35">
        <f t="shared" si="12"/>
        <v>105000</v>
      </c>
      <c r="I7" s="35">
        <f t="shared" si="12"/>
        <v>108000</v>
      </c>
      <c r="J7" s="35">
        <f t="shared" si="12"/>
        <v>111000</v>
      </c>
      <c r="K7" s="35">
        <f t="shared" si="12"/>
        <v>114000</v>
      </c>
      <c r="L7" s="35">
        <f t="shared" si="12"/>
        <v>117000</v>
      </c>
      <c r="N7" s="31">
        <f t="shared" si="3"/>
        <v>739.72602739726028</v>
      </c>
      <c r="O7" s="31">
        <f t="shared" si="4"/>
        <v>764.38356164383561</v>
      </c>
      <c r="P7" s="31">
        <f t="shared" si="5"/>
        <v>789.04109589041093</v>
      </c>
      <c r="Q7" s="31">
        <f t="shared" si="6"/>
        <v>813.69863013698625</v>
      </c>
      <c r="R7" s="31">
        <f t="shared" si="7"/>
        <v>838.35616438356158</v>
      </c>
      <c r="S7" s="31">
        <f t="shared" si="8"/>
        <v>863.0136986301369</v>
      </c>
      <c r="T7" s="31">
        <f t="shared" si="9"/>
        <v>887.67123287671234</v>
      </c>
      <c r="U7" s="31">
        <f t="shared" si="9"/>
        <v>912.32876712328766</v>
      </c>
      <c r="V7" s="31">
        <f t="shared" ref="V7:V30" si="13">+K7/$Z$5</f>
        <v>936.98630136986299</v>
      </c>
      <c r="W7" s="31">
        <f t="shared" si="10"/>
        <v>961.64383561643831</v>
      </c>
    </row>
    <row r="8" spans="1:27">
      <c r="A8" s="1" t="s">
        <v>716</v>
      </c>
      <c r="B8" s="54" t="str">
        <f>_xlfn.XLOOKUP(Tabel12[[#This Row],[VIP]],Tabel19[Job functions],Tabel19[Column1],"",0)&amp;""</f>
        <v/>
      </c>
      <c r="C8" s="226">
        <v>87000</v>
      </c>
      <c r="D8" s="35">
        <f t="shared" si="11"/>
        <v>90000</v>
      </c>
      <c r="E8" s="35">
        <f t="shared" si="11"/>
        <v>93000</v>
      </c>
      <c r="F8" s="35">
        <f t="shared" ref="F8:L8" si="14">ROUNDUP(+E8*$Z$3,-3)</f>
        <v>96000</v>
      </c>
      <c r="G8" s="35">
        <f t="shared" si="14"/>
        <v>99000</v>
      </c>
      <c r="H8" s="35">
        <f t="shared" si="14"/>
        <v>102000</v>
      </c>
      <c r="I8" s="35">
        <f t="shared" si="14"/>
        <v>105000</v>
      </c>
      <c r="J8" s="35">
        <f t="shared" si="14"/>
        <v>108000</v>
      </c>
      <c r="K8" s="35">
        <f t="shared" si="14"/>
        <v>111000</v>
      </c>
      <c r="L8" s="35">
        <f t="shared" si="14"/>
        <v>114000</v>
      </c>
      <c r="N8" s="31">
        <f t="shared" si="3"/>
        <v>715.06849315068496</v>
      </c>
      <c r="O8" s="31">
        <f t="shared" ref="O8:U10" si="15">+D8/$Z$5</f>
        <v>739.72602739726028</v>
      </c>
      <c r="P8" s="31">
        <f t="shared" si="15"/>
        <v>764.38356164383561</v>
      </c>
      <c r="Q8" s="31">
        <f t="shared" si="15"/>
        <v>789.04109589041093</v>
      </c>
      <c r="R8" s="31">
        <f t="shared" si="15"/>
        <v>813.69863013698625</v>
      </c>
      <c r="S8" s="31">
        <f t="shared" si="15"/>
        <v>838.35616438356158</v>
      </c>
      <c r="T8" s="31">
        <f t="shared" si="15"/>
        <v>863.0136986301369</v>
      </c>
      <c r="U8" s="31">
        <f t="shared" si="15"/>
        <v>887.67123287671234</v>
      </c>
      <c r="V8" s="31">
        <f t="shared" si="13"/>
        <v>912.32876712328766</v>
      </c>
      <c r="W8" s="31">
        <f t="shared" si="10"/>
        <v>936.98630136986299</v>
      </c>
    </row>
    <row r="9" spans="1:27">
      <c r="A9" s="1" t="s">
        <v>715</v>
      </c>
      <c r="B9" s="54" t="str">
        <f>_xlfn.XLOOKUP(Tabel12[[#This Row],[VIP]],Tabel19[Job functions],Tabel19[Column1],"",0)&amp;""</f>
        <v/>
      </c>
      <c r="C9" s="226">
        <v>90000</v>
      </c>
      <c r="D9" s="35">
        <f t="shared" si="11"/>
        <v>93000</v>
      </c>
      <c r="E9" s="35">
        <f t="shared" si="11"/>
        <v>96000</v>
      </c>
      <c r="F9" s="35">
        <f t="shared" ref="F9:L9" si="16">ROUNDUP(+E9*$Z$3,-3)</f>
        <v>99000</v>
      </c>
      <c r="G9" s="35">
        <f t="shared" si="16"/>
        <v>102000</v>
      </c>
      <c r="H9" s="35">
        <f t="shared" si="16"/>
        <v>105000</v>
      </c>
      <c r="I9" s="35">
        <f t="shared" si="16"/>
        <v>108000</v>
      </c>
      <c r="J9" s="35">
        <f t="shared" si="16"/>
        <v>111000</v>
      </c>
      <c r="K9" s="35">
        <f t="shared" si="16"/>
        <v>114000</v>
      </c>
      <c r="L9" s="35">
        <f t="shared" si="16"/>
        <v>117000</v>
      </c>
      <c r="N9" s="31">
        <f t="shared" si="3"/>
        <v>739.72602739726028</v>
      </c>
      <c r="O9" s="31">
        <f t="shared" si="15"/>
        <v>764.38356164383561</v>
      </c>
      <c r="P9" s="31">
        <f t="shared" si="15"/>
        <v>789.04109589041093</v>
      </c>
      <c r="Q9" s="31">
        <f t="shared" si="15"/>
        <v>813.69863013698625</v>
      </c>
      <c r="R9" s="31">
        <f t="shared" si="15"/>
        <v>838.35616438356158</v>
      </c>
      <c r="S9" s="31">
        <f t="shared" si="15"/>
        <v>863.0136986301369</v>
      </c>
      <c r="T9" s="31">
        <f t="shared" si="15"/>
        <v>887.67123287671234</v>
      </c>
      <c r="U9" s="31">
        <f t="shared" si="15"/>
        <v>912.32876712328766</v>
      </c>
      <c r="V9" s="31">
        <f>+K9/$Z$5</f>
        <v>936.98630136986299</v>
      </c>
      <c r="W9" s="31">
        <f>+L9/$Z$5</f>
        <v>961.64383561643831</v>
      </c>
    </row>
    <row r="10" spans="1:27">
      <c r="A10" s="1" t="s">
        <v>714</v>
      </c>
      <c r="B10" s="54" t="str">
        <f>_xlfn.XLOOKUP(Tabel12[[#This Row],[VIP]],Tabel19[Job functions],Tabel19[Column1],"",0)&amp;""</f>
        <v/>
      </c>
      <c r="C10" s="226">
        <v>87000</v>
      </c>
      <c r="D10" s="35">
        <f t="shared" si="11"/>
        <v>90000</v>
      </c>
      <c r="E10" s="35">
        <f t="shared" si="11"/>
        <v>93000</v>
      </c>
      <c r="F10" s="35">
        <f t="shared" ref="F10:L10" si="17">ROUNDUP(+E10*$Z$3,-3)</f>
        <v>96000</v>
      </c>
      <c r="G10" s="35">
        <f t="shared" si="17"/>
        <v>99000</v>
      </c>
      <c r="H10" s="35">
        <f t="shared" si="17"/>
        <v>102000</v>
      </c>
      <c r="I10" s="35">
        <f t="shared" si="17"/>
        <v>105000</v>
      </c>
      <c r="J10" s="35">
        <f t="shared" si="17"/>
        <v>108000</v>
      </c>
      <c r="K10" s="35">
        <f t="shared" si="17"/>
        <v>111000</v>
      </c>
      <c r="L10" s="35">
        <f t="shared" si="17"/>
        <v>114000</v>
      </c>
      <c r="N10" s="31">
        <f t="shared" si="3"/>
        <v>715.06849315068496</v>
      </c>
      <c r="O10" s="31">
        <f t="shared" si="15"/>
        <v>739.72602739726028</v>
      </c>
      <c r="P10" s="31">
        <f t="shared" si="15"/>
        <v>764.38356164383561</v>
      </c>
      <c r="Q10" s="31">
        <f t="shared" si="15"/>
        <v>789.04109589041093</v>
      </c>
      <c r="R10" s="31">
        <f t="shared" si="15"/>
        <v>813.69863013698625</v>
      </c>
      <c r="S10" s="31">
        <f t="shared" si="15"/>
        <v>838.35616438356158</v>
      </c>
      <c r="T10" s="31">
        <f t="shared" si="15"/>
        <v>863.0136986301369</v>
      </c>
      <c r="U10" s="31">
        <f t="shared" si="15"/>
        <v>887.67123287671234</v>
      </c>
      <c r="V10" s="31">
        <f>+K10/$Z$5</f>
        <v>912.32876712328766</v>
      </c>
      <c r="W10" s="31">
        <f>+L10/$Z$5</f>
        <v>936.98630136986299</v>
      </c>
    </row>
    <row r="11" spans="1:27">
      <c r="A11" s="1" t="s">
        <v>739</v>
      </c>
      <c r="B11" s="54" t="str">
        <f>_xlfn.XLOOKUP(Tabel12[[#This Row],[VIP]],Tabel19[Job functions],Tabel19[Column1],"",0)&amp;""</f>
        <v/>
      </c>
      <c r="C11" s="226">
        <v>73000</v>
      </c>
      <c r="D11" s="35">
        <f t="shared" si="11"/>
        <v>75000</v>
      </c>
      <c r="E11" s="35">
        <f t="shared" si="11"/>
        <v>77000</v>
      </c>
      <c r="F11" s="35">
        <f t="shared" ref="F11:L11" si="18">ROUNDUP(+E11*$Z$3,-3)</f>
        <v>79000</v>
      </c>
      <c r="G11" s="35">
        <f t="shared" si="18"/>
        <v>81000</v>
      </c>
      <c r="H11" s="35">
        <f t="shared" si="18"/>
        <v>84000</v>
      </c>
      <c r="I11" s="35">
        <f t="shared" si="18"/>
        <v>87000</v>
      </c>
      <c r="J11" s="35">
        <f t="shared" si="18"/>
        <v>90000</v>
      </c>
      <c r="K11" s="35">
        <f t="shared" si="18"/>
        <v>93000</v>
      </c>
      <c r="L11" s="35">
        <f t="shared" si="18"/>
        <v>96000</v>
      </c>
      <c r="N11" s="31">
        <f t="shared" si="3"/>
        <v>600</v>
      </c>
      <c r="O11" s="31">
        <f t="shared" si="4"/>
        <v>616.43835616438355</v>
      </c>
      <c r="P11" s="31">
        <f t="shared" si="5"/>
        <v>632.8767123287671</v>
      </c>
      <c r="Q11" s="31">
        <f t="shared" si="6"/>
        <v>649.31506849315065</v>
      </c>
      <c r="R11" s="31">
        <f t="shared" si="7"/>
        <v>665.7534246575342</v>
      </c>
      <c r="S11" s="31">
        <f t="shared" si="8"/>
        <v>690.41095890410952</v>
      </c>
      <c r="T11" s="31">
        <f t="shared" si="9"/>
        <v>715.06849315068496</v>
      </c>
      <c r="U11" s="31">
        <f t="shared" si="9"/>
        <v>739.72602739726028</v>
      </c>
      <c r="V11" s="31">
        <f t="shared" si="13"/>
        <v>764.38356164383561</v>
      </c>
      <c r="W11" s="31">
        <f t="shared" si="10"/>
        <v>789.04109589041093</v>
      </c>
    </row>
    <row r="12" spans="1:27">
      <c r="A12" s="1" t="s">
        <v>740</v>
      </c>
      <c r="B12" s="54" t="str">
        <f>_xlfn.XLOOKUP(Tabel12[[#This Row],[VIP]],Tabel19[Job functions],Tabel19[Column1],"",0)&amp;""</f>
        <v/>
      </c>
      <c r="C12" s="226">
        <v>70000</v>
      </c>
      <c r="D12" s="35">
        <f t="shared" si="11"/>
        <v>72000</v>
      </c>
      <c r="E12" s="35">
        <f t="shared" si="11"/>
        <v>74000</v>
      </c>
      <c r="F12" s="35">
        <f t="shared" ref="F12:L12" si="19">ROUNDUP(+E12*$Z$3,-3)</f>
        <v>76000</v>
      </c>
      <c r="G12" s="35">
        <f t="shared" si="19"/>
        <v>78000</v>
      </c>
      <c r="H12" s="35">
        <f t="shared" si="19"/>
        <v>80000</v>
      </c>
      <c r="I12" s="35">
        <f t="shared" si="19"/>
        <v>82000</v>
      </c>
      <c r="J12" s="35">
        <f t="shared" si="19"/>
        <v>85000</v>
      </c>
      <c r="K12" s="35">
        <f t="shared" si="19"/>
        <v>88000</v>
      </c>
      <c r="L12" s="35">
        <f t="shared" si="19"/>
        <v>91000</v>
      </c>
      <c r="N12" s="31">
        <f t="shared" si="3"/>
        <v>575.34246575342468</v>
      </c>
      <c r="O12" s="31">
        <f t="shared" ref="O12:U13" si="20">+D12/$Z$5</f>
        <v>591.78082191780823</v>
      </c>
      <c r="P12" s="31">
        <f t="shared" si="20"/>
        <v>608.21917808219177</v>
      </c>
      <c r="Q12" s="31">
        <f t="shared" si="20"/>
        <v>624.65753424657532</v>
      </c>
      <c r="R12" s="31">
        <f t="shared" si="20"/>
        <v>641.09589041095887</v>
      </c>
      <c r="S12" s="31">
        <f t="shared" si="20"/>
        <v>657.53424657534242</v>
      </c>
      <c r="T12" s="31">
        <f t="shared" si="20"/>
        <v>673.97260273972597</v>
      </c>
      <c r="U12" s="31">
        <f t="shared" si="20"/>
        <v>698.6301369863013</v>
      </c>
      <c r="V12" s="31">
        <f t="shared" si="13"/>
        <v>723.28767123287673</v>
      </c>
      <c r="W12" s="31">
        <f t="shared" si="10"/>
        <v>747.94520547945206</v>
      </c>
      <c r="Y12" s="386"/>
    </row>
    <row r="13" spans="1:27">
      <c r="A13" s="1" t="s">
        <v>741</v>
      </c>
      <c r="B13" s="54" t="str">
        <f>_xlfn.XLOOKUP(Tabel12[[#This Row],[VIP]],Tabel19[Job functions],Tabel19[Column1],"",0)&amp;""</f>
        <v/>
      </c>
      <c r="C13" s="226">
        <v>74000</v>
      </c>
      <c r="D13" s="35">
        <f t="shared" si="11"/>
        <v>76000</v>
      </c>
      <c r="E13" s="35">
        <f t="shared" si="11"/>
        <v>78000</v>
      </c>
      <c r="F13" s="35">
        <f t="shared" ref="F13:L13" si="21">ROUNDUP(+E13*$Z$3,-3)</f>
        <v>80000</v>
      </c>
      <c r="G13" s="35">
        <f t="shared" si="21"/>
        <v>82000</v>
      </c>
      <c r="H13" s="35">
        <f t="shared" si="21"/>
        <v>85000</v>
      </c>
      <c r="I13" s="35">
        <f t="shared" si="21"/>
        <v>88000</v>
      </c>
      <c r="J13" s="35">
        <f t="shared" si="21"/>
        <v>91000</v>
      </c>
      <c r="K13" s="35">
        <f t="shared" si="21"/>
        <v>94000</v>
      </c>
      <c r="L13" s="35">
        <f t="shared" si="21"/>
        <v>97000</v>
      </c>
      <c r="N13" s="31">
        <f t="shared" ref="N13:N30" si="22">+C13/$Z$5</f>
        <v>608.21917808219177</v>
      </c>
      <c r="O13" s="31">
        <f t="shared" si="20"/>
        <v>624.65753424657532</v>
      </c>
      <c r="P13" s="31">
        <f t="shared" si="20"/>
        <v>641.09589041095887</v>
      </c>
      <c r="Q13" s="31">
        <f t="shared" si="20"/>
        <v>657.53424657534242</v>
      </c>
      <c r="R13" s="31">
        <f t="shared" si="20"/>
        <v>673.97260273972597</v>
      </c>
      <c r="S13" s="31">
        <f t="shared" si="20"/>
        <v>698.6301369863013</v>
      </c>
      <c r="T13" s="31">
        <f t="shared" si="20"/>
        <v>723.28767123287673</v>
      </c>
      <c r="U13" s="31">
        <f t="shared" si="20"/>
        <v>747.94520547945206</v>
      </c>
      <c r="V13" s="31">
        <f t="shared" si="13"/>
        <v>772.60273972602738</v>
      </c>
      <c r="W13" s="31">
        <f t="shared" si="10"/>
        <v>797.2602739726027</v>
      </c>
      <c r="Y13" s="386"/>
    </row>
    <row r="14" spans="1:27">
      <c r="A14" s="1" t="s">
        <v>742</v>
      </c>
      <c r="B14" s="54" t="str">
        <f>_xlfn.XLOOKUP(Tabel12[[#This Row],[VIP]],Tabel19[Job functions],Tabel19[Column1],"",0)&amp;""</f>
        <v/>
      </c>
      <c r="C14" s="226">
        <v>71000</v>
      </c>
      <c r="D14" s="35">
        <f t="shared" si="11"/>
        <v>73000</v>
      </c>
      <c r="E14" s="35">
        <f t="shared" si="11"/>
        <v>75000</v>
      </c>
      <c r="F14" s="35">
        <f t="shared" ref="F14:L14" si="23">ROUNDUP(+E14*$Z$3,-3)</f>
        <v>77000</v>
      </c>
      <c r="G14" s="35">
        <f t="shared" si="23"/>
        <v>79000</v>
      </c>
      <c r="H14" s="35">
        <f t="shared" si="23"/>
        <v>81000</v>
      </c>
      <c r="I14" s="35">
        <f t="shared" si="23"/>
        <v>84000</v>
      </c>
      <c r="J14" s="35">
        <f t="shared" si="23"/>
        <v>87000</v>
      </c>
      <c r="K14" s="35">
        <f t="shared" si="23"/>
        <v>90000</v>
      </c>
      <c r="L14" s="35">
        <f t="shared" si="23"/>
        <v>93000</v>
      </c>
      <c r="N14" s="31">
        <f t="shared" si="22"/>
        <v>583.56164383561645</v>
      </c>
      <c r="O14" s="31">
        <f t="shared" si="4"/>
        <v>600</v>
      </c>
      <c r="P14" s="31">
        <f t="shared" si="5"/>
        <v>616.43835616438355</v>
      </c>
      <c r="Q14" s="31">
        <f t="shared" si="6"/>
        <v>632.8767123287671</v>
      </c>
      <c r="R14" s="31">
        <f t="shared" si="7"/>
        <v>649.31506849315065</v>
      </c>
      <c r="S14" s="31">
        <f t="shared" si="8"/>
        <v>665.7534246575342</v>
      </c>
      <c r="T14" s="31">
        <f t="shared" si="9"/>
        <v>690.41095890410952</v>
      </c>
      <c r="U14" s="31">
        <f t="shared" si="9"/>
        <v>715.06849315068496</v>
      </c>
      <c r="V14" s="31">
        <f t="shared" si="13"/>
        <v>739.72602739726028</v>
      </c>
      <c r="W14" s="31">
        <f t="shared" si="10"/>
        <v>764.38356164383561</v>
      </c>
      <c r="Y14" s="386"/>
    </row>
    <row r="15" spans="1:27">
      <c r="A15" s="1" t="s">
        <v>743</v>
      </c>
      <c r="B15" s="54" t="str">
        <f>_xlfn.XLOOKUP(Tabel12[[#This Row],[VIP]],Tabel19[Job functions],Tabel19[Column1],"",0)&amp;""</f>
        <v/>
      </c>
      <c r="C15" s="226">
        <v>55000</v>
      </c>
      <c r="D15" s="35">
        <f t="shared" si="11"/>
        <v>57000</v>
      </c>
      <c r="E15" s="35">
        <f t="shared" si="11"/>
        <v>59000</v>
      </c>
      <c r="F15" s="35">
        <f t="shared" ref="F15:L15" si="24">ROUNDUP(+E15*$Z$3,-3)</f>
        <v>61000</v>
      </c>
      <c r="G15" s="35">
        <f t="shared" si="24"/>
        <v>63000</v>
      </c>
      <c r="H15" s="35">
        <f t="shared" si="24"/>
        <v>65000</v>
      </c>
      <c r="I15" s="35">
        <f t="shared" si="24"/>
        <v>67000</v>
      </c>
      <c r="J15" s="35">
        <f t="shared" si="24"/>
        <v>69000</v>
      </c>
      <c r="K15" s="35">
        <f t="shared" si="24"/>
        <v>71000</v>
      </c>
      <c r="L15" s="35">
        <f t="shared" si="24"/>
        <v>73000</v>
      </c>
      <c r="N15" s="31">
        <f t="shared" si="22"/>
        <v>452.05479452054794</v>
      </c>
      <c r="O15" s="31">
        <f t="shared" si="4"/>
        <v>468.49315068493149</v>
      </c>
      <c r="P15" s="31">
        <f t="shared" si="5"/>
        <v>484.93150684931504</v>
      </c>
      <c r="Q15" s="31">
        <f t="shared" si="6"/>
        <v>501.36986301369859</v>
      </c>
      <c r="R15" s="31">
        <f t="shared" si="7"/>
        <v>517.80821917808214</v>
      </c>
      <c r="S15" s="31">
        <f t="shared" si="8"/>
        <v>534.24657534246569</v>
      </c>
      <c r="T15" s="31">
        <f t="shared" si="9"/>
        <v>550.68493150684924</v>
      </c>
      <c r="U15" s="31">
        <f t="shared" si="9"/>
        <v>567.1232876712329</v>
      </c>
      <c r="V15" s="31">
        <f t="shared" si="13"/>
        <v>583.56164383561645</v>
      </c>
      <c r="W15" s="31">
        <f t="shared" si="10"/>
        <v>600</v>
      </c>
    </row>
    <row r="16" spans="1:27">
      <c r="A16" s="1" t="s">
        <v>222</v>
      </c>
      <c r="B16" s="54" t="str">
        <f>_xlfn.XLOOKUP(Tabel12[[#This Row],[VIP]],Tabel19[Job functions],Tabel19[Column1],"",0)&amp;""</f>
        <v/>
      </c>
      <c r="C16" s="226">
        <v>57000</v>
      </c>
      <c r="D16" s="35">
        <f t="shared" si="11"/>
        <v>59000</v>
      </c>
      <c r="E16" s="35">
        <f t="shared" si="11"/>
        <v>61000</v>
      </c>
      <c r="F16" s="35">
        <f t="shared" ref="F16:L16" si="25">ROUNDUP(+E16*$Z$3,-3)</f>
        <v>63000</v>
      </c>
      <c r="G16" s="35">
        <f t="shared" si="25"/>
        <v>65000</v>
      </c>
      <c r="H16" s="35">
        <f t="shared" si="25"/>
        <v>67000</v>
      </c>
      <c r="I16" s="35">
        <f t="shared" si="25"/>
        <v>69000</v>
      </c>
      <c r="J16" s="35">
        <f t="shared" si="25"/>
        <v>71000</v>
      </c>
      <c r="K16" s="35">
        <f t="shared" si="25"/>
        <v>73000</v>
      </c>
      <c r="L16" s="35">
        <f t="shared" si="25"/>
        <v>75000</v>
      </c>
      <c r="N16" s="31">
        <f t="shared" si="22"/>
        <v>468.49315068493149</v>
      </c>
      <c r="O16" s="31">
        <f t="shared" si="4"/>
        <v>484.93150684931504</v>
      </c>
      <c r="P16" s="31">
        <f t="shared" si="5"/>
        <v>501.36986301369859</v>
      </c>
      <c r="Q16" s="31">
        <f t="shared" si="6"/>
        <v>517.80821917808214</v>
      </c>
      <c r="R16" s="31">
        <f t="shared" si="7"/>
        <v>534.24657534246569</v>
      </c>
      <c r="S16" s="31">
        <f t="shared" si="8"/>
        <v>550.68493150684924</v>
      </c>
      <c r="T16" s="31">
        <f t="shared" si="9"/>
        <v>567.1232876712329</v>
      </c>
      <c r="U16" s="31">
        <f t="shared" si="9"/>
        <v>583.56164383561645</v>
      </c>
      <c r="V16" s="31">
        <f t="shared" si="13"/>
        <v>600</v>
      </c>
      <c r="W16" s="31">
        <f t="shared" si="10"/>
        <v>616.43835616438355</v>
      </c>
    </row>
    <row r="17" spans="1:23">
      <c r="A17" s="1" t="s">
        <v>225</v>
      </c>
      <c r="B17" s="54" t="str">
        <f>_xlfn.XLOOKUP(Tabel12[[#This Row],[VIP]],Tabel19[Job functions],Tabel19[Column1],"",0)&amp;""</f>
        <v/>
      </c>
      <c r="C17" s="226">
        <v>55000</v>
      </c>
      <c r="D17" s="35">
        <f t="shared" si="11"/>
        <v>57000</v>
      </c>
      <c r="E17" s="35">
        <f t="shared" si="11"/>
        <v>59000</v>
      </c>
      <c r="F17" s="35">
        <f t="shared" ref="F17:L17" si="26">ROUNDUP(+E17*$Z$3,-3)</f>
        <v>61000</v>
      </c>
      <c r="G17" s="35">
        <f t="shared" si="26"/>
        <v>63000</v>
      </c>
      <c r="H17" s="35">
        <f t="shared" si="26"/>
        <v>65000</v>
      </c>
      <c r="I17" s="35">
        <f t="shared" si="26"/>
        <v>67000</v>
      </c>
      <c r="J17" s="35">
        <f t="shared" si="26"/>
        <v>69000</v>
      </c>
      <c r="K17" s="35">
        <f t="shared" si="26"/>
        <v>71000</v>
      </c>
      <c r="L17" s="35">
        <f t="shared" si="26"/>
        <v>73000</v>
      </c>
      <c r="N17" s="31">
        <f t="shared" si="22"/>
        <v>452.05479452054794</v>
      </c>
      <c r="O17" s="31">
        <f t="shared" si="4"/>
        <v>468.49315068493149</v>
      </c>
      <c r="P17" s="31">
        <f t="shared" si="5"/>
        <v>484.93150684931504</v>
      </c>
      <c r="Q17" s="31">
        <f t="shared" si="6"/>
        <v>501.36986301369859</v>
      </c>
      <c r="R17" s="31">
        <f t="shared" si="7"/>
        <v>517.80821917808214</v>
      </c>
      <c r="S17" s="31">
        <f t="shared" si="8"/>
        <v>534.24657534246569</v>
      </c>
      <c r="T17" s="31">
        <f t="shared" si="9"/>
        <v>550.68493150684924</v>
      </c>
      <c r="U17" s="31">
        <f t="shared" si="9"/>
        <v>567.1232876712329</v>
      </c>
      <c r="V17" s="31">
        <f t="shared" si="13"/>
        <v>583.56164383561645</v>
      </c>
      <c r="W17" s="31">
        <f t="shared" si="10"/>
        <v>600</v>
      </c>
    </row>
    <row r="18" spans="1:23">
      <c r="A18" s="1" t="s">
        <v>1244</v>
      </c>
      <c r="B18" s="54" t="str">
        <f>_xlfn.XLOOKUP(Tabel12[[#This Row],[VIP]],Tabel19[Job functions],Tabel19[Column1],"",0)&amp;""</f>
        <v/>
      </c>
      <c r="C18" s="226">
        <v>54000</v>
      </c>
      <c r="D18" s="35">
        <f t="shared" si="11"/>
        <v>56000</v>
      </c>
      <c r="E18" s="35">
        <f t="shared" si="11"/>
        <v>58000</v>
      </c>
      <c r="F18" s="35">
        <f t="shared" ref="F18:L18" si="27">ROUNDUP(+E18*$Z$3,-3)</f>
        <v>60000</v>
      </c>
      <c r="G18" s="35">
        <f t="shared" si="27"/>
        <v>62000</v>
      </c>
      <c r="H18" s="35">
        <f t="shared" si="27"/>
        <v>64000</v>
      </c>
      <c r="I18" s="35">
        <f t="shared" si="27"/>
        <v>66000</v>
      </c>
      <c r="J18" s="35">
        <f t="shared" si="27"/>
        <v>68000</v>
      </c>
      <c r="K18" s="35">
        <f t="shared" si="27"/>
        <v>70000</v>
      </c>
      <c r="L18" s="35">
        <f t="shared" si="27"/>
        <v>72000</v>
      </c>
      <c r="N18" s="31">
        <f t="shared" ref="N18:U19" si="28">+C18/$Z$5</f>
        <v>443.83561643835617</v>
      </c>
      <c r="O18" s="31">
        <f t="shared" si="28"/>
        <v>460.27397260273972</v>
      </c>
      <c r="P18" s="31">
        <f t="shared" si="28"/>
        <v>476.71232876712327</v>
      </c>
      <c r="Q18" s="31">
        <f t="shared" si="28"/>
        <v>493.15068493150682</v>
      </c>
      <c r="R18" s="31">
        <f t="shared" si="28"/>
        <v>509.58904109589037</v>
      </c>
      <c r="S18" s="31">
        <f t="shared" si="28"/>
        <v>526.02739726027391</v>
      </c>
      <c r="T18" s="31">
        <f t="shared" si="28"/>
        <v>542.46575342465746</v>
      </c>
      <c r="U18" s="31">
        <f t="shared" si="28"/>
        <v>558.90410958904113</v>
      </c>
      <c r="V18" s="31">
        <f t="shared" si="13"/>
        <v>575.34246575342468</v>
      </c>
      <c r="W18" s="31">
        <f t="shared" si="10"/>
        <v>591.78082191780823</v>
      </c>
    </row>
    <row r="19" spans="1:23">
      <c r="A19" s="1" t="s">
        <v>1975</v>
      </c>
      <c r="B19" s="54" t="str">
        <f>_xlfn.XLOOKUP(Tabel12[[#This Row],[VIP]],Tabel19[Job functions],Tabel19[Column1],"",0)&amp;""</f>
        <v/>
      </c>
      <c r="C19" s="226">
        <v>53000</v>
      </c>
      <c r="D19" s="35">
        <f t="shared" si="11"/>
        <v>55000</v>
      </c>
      <c r="E19" s="35">
        <f t="shared" si="11"/>
        <v>57000</v>
      </c>
      <c r="F19" s="35">
        <f t="shared" ref="F19:L19" si="29">ROUNDUP(+E19*$Z$3,-3)</f>
        <v>59000</v>
      </c>
      <c r="G19" s="35">
        <f t="shared" si="29"/>
        <v>61000</v>
      </c>
      <c r="H19" s="35">
        <f t="shared" si="29"/>
        <v>63000</v>
      </c>
      <c r="I19" s="35">
        <f t="shared" si="29"/>
        <v>65000</v>
      </c>
      <c r="J19" s="35">
        <f t="shared" si="29"/>
        <v>67000</v>
      </c>
      <c r="K19" s="35">
        <f t="shared" si="29"/>
        <v>69000</v>
      </c>
      <c r="L19" s="35">
        <f t="shared" si="29"/>
        <v>71000</v>
      </c>
      <c r="N19" s="31">
        <f t="shared" si="28"/>
        <v>435.61643835616439</v>
      </c>
      <c r="O19" s="31">
        <f t="shared" si="28"/>
        <v>452.05479452054794</v>
      </c>
      <c r="P19" s="31">
        <f t="shared" si="28"/>
        <v>468.49315068493149</v>
      </c>
      <c r="Q19" s="31">
        <f t="shared" si="28"/>
        <v>484.93150684931504</v>
      </c>
      <c r="R19" s="31">
        <f t="shared" si="28"/>
        <v>501.36986301369859</v>
      </c>
      <c r="S19" s="31">
        <f t="shared" si="28"/>
        <v>517.80821917808214</v>
      </c>
      <c r="T19" s="31">
        <f t="shared" si="28"/>
        <v>534.24657534246569</v>
      </c>
      <c r="U19" s="31">
        <f t="shared" si="28"/>
        <v>550.68493150684924</v>
      </c>
      <c r="V19" s="31">
        <f>+K19/$Z$5</f>
        <v>567.1232876712329</v>
      </c>
      <c r="W19" s="31">
        <f>+L19/$Z$5</f>
        <v>583.56164383561645</v>
      </c>
    </row>
    <row r="20" spans="1:23">
      <c r="A20" s="1" t="s">
        <v>223</v>
      </c>
      <c r="B20" s="54" t="str">
        <f>_xlfn.XLOOKUP(Tabel12[[#This Row],[VIP]],Tabel19[Job functions],Tabel19[Column1],"",0)&amp;""</f>
        <v/>
      </c>
      <c r="C20" s="226">
        <v>46000</v>
      </c>
      <c r="D20" s="35">
        <f t="shared" si="11"/>
        <v>48000</v>
      </c>
      <c r="E20" s="35">
        <f t="shared" si="11"/>
        <v>50000</v>
      </c>
      <c r="F20" s="35">
        <f t="shared" ref="F20:L20" si="30">ROUNDUP(+E20*$Z$3,-3)</f>
        <v>52000</v>
      </c>
      <c r="G20" s="35">
        <f t="shared" si="30"/>
        <v>54000</v>
      </c>
      <c r="H20" s="35">
        <f t="shared" si="30"/>
        <v>56000</v>
      </c>
      <c r="I20" s="35">
        <f t="shared" si="30"/>
        <v>58000</v>
      </c>
      <c r="J20" s="35">
        <f t="shared" si="30"/>
        <v>60000</v>
      </c>
      <c r="K20" s="35">
        <f t="shared" si="30"/>
        <v>62000</v>
      </c>
      <c r="L20" s="35">
        <f t="shared" si="30"/>
        <v>64000</v>
      </c>
      <c r="N20" s="31">
        <f t="shared" si="22"/>
        <v>378.08219178082192</v>
      </c>
      <c r="O20" s="31">
        <f>+D20/$Z$5</f>
        <v>394.52054794520546</v>
      </c>
      <c r="P20" s="31">
        <f t="shared" si="5"/>
        <v>410.95890410958901</v>
      </c>
      <c r="Q20" s="31">
        <f t="shared" si="6"/>
        <v>427.39726027397256</v>
      </c>
      <c r="R20" s="31">
        <f t="shared" si="7"/>
        <v>443.83561643835617</v>
      </c>
      <c r="S20" s="31">
        <f t="shared" si="8"/>
        <v>460.27397260273972</v>
      </c>
      <c r="T20" s="31">
        <f t="shared" si="9"/>
        <v>476.71232876712327</v>
      </c>
      <c r="U20" s="31">
        <f t="shared" si="9"/>
        <v>493.15068493150682</v>
      </c>
      <c r="V20" s="31">
        <f t="shared" si="13"/>
        <v>509.58904109589037</v>
      </c>
      <c r="W20" s="31">
        <f t="shared" si="10"/>
        <v>526.02739726027391</v>
      </c>
    </row>
    <row r="21" spans="1:23">
      <c r="A21" s="1" t="s">
        <v>224</v>
      </c>
      <c r="B21" s="54" t="str">
        <f>_xlfn.XLOOKUP(Tabel12[[#This Row],[VIP]],Tabel19[Job functions],Tabel19[Column1],"",0)&amp;""</f>
        <v/>
      </c>
      <c r="C21" s="226">
        <v>43000</v>
      </c>
      <c r="D21" s="35">
        <f t="shared" si="11"/>
        <v>45000</v>
      </c>
      <c r="E21" s="35">
        <f t="shared" si="11"/>
        <v>47000</v>
      </c>
      <c r="F21" s="35">
        <f t="shared" ref="F21:L21" si="31">ROUNDUP(+E21*$Z$3,-3)</f>
        <v>49000</v>
      </c>
      <c r="G21" s="35">
        <f t="shared" si="31"/>
        <v>51000</v>
      </c>
      <c r="H21" s="35">
        <f t="shared" si="31"/>
        <v>53000</v>
      </c>
      <c r="I21" s="35">
        <f t="shared" si="31"/>
        <v>55000</v>
      </c>
      <c r="J21" s="35">
        <f t="shared" si="31"/>
        <v>57000</v>
      </c>
      <c r="K21" s="35">
        <f t="shared" si="31"/>
        <v>59000</v>
      </c>
      <c r="L21" s="35">
        <f t="shared" si="31"/>
        <v>61000</v>
      </c>
      <c r="N21" s="31">
        <f t="shared" si="22"/>
        <v>353.42465753424653</v>
      </c>
      <c r="O21" s="31">
        <f t="shared" si="4"/>
        <v>369.86301369863014</v>
      </c>
      <c r="P21" s="31">
        <f t="shared" si="5"/>
        <v>386.30136986301369</v>
      </c>
      <c r="Q21" s="31">
        <f t="shared" si="6"/>
        <v>402.73972602739724</v>
      </c>
      <c r="R21" s="31">
        <f t="shared" si="7"/>
        <v>419.17808219178079</v>
      </c>
      <c r="S21" s="31">
        <f t="shared" si="8"/>
        <v>435.61643835616439</v>
      </c>
      <c r="T21" s="31">
        <f t="shared" si="9"/>
        <v>452.05479452054794</v>
      </c>
      <c r="U21" s="31">
        <f t="shared" si="9"/>
        <v>468.49315068493149</v>
      </c>
      <c r="V21" s="31">
        <f t="shared" si="13"/>
        <v>484.93150684931504</v>
      </c>
      <c r="W21" s="31">
        <f t="shared" si="10"/>
        <v>501.36986301369859</v>
      </c>
    </row>
    <row r="22" spans="1:23">
      <c r="A22" s="1" t="s">
        <v>1245</v>
      </c>
      <c r="B22" s="54" t="str">
        <f>_xlfn.XLOOKUP(Tabel12[[#This Row],[VIP]],Tabel19[Job functions],Tabel19[Column1],"",0)&amp;""</f>
        <v>PhD</v>
      </c>
      <c r="C22" s="226">
        <v>46000</v>
      </c>
      <c r="D22" s="35">
        <f t="shared" si="11"/>
        <v>48000</v>
      </c>
      <c r="E22" s="35">
        <f t="shared" si="11"/>
        <v>50000</v>
      </c>
      <c r="F22" s="35">
        <f t="shared" ref="F22:L22" si="32">ROUNDUP(+E22*$Z$3,-3)</f>
        <v>52000</v>
      </c>
      <c r="G22" s="35">
        <f t="shared" si="32"/>
        <v>54000</v>
      </c>
      <c r="H22" s="35">
        <f t="shared" si="32"/>
        <v>56000</v>
      </c>
      <c r="I22" s="35">
        <f t="shared" si="32"/>
        <v>58000</v>
      </c>
      <c r="J22" s="35">
        <f t="shared" si="32"/>
        <v>60000</v>
      </c>
      <c r="K22" s="35">
        <f t="shared" si="32"/>
        <v>62000</v>
      </c>
      <c r="L22" s="35">
        <f t="shared" si="32"/>
        <v>64000</v>
      </c>
      <c r="N22" s="31">
        <f>+C22/$Z$5</f>
        <v>378.08219178082192</v>
      </c>
      <c r="O22" s="31">
        <f t="shared" si="4"/>
        <v>394.52054794520546</v>
      </c>
      <c r="P22" s="31">
        <f t="shared" si="5"/>
        <v>410.95890410958901</v>
      </c>
      <c r="Q22" s="31">
        <f t="shared" si="6"/>
        <v>427.39726027397256</v>
      </c>
      <c r="R22" s="31">
        <f t="shared" si="7"/>
        <v>443.83561643835617</v>
      </c>
      <c r="S22" s="31">
        <f t="shared" si="8"/>
        <v>460.27397260273972</v>
      </c>
      <c r="T22" s="31">
        <f t="shared" si="9"/>
        <v>476.71232876712327</v>
      </c>
      <c r="U22" s="31">
        <f t="shared" si="9"/>
        <v>493.15068493150682</v>
      </c>
      <c r="V22" s="31">
        <f t="shared" si="13"/>
        <v>509.58904109589037</v>
      </c>
      <c r="W22" s="31">
        <f t="shared" si="10"/>
        <v>526.02739726027391</v>
      </c>
    </row>
    <row r="23" spans="1:23">
      <c r="A23" s="1" t="s">
        <v>1246</v>
      </c>
      <c r="B23" s="54" t="str">
        <f>_xlfn.XLOOKUP(Tabel12[[#This Row],[VIP]],Tabel19[Job functions],Tabel19[Column1],"",0)&amp;""</f>
        <v>PhD</v>
      </c>
      <c r="C23" s="226">
        <v>43000</v>
      </c>
      <c r="D23" s="35">
        <f t="shared" si="11"/>
        <v>45000</v>
      </c>
      <c r="E23" s="35">
        <f t="shared" si="11"/>
        <v>47000</v>
      </c>
      <c r="F23" s="35">
        <f t="shared" ref="F23:L23" si="33">ROUNDUP(+E23*$Z$3,-3)</f>
        <v>49000</v>
      </c>
      <c r="G23" s="35">
        <f t="shared" si="33"/>
        <v>51000</v>
      </c>
      <c r="H23" s="35">
        <f t="shared" si="33"/>
        <v>53000</v>
      </c>
      <c r="I23" s="35">
        <f t="shared" si="33"/>
        <v>55000</v>
      </c>
      <c r="J23" s="35">
        <f t="shared" si="33"/>
        <v>57000</v>
      </c>
      <c r="K23" s="35">
        <f t="shared" si="33"/>
        <v>59000</v>
      </c>
      <c r="L23" s="35">
        <f t="shared" si="33"/>
        <v>61000</v>
      </c>
      <c r="N23" s="31">
        <f>+C23/$Z$5</f>
        <v>353.42465753424653</v>
      </c>
      <c r="O23" s="31">
        <f t="shared" si="4"/>
        <v>369.86301369863014</v>
      </c>
      <c r="P23" s="31">
        <f t="shared" si="5"/>
        <v>386.30136986301369</v>
      </c>
      <c r="Q23" s="31">
        <f t="shared" si="6"/>
        <v>402.73972602739724</v>
      </c>
      <c r="R23" s="31">
        <f t="shared" si="7"/>
        <v>419.17808219178079</v>
      </c>
      <c r="S23" s="31">
        <f t="shared" si="8"/>
        <v>435.61643835616439</v>
      </c>
      <c r="T23" s="31">
        <f t="shared" si="9"/>
        <v>452.05479452054794</v>
      </c>
      <c r="U23" s="31">
        <f t="shared" si="9"/>
        <v>468.49315068493149</v>
      </c>
      <c r="V23" s="31">
        <f t="shared" si="13"/>
        <v>484.93150684931504</v>
      </c>
      <c r="W23" s="31">
        <f t="shared" si="10"/>
        <v>501.36986301369859</v>
      </c>
    </row>
    <row r="24" spans="1:23">
      <c r="A24" s="1" t="s">
        <v>1336</v>
      </c>
      <c r="B24" s="54" t="str">
        <f>_xlfn.XLOOKUP(Tabel12[[#This Row],[VIP]],Tabel19[Job functions],Tabel19[Column1],"",0)&amp;""</f>
        <v/>
      </c>
      <c r="C24" s="226">
        <v>74000</v>
      </c>
      <c r="D24" s="35">
        <f t="shared" si="11"/>
        <v>76000</v>
      </c>
      <c r="E24" s="35">
        <f t="shared" si="11"/>
        <v>78000</v>
      </c>
      <c r="F24" s="35">
        <f t="shared" ref="F24:L24" si="34">ROUNDUP(+E24*$Z$3,-3)</f>
        <v>80000</v>
      </c>
      <c r="G24" s="35">
        <f t="shared" si="34"/>
        <v>82000</v>
      </c>
      <c r="H24" s="35">
        <f t="shared" si="34"/>
        <v>85000</v>
      </c>
      <c r="I24" s="35">
        <f t="shared" si="34"/>
        <v>88000</v>
      </c>
      <c r="J24" s="35">
        <f t="shared" si="34"/>
        <v>91000</v>
      </c>
      <c r="K24" s="35">
        <f t="shared" si="34"/>
        <v>94000</v>
      </c>
      <c r="L24" s="35">
        <f t="shared" si="34"/>
        <v>97000</v>
      </c>
      <c r="N24" s="31">
        <f t="shared" si="22"/>
        <v>608.21917808219177</v>
      </c>
      <c r="O24" s="31">
        <f t="shared" si="4"/>
        <v>624.65753424657532</v>
      </c>
      <c r="P24" s="31">
        <f t="shared" si="5"/>
        <v>641.09589041095887</v>
      </c>
      <c r="Q24" s="31">
        <f t="shared" si="6"/>
        <v>657.53424657534242</v>
      </c>
      <c r="R24" s="31">
        <f t="shared" si="7"/>
        <v>673.97260273972597</v>
      </c>
      <c r="S24" s="31">
        <f t="shared" si="8"/>
        <v>698.6301369863013</v>
      </c>
      <c r="T24" s="31">
        <f t="shared" si="9"/>
        <v>723.28767123287673</v>
      </c>
      <c r="U24" s="31">
        <f t="shared" si="9"/>
        <v>747.94520547945206</v>
      </c>
      <c r="V24" s="31">
        <f t="shared" si="13"/>
        <v>772.60273972602738</v>
      </c>
      <c r="W24" s="31">
        <f t="shared" si="10"/>
        <v>797.2602739726027</v>
      </c>
    </row>
    <row r="25" spans="1:23">
      <c r="A25" s="1" t="s">
        <v>1337</v>
      </c>
      <c r="B25" s="54" t="str">
        <f>_xlfn.XLOOKUP(Tabel12[[#This Row],[VIP]],Tabel19[Job functions],Tabel19[Column1],"",0)&amp;""</f>
        <v/>
      </c>
      <c r="C25" s="226">
        <v>71000</v>
      </c>
      <c r="D25" s="35">
        <f t="shared" si="11"/>
        <v>73000</v>
      </c>
      <c r="E25" s="35">
        <f t="shared" si="11"/>
        <v>75000</v>
      </c>
      <c r="F25" s="35">
        <f t="shared" ref="F25:L25" si="35">ROUNDUP(+E25*$Z$3,-3)</f>
        <v>77000</v>
      </c>
      <c r="G25" s="35">
        <f t="shared" si="35"/>
        <v>79000</v>
      </c>
      <c r="H25" s="35">
        <f t="shared" si="35"/>
        <v>81000</v>
      </c>
      <c r="I25" s="35">
        <f t="shared" si="35"/>
        <v>84000</v>
      </c>
      <c r="J25" s="35">
        <f t="shared" si="35"/>
        <v>87000</v>
      </c>
      <c r="K25" s="35">
        <f t="shared" si="35"/>
        <v>90000</v>
      </c>
      <c r="L25" s="35">
        <f t="shared" si="35"/>
        <v>93000</v>
      </c>
      <c r="N25" s="31">
        <f t="shared" si="22"/>
        <v>583.56164383561645</v>
      </c>
      <c r="O25" s="31">
        <f t="shared" si="4"/>
        <v>600</v>
      </c>
      <c r="P25" s="31">
        <f t="shared" si="5"/>
        <v>616.43835616438355</v>
      </c>
      <c r="Q25" s="31">
        <f t="shared" si="6"/>
        <v>632.8767123287671</v>
      </c>
      <c r="R25" s="31">
        <f t="shared" si="7"/>
        <v>649.31506849315065</v>
      </c>
      <c r="S25" s="31">
        <f t="shared" si="8"/>
        <v>665.7534246575342</v>
      </c>
      <c r="T25" s="31">
        <f t="shared" si="9"/>
        <v>690.41095890410952</v>
      </c>
      <c r="U25" s="31">
        <f t="shared" si="9"/>
        <v>715.06849315068496</v>
      </c>
      <c r="V25" s="31">
        <f t="shared" si="13"/>
        <v>739.72602739726028</v>
      </c>
      <c r="W25" s="31">
        <f t="shared" si="10"/>
        <v>764.38356164383561</v>
      </c>
    </row>
    <row r="26" spans="1:23">
      <c r="A26" s="1" t="s">
        <v>2140</v>
      </c>
      <c r="B26" s="54" t="str">
        <f>_xlfn.XLOOKUP(Tabel12[[#This Row],[VIP]],Tabel19[Job functions],Tabel19[Column1],"",0)&amp;""</f>
        <v/>
      </c>
      <c r="C26" s="226">
        <v>54000</v>
      </c>
      <c r="D26" s="35">
        <f t="shared" si="11"/>
        <v>56000</v>
      </c>
      <c r="E26" s="35">
        <f t="shared" si="11"/>
        <v>58000</v>
      </c>
      <c r="F26" s="35">
        <f t="shared" ref="F26:L26" si="36">ROUNDUP(+E26*$Z$3,-3)</f>
        <v>60000</v>
      </c>
      <c r="G26" s="35">
        <f t="shared" si="36"/>
        <v>62000</v>
      </c>
      <c r="H26" s="35">
        <f t="shared" si="36"/>
        <v>64000</v>
      </c>
      <c r="I26" s="35">
        <f t="shared" si="36"/>
        <v>66000</v>
      </c>
      <c r="J26" s="35">
        <f t="shared" si="36"/>
        <v>68000</v>
      </c>
      <c r="K26" s="35">
        <f t="shared" si="36"/>
        <v>70000</v>
      </c>
      <c r="L26" s="35">
        <f t="shared" si="36"/>
        <v>72000</v>
      </c>
      <c r="N26" s="31">
        <f t="shared" si="22"/>
        <v>443.83561643835617</v>
      </c>
      <c r="O26" s="31">
        <f t="shared" si="4"/>
        <v>460.27397260273972</v>
      </c>
      <c r="P26" s="31">
        <f t="shared" si="5"/>
        <v>476.71232876712327</v>
      </c>
      <c r="Q26" s="31">
        <f t="shared" si="6"/>
        <v>493.15068493150682</v>
      </c>
      <c r="R26" s="31">
        <f t="shared" si="7"/>
        <v>509.58904109589037</v>
      </c>
      <c r="S26" s="31">
        <f t="shared" si="8"/>
        <v>526.02739726027391</v>
      </c>
      <c r="T26" s="31">
        <f t="shared" si="9"/>
        <v>542.46575342465746</v>
      </c>
      <c r="U26" s="31">
        <f t="shared" si="9"/>
        <v>558.90410958904113</v>
      </c>
      <c r="V26" s="31">
        <f t="shared" si="13"/>
        <v>575.34246575342468</v>
      </c>
      <c r="W26" s="31">
        <f t="shared" si="10"/>
        <v>591.78082191780823</v>
      </c>
    </row>
    <row r="27" spans="1:23">
      <c r="A27" s="1" t="s">
        <v>2139</v>
      </c>
      <c r="B27" s="54" t="str">
        <f>_xlfn.XLOOKUP(Tabel12[[#This Row],[VIP]],Tabel19[Job functions],Tabel19[Column1],"",0)&amp;""</f>
        <v/>
      </c>
      <c r="C27" s="226">
        <v>53000</v>
      </c>
      <c r="D27" s="35">
        <f t="shared" si="11"/>
        <v>55000</v>
      </c>
      <c r="E27" s="35">
        <f t="shared" si="11"/>
        <v>57000</v>
      </c>
      <c r="F27" s="35">
        <f t="shared" ref="F27:L27" si="37">ROUNDUP(+E27*$Z$3,-3)</f>
        <v>59000</v>
      </c>
      <c r="G27" s="35">
        <f t="shared" si="37"/>
        <v>61000</v>
      </c>
      <c r="H27" s="35">
        <f t="shared" si="37"/>
        <v>63000</v>
      </c>
      <c r="I27" s="35">
        <f t="shared" si="37"/>
        <v>65000</v>
      </c>
      <c r="J27" s="35">
        <f t="shared" si="37"/>
        <v>67000</v>
      </c>
      <c r="K27" s="35">
        <f t="shared" si="37"/>
        <v>69000</v>
      </c>
      <c r="L27" s="35">
        <f t="shared" si="37"/>
        <v>71000</v>
      </c>
      <c r="N27" s="31">
        <f t="shared" si="22"/>
        <v>435.61643835616439</v>
      </c>
      <c r="O27" s="31">
        <f t="shared" si="4"/>
        <v>452.05479452054794</v>
      </c>
      <c r="P27" s="31">
        <f t="shared" si="5"/>
        <v>468.49315068493149</v>
      </c>
      <c r="Q27" s="31">
        <f t="shared" si="6"/>
        <v>484.93150684931504</v>
      </c>
      <c r="R27" s="31">
        <f t="shared" si="7"/>
        <v>501.36986301369859</v>
      </c>
      <c r="S27" s="31">
        <f t="shared" si="8"/>
        <v>517.80821917808214</v>
      </c>
      <c r="T27" s="31">
        <f t="shared" si="9"/>
        <v>534.24657534246569</v>
      </c>
      <c r="U27" s="31">
        <f t="shared" si="9"/>
        <v>550.68493150684924</v>
      </c>
      <c r="V27" s="31">
        <f t="shared" si="13"/>
        <v>567.1232876712329</v>
      </c>
      <c r="W27" s="31">
        <f t="shared" si="10"/>
        <v>583.56164383561645</v>
      </c>
    </row>
    <row r="28" spans="1:23">
      <c r="B28" s="54" t="str">
        <f>_xlfn.XLOOKUP(Tabel12[[#This Row],[VIP]],Tabel19[Job functions],Tabel19[Column1],"",0)&amp;""</f>
        <v/>
      </c>
      <c r="C28" s="67">
        <v>0</v>
      </c>
      <c r="D28" s="35">
        <f t="shared" si="11"/>
        <v>0</v>
      </c>
      <c r="E28" s="35">
        <f t="shared" si="11"/>
        <v>0</v>
      </c>
      <c r="F28" s="35">
        <f t="shared" ref="F28:L28" si="38">ROUNDUP(+E28*$Z$3,-3)</f>
        <v>0</v>
      </c>
      <c r="G28" s="35">
        <f t="shared" si="38"/>
        <v>0</v>
      </c>
      <c r="H28" s="35">
        <f t="shared" si="38"/>
        <v>0</v>
      </c>
      <c r="I28" s="35">
        <f t="shared" si="38"/>
        <v>0</v>
      </c>
      <c r="J28" s="35">
        <f t="shared" si="38"/>
        <v>0</v>
      </c>
      <c r="K28" s="35">
        <f t="shared" si="38"/>
        <v>0</v>
      </c>
      <c r="L28" s="35">
        <f t="shared" si="38"/>
        <v>0</v>
      </c>
      <c r="N28" s="31">
        <f t="shared" si="22"/>
        <v>0</v>
      </c>
      <c r="O28" s="31">
        <f t="shared" si="4"/>
        <v>0</v>
      </c>
      <c r="P28" s="31">
        <f t="shared" si="5"/>
        <v>0</v>
      </c>
      <c r="Q28" s="31">
        <f t="shared" si="6"/>
        <v>0</v>
      </c>
      <c r="R28" s="31">
        <f t="shared" si="7"/>
        <v>0</v>
      </c>
      <c r="S28" s="31">
        <f t="shared" si="8"/>
        <v>0</v>
      </c>
      <c r="T28" s="31">
        <f t="shared" si="9"/>
        <v>0</v>
      </c>
      <c r="U28" s="31">
        <f t="shared" si="9"/>
        <v>0</v>
      </c>
      <c r="V28" s="31">
        <f t="shared" si="13"/>
        <v>0</v>
      </c>
      <c r="W28" s="31">
        <f t="shared" si="10"/>
        <v>0</v>
      </c>
    </row>
    <row r="29" spans="1:23">
      <c r="B29" s="54" t="str">
        <f>_xlfn.XLOOKUP(Tabel12[[#This Row],[VIP]],Tabel19[Job functions],Tabel19[Column1],"",0)&amp;""</f>
        <v/>
      </c>
      <c r="C29" s="67">
        <v>0</v>
      </c>
      <c r="D29" s="35">
        <f t="shared" si="11"/>
        <v>0</v>
      </c>
      <c r="E29" s="35">
        <f t="shared" si="11"/>
        <v>0</v>
      </c>
      <c r="F29" s="35">
        <f t="shared" ref="F29:L29" si="39">ROUNDUP(+E29*$Z$3,-3)</f>
        <v>0</v>
      </c>
      <c r="G29" s="35">
        <f t="shared" si="39"/>
        <v>0</v>
      </c>
      <c r="H29" s="35">
        <f t="shared" si="39"/>
        <v>0</v>
      </c>
      <c r="I29" s="35">
        <f t="shared" si="39"/>
        <v>0</v>
      </c>
      <c r="J29" s="35">
        <f t="shared" si="39"/>
        <v>0</v>
      </c>
      <c r="K29" s="35">
        <f t="shared" si="39"/>
        <v>0</v>
      </c>
      <c r="L29" s="35">
        <f t="shared" si="39"/>
        <v>0</v>
      </c>
      <c r="N29" s="31">
        <f t="shared" si="22"/>
        <v>0</v>
      </c>
      <c r="O29" s="31">
        <f t="shared" si="4"/>
        <v>0</v>
      </c>
      <c r="P29" s="31">
        <f t="shared" si="5"/>
        <v>0</v>
      </c>
      <c r="Q29" s="31">
        <f t="shared" si="6"/>
        <v>0</v>
      </c>
      <c r="R29" s="31">
        <f t="shared" si="7"/>
        <v>0</v>
      </c>
      <c r="S29" s="31">
        <f t="shared" si="8"/>
        <v>0</v>
      </c>
      <c r="T29" s="31">
        <f t="shared" si="9"/>
        <v>0</v>
      </c>
      <c r="U29" s="31">
        <f t="shared" si="9"/>
        <v>0</v>
      </c>
      <c r="V29" s="31">
        <f t="shared" si="13"/>
        <v>0</v>
      </c>
      <c r="W29" s="31">
        <f t="shared" si="10"/>
        <v>0</v>
      </c>
    </row>
    <row r="30" spans="1:23">
      <c r="B30" s="54" t="str">
        <f>_xlfn.XLOOKUP(Tabel12[[#This Row],[VIP]],Tabel19[Job functions],Tabel19[Column1],"",0)&amp;""</f>
        <v/>
      </c>
      <c r="C30" s="67">
        <v>0</v>
      </c>
      <c r="D30" s="35">
        <f t="shared" si="11"/>
        <v>0</v>
      </c>
      <c r="E30" s="35">
        <f t="shared" si="11"/>
        <v>0</v>
      </c>
      <c r="F30" s="35">
        <f t="shared" ref="F30:L30" si="40">ROUNDUP(+E30*$Z$3,-3)</f>
        <v>0</v>
      </c>
      <c r="G30" s="35">
        <f t="shared" si="40"/>
        <v>0</v>
      </c>
      <c r="H30" s="35">
        <f t="shared" si="40"/>
        <v>0</v>
      </c>
      <c r="I30" s="35">
        <f t="shared" si="40"/>
        <v>0</v>
      </c>
      <c r="J30" s="35">
        <f t="shared" si="40"/>
        <v>0</v>
      </c>
      <c r="K30" s="35">
        <f t="shared" si="40"/>
        <v>0</v>
      </c>
      <c r="L30" s="35">
        <f t="shared" si="40"/>
        <v>0</v>
      </c>
      <c r="N30" s="31">
        <f t="shared" si="22"/>
        <v>0</v>
      </c>
      <c r="O30" s="31">
        <f t="shared" si="4"/>
        <v>0</v>
      </c>
      <c r="P30" s="31">
        <f t="shared" si="5"/>
        <v>0</v>
      </c>
      <c r="Q30" s="31">
        <f t="shared" si="6"/>
        <v>0</v>
      </c>
      <c r="R30" s="31">
        <f t="shared" si="7"/>
        <v>0</v>
      </c>
      <c r="S30" s="31">
        <f t="shared" si="8"/>
        <v>0</v>
      </c>
      <c r="T30" s="31">
        <f t="shared" si="9"/>
        <v>0</v>
      </c>
      <c r="U30" s="31">
        <f t="shared" si="9"/>
        <v>0</v>
      </c>
      <c r="V30" s="31">
        <f t="shared" si="13"/>
        <v>0</v>
      </c>
      <c r="W30" s="31">
        <f t="shared" si="10"/>
        <v>0</v>
      </c>
    </row>
    <row r="32" spans="1:23">
      <c r="A32" s="2" t="s">
        <v>8</v>
      </c>
      <c r="B32" s="2" t="s">
        <v>19</v>
      </c>
      <c r="C32" s="2" t="s">
        <v>97</v>
      </c>
      <c r="D32" s="42" t="s">
        <v>110</v>
      </c>
    </row>
    <row r="33" spans="1:24">
      <c r="A33" s="1" t="s">
        <v>1238</v>
      </c>
      <c r="B33" s="54" t="str">
        <f>_xlfn.XLOOKUP(Tabel13[[#This Row],[TAP]],Tabel19[Job functions],Tabel19[Column1],"",0)&amp;""</f>
        <v/>
      </c>
    </row>
    <row r="34" spans="1:24">
      <c r="A34" s="1" t="s">
        <v>39</v>
      </c>
      <c r="B34" s="54" t="str">
        <f>_xlfn.XLOOKUP(Tabel13[[#This Row],[TAP]],Tabel19[Job functions],Tabel19[Column1],"",0)&amp;""</f>
        <v/>
      </c>
      <c r="C34" s="226">
        <v>25000</v>
      </c>
      <c r="D34" s="38">
        <f t="shared" ref="D34:D54" si="41">ROUNDUP(+C34*$Z$3,-2)</f>
        <v>25700</v>
      </c>
      <c r="E34" s="39">
        <f t="shared" ref="E34:J39" si="42">ROUNDUP(+D34*$Z$3,-2)</f>
        <v>26400</v>
      </c>
      <c r="F34" s="39">
        <f t="shared" si="42"/>
        <v>27100</v>
      </c>
      <c r="G34" s="39">
        <f t="shared" si="42"/>
        <v>27800</v>
      </c>
      <c r="H34" s="39">
        <f t="shared" si="42"/>
        <v>28500</v>
      </c>
      <c r="I34" s="39">
        <f t="shared" si="42"/>
        <v>29300</v>
      </c>
      <c r="J34" s="39">
        <f t="shared" si="42"/>
        <v>30100</v>
      </c>
      <c r="K34" s="39">
        <f t="shared" ref="K34:K54" si="43">ROUNDUP(+J34*$Z$3,-2)</f>
        <v>30900</v>
      </c>
      <c r="L34" s="39">
        <f t="shared" ref="L34:L54" si="44">ROUNDUP(+K34*$Z$3,-2)</f>
        <v>31700</v>
      </c>
      <c r="N34" s="39">
        <f t="shared" ref="N34:N54" si="45">+C34/$Z$5</f>
        <v>205.47945205479451</v>
      </c>
      <c r="O34" s="39">
        <f t="shared" ref="O34:O54" si="46">+D34/$Z$5</f>
        <v>211.23287671232876</v>
      </c>
      <c r="P34" s="39">
        <f t="shared" ref="P34:P54" si="47">+E34/$Z$5</f>
        <v>216.98630136986301</v>
      </c>
      <c r="Q34" s="39">
        <f t="shared" ref="Q34:Q54" si="48">+F34/$Z$5</f>
        <v>222.73972602739724</v>
      </c>
      <c r="R34" s="39">
        <f t="shared" ref="R34:R54" si="49">+G34/$Z$5</f>
        <v>228.49315068493149</v>
      </c>
      <c r="S34" s="39">
        <f t="shared" ref="S34:S54" si="50">+H34/$Z$5</f>
        <v>234.24657534246575</v>
      </c>
      <c r="T34" s="39">
        <f t="shared" ref="T34:U54" si="51">+I34/$Z$5</f>
        <v>240.82191780821915</v>
      </c>
      <c r="U34" s="39">
        <f t="shared" si="51"/>
        <v>247.39726027397259</v>
      </c>
      <c r="V34" s="39">
        <f t="shared" ref="V34:V54" si="52">+K34/$Z$5</f>
        <v>253.97260273972603</v>
      </c>
      <c r="W34" s="39">
        <f t="shared" ref="W34:W54" si="53">+L34/$Z$5</f>
        <v>260.54794520547944</v>
      </c>
      <c r="X34" s="42"/>
    </row>
    <row r="35" spans="1:24">
      <c r="A35" s="1" t="s">
        <v>40</v>
      </c>
      <c r="B35" s="54" t="str">
        <f>_xlfn.XLOOKUP(Tabel13[[#This Row],[TAP]],Tabel19[Job functions],Tabel19[Column1],"",0)&amp;""</f>
        <v>TAP/Other Masters degree</v>
      </c>
      <c r="C35" s="226">
        <v>59000</v>
      </c>
      <c r="D35" s="35">
        <f t="shared" si="41"/>
        <v>60500</v>
      </c>
      <c r="E35" s="31">
        <f t="shared" si="42"/>
        <v>62100</v>
      </c>
      <c r="F35" s="31">
        <f t="shared" si="42"/>
        <v>63700</v>
      </c>
      <c r="G35" s="31">
        <f t="shared" si="42"/>
        <v>65300</v>
      </c>
      <c r="H35" s="31">
        <f t="shared" si="42"/>
        <v>67000</v>
      </c>
      <c r="I35" s="31">
        <f t="shared" si="42"/>
        <v>68700</v>
      </c>
      <c r="J35" s="31">
        <f t="shared" si="42"/>
        <v>70500</v>
      </c>
      <c r="K35" s="31">
        <f t="shared" si="43"/>
        <v>72300</v>
      </c>
      <c r="L35" s="31">
        <f t="shared" si="44"/>
        <v>74200</v>
      </c>
      <c r="N35" s="31">
        <f t="shared" si="45"/>
        <v>484.93150684931504</v>
      </c>
      <c r="O35" s="31">
        <f t="shared" si="46"/>
        <v>497.2602739726027</v>
      </c>
      <c r="P35" s="31">
        <f t="shared" si="47"/>
        <v>510.41095890410958</v>
      </c>
      <c r="Q35" s="31">
        <f t="shared" si="48"/>
        <v>523.56164383561645</v>
      </c>
      <c r="R35" s="31">
        <f t="shared" si="49"/>
        <v>536.71232876712327</v>
      </c>
      <c r="S35" s="31">
        <f t="shared" si="50"/>
        <v>550.68493150684924</v>
      </c>
      <c r="T35" s="31">
        <f t="shared" si="51"/>
        <v>564.65753424657532</v>
      </c>
      <c r="U35" s="31">
        <f t="shared" si="51"/>
        <v>579.45205479452056</v>
      </c>
      <c r="V35" s="31">
        <f t="shared" si="52"/>
        <v>594.24657534246569</v>
      </c>
      <c r="W35" s="31">
        <f t="shared" si="53"/>
        <v>609.86301369863008</v>
      </c>
    </row>
    <row r="36" spans="1:24">
      <c r="A36" s="1" t="s">
        <v>53</v>
      </c>
      <c r="B36" s="54" t="str">
        <f>_xlfn.XLOOKUP(Tabel13[[#This Row],[TAP]],Tabel19[Job functions],Tabel19[Column1],"",0)&amp;""</f>
        <v/>
      </c>
      <c r="C36" s="226">
        <v>57000</v>
      </c>
      <c r="D36" s="35">
        <f t="shared" si="41"/>
        <v>58500</v>
      </c>
      <c r="E36" s="31">
        <f t="shared" si="42"/>
        <v>60000</v>
      </c>
      <c r="F36" s="31">
        <f t="shared" si="42"/>
        <v>61500</v>
      </c>
      <c r="G36" s="31">
        <f t="shared" si="42"/>
        <v>63100</v>
      </c>
      <c r="H36" s="31">
        <f t="shared" si="42"/>
        <v>64700</v>
      </c>
      <c r="I36" s="31">
        <f t="shared" si="42"/>
        <v>66400</v>
      </c>
      <c r="J36" s="31">
        <f t="shared" si="42"/>
        <v>68100</v>
      </c>
      <c r="K36" s="31">
        <f t="shared" si="43"/>
        <v>69900</v>
      </c>
      <c r="L36" s="31">
        <f t="shared" si="44"/>
        <v>71700</v>
      </c>
      <c r="N36" s="31">
        <f t="shared" si="45"/>
        <v>468.49315068493149</v>
      </c>
      <c r="O36" s="31">
        <f t="shared" si="46"/>
        <v>480.82191780821915</v>
      </c>
      <c r="P36" s="31">
        <f t="shared" si="47"/>
        <v>493.15068493150682</v>
      </c>
      <c r="Q36" s="31">
        <f t="shared" si="48"/>
        <v>505.47945205479448</v>
      </c>
      <c r="R36" s="31">
        <f t="shared" si="49"/>
        <v>518.6301369863013</v>
      </c>
      <c r="S36" s="31">
        <f t="shared" si="50"/>
        <v>531.78082191780823</v>
      </c>
      <c r="T36" s="31">
        <f t="shared" si="51"/>
        <v>545.7534246575342</v>
      </c>
      <c r="U36" s="31">
        <f t="shared" si="51"/>
        <v>559.72602739726028</v>
      </c>
      <c r="V36" s="31">
        <f t="shared" si="52"/>
        <v>574.52054794520541</v>
      </c>
      <c r="W36" s="31">
        <f t="shared" si="53"/>
        <v>589.31506849315065</v>
      </c>
    </row>
    <row r="37" spans="1:24">
      <c r="A37" s="1" t="s">
        <v>1973</v>
      </c>
      <c r="B37" s="54" t="str">
        <f>_xlfn.XLOOKUP(Tabel13[[#This Row],[TAP]],Tabel19[Job functions],Tabel19[Column1],"",0)&amp;""</f>
        <v>Laboratory technician</v>
      </c>
      <c r="C37" s="226">
        <v>48000</v>
      </c>
      <c r="D37" s="35">
        <f t="shared" ref="D37" si="54">ROUNDUP(+C37*$Z$3,-2)</f>
        <v>49200</v>
      </c>
      <c r="E37" s="31">
        <f t="shared" ref="E37" si="55">ROUNDUP(+D37*$Z$3,-2)</f>
        <v>50500</v>
      </c>
      <c r="F37" s="31">
        <f t="shared" ref="F37" si="56">ROUNDUP(+E37*$Z$3,-2)</f>
        <v>51800</v>
      </c>
      <c r="G37" s="31">
        <f t="shared" ref="G37" si="57">ROUNDUP(+F37*$Z$3,-2)</f>
        <v>53100</v>
      </c>
      <c r="H37" s="31">
        <f t="shared" ref="H37" si="58">ROUNDUP(+G37*$Z$3,-2)</f>
        <v>54500</v>
      </c>
      <c r="I37" s="31">
        <f t="shared" ref="I37" si="59">ROUNDUP(+H37*$Z$3,-2)</f>
        <v>55900</v>
      </c>
      <c r="J37" s="31">
        <f t="shared" ref="J37" si="60">ROUNDUP(+I37*$Z$3,-2)</f>
        <v>57300</v>
      </c>
      <c r="K37" s="31">
        <f t="shared" ref="K37" si="61">ROUNDUP(+J37*$Z$3,-2)</f>
        <v>58800</v>
      </c>
      <c r="L37" s="31">
        <f t="shared" ref="L37" si="62">ROUNDUP(+K37*$Z$3,-2)</f>
        <v>60300</v>
      </c>
      <c r="N37" s="31">
        <f t="shared" ref="N37" si="63">+C37/$Z$5</f>
        <v>394.52054794520546</v>
      </c>
      <c r="O37" s="31">
        <f t="shared" ref="O37" si="64">+D37/$Z$5</f>
        <v>404.38356164383561</v>
      </c>
      <c r="P37" s="31">
        <f t="shared" ref="P37" si="65">+E37/$Z$5</f>
        <v>415.0684931506849</v>
      </c>
      <c r="Q37" s="31">
        <f t="shared" ref="Q37" si="66">+F37/$Z$5</f>
        <v>425.75342465753425</v>
      </c>
      <c r="R37" s="31">
        <f t="shared" ref="R37" si="67">+G37/$Z$5</f>
        <v>436.43835616438355</v>
      </c>
      <c r="S37" s="31">
        <f t="shared" ref="S37" si="68">+H37/$Z$5</f>
        <v>447.94520547945206</v>
      </c>
      <c r="T37" s="31">
        <f t="shared" ref="T37" si="69">+I37/$Z$5</f>
        <v>459.45205479452051</v>
      </c>
      <c r="U37" s="31">
        <f t="shared" ref="U37" si="70">+J37/$Z$5</f>
        <v>470.95890410958901</v>
      </c>
      <c r="V37" s="31">
        <f t="shared" ref="V37" si="71">+K37/$Z$5</f>
        <v>483.28767123287668</v>
      </c>
      <c r="W37" s="31">
        <f t="shared" ref="W37" si="72">+L37/$Z$5</f>
        <v>495.61643835616434</v>
      </c>
    </row>
    <row r="38" spans="1:24">
      <c r="A38" s="1" t="s">
        <v>226</v>
      </c>
      <c r="B38" s="54" t="str">
        <f>_xlfn.XLOOKUP(Tabel13[[#This Row],[TAP]],Tabel19[Job functions],Tabel19[Column1],"",0)&amp;""</f>
        <v>Laboratory technician</v>
      </c>
      <c r="C38" s="226">
        <v>44000</v>
      </c>
      <c r="D38" s="35">
        <f t="shared" si="41"/>
        <v>45100</v>
      </c>
      <c r="E38" s="31">
        <f t="shared" si="42"/>
        <v>46300</v>
      </c>
      <c r="F38" s="31">
        <f t="shared" si="42"/>
        <v>47500</v>
      </c>
      <c r="G38" s="31">
        <f t="shared" si="42"/>
        <v>48700</v>
      </c>
      <c r="H38" s="31">
        <f t="shared" si="42"/>
        <v>50000</v>
      </c>
      <c r="I38" s="31">
        <f t="shared" si="42"/>
        <v>51300</v>
      </c>
      <c r="J38" s="31">
        <f t="shared" si="42"/>
        <v>52600</v>
      </c>
      <c r="K38" s="31">
        <f t="shared" si="43"/>
        <v>54000</v>
      </c>
      <c r="L38" s="31">
        <f t="shared" si="44"/>
        <v>55400</v>
      </c>
      <c r="N38" s="31">
        <f t="shared" si="45"/>
        <v>361.64383561643837</v>
      </c>
      <c r="O38" s="31">
        <f t="shared" si="46"/>
        <v>370.6849315068493</v>
      </c>
      <c r="P38" s="31">
        <f t="shared" si="47"/>
        <v>380.54794520547944</v>
      </c>
      <c r="Q38" s="31">
        <f t="shared" si="48"/>
        <v>390.41095890410958</v>
      </c>
      <c r="R38" s="31">
        <f t="shared" si="49"/>
        <v>400.27397260273972</v>
      </c>
      <c r="S38" s="31">
        <f t="shared" si="50"/>
        <v>410.95890410958901</v>
      </c>
      <c r="T38" s="31">
        <f t="shared" si="51"/>
        <v>421.64383561643837</v>
      </c>
      <c r="U38" s="31">
        <f t="shared" si="51"/>
        <v>432.32876712328766</v>
      </c>
      <c r="V38" s="31">
        <f t="shared" si="52"/>
        <v>443.83561643835617</v>
      </c>
      <c r="W38" s="31">
        <f t="shared" si="53"/>
        <v>455.34246575342462</v>
      </c>
    </row>
    <row r="39" spans="1:24">
      <c r="A39" s="1" t="s">
        <v>227</v>
      </c>
      <c r="B39" s="54" t="str">
        <f>_xlfn.XLOOKUP(Tabel13[[#This Row],[TAP]],Tabel19[Job functions],Tabel19[Column1],"",0)&amp;""</f>
        <v>Laboratory technician</v>
      </c>
      <c r="C39" s="226">
        <v>41000</v>
      </c>
      <c r="D39" s="35">
        <f t="shared" si="41"/>
        <v>42100</v>
      </c>
      <c r="E39" s="31">
        <f t="shared" si="42"/>
        <v>43200</v>
      </c>
      <c r="F39" s="31">
        <f t="shared" si="42"/>
        <v>44300</v>
      </c>
      <c r="G39" s="31">
        <f t="shared" si="42"/>
        <v>45500</v>
      </c>
      <c r="H39" s="31">
        <f t="shared" si="42"/>
        <v>46700</v>
      </c>
      <c r="I39" s="31">
        <f t="shared" si="42"/>
        <v>47900</v>
      </c>
      <c r="J39" s="31">
        <f t="shared" si="42"/>
        <v>49100</v>
      </c>
      <c r="K39" s="31">
        <f t="shared" si="43"/>
        <v>50400</v>
      </c>
      <c r="L39" s="31">
        <f t="shared" si="44"/>
        <v>51700</v>
      </c>
      <c r="N39" s="31">
        <f t="shared" si="45"/>
        <v>336.98630136986299</v>
      </c>
      <c r="O39" s="31">
        <f t="shared" si="46"/>
        <v>346.02739726027397</v>
      </c>
      <c r="P39" s="31">
        <f t="shared" si="47"/>
        <v>355.0684931506849</v>
      </c>
      <c r="Q39" s="31">
        <f t="shared" si="48"/>
        <v>364.10958904109589</v>
      </c>
      <c r="R39" s="31">
        <f t="shared" si="49"/>
        <v>373.97260273972603</v>
      </c>
      <c r="S39" s="31">
        <f t="shared" si="50"/>
        <v>383.83561643835617</v>
      </c>
      <c r="T39" s="31">
        <f t="shared" si="51"/>
        <v>393.69863013698631</v>
      </c>
      <c r="U39" s="31">
        <f t="shared" si="51"/>
        <v>403.56164383561645</v>
      </c>
      <c r="V39" s="31">
        <f t="shared" si="52"/>
        <v>414.24657534246575</v>
      </c>
      <c r="W39" s="31">
        <f t="shared" si="53"/>
        <v>424.93150684931504</v>
      </c>
    </row>
    <row r="40" spans="1:24">
      <c r="A40" s="1" t="s">
        <v>1972</v>
      </c>
      <c r="B40" s="54" t="str">
        <f>_xlfn.XLOOKUP(Tabel13[[#This Row],[TAP]],Tabel19[Job functions],Tabel19[Column1],"",0)&amp;""</f>
        <v>Technician</v>
      </c>
      <c r="C40" s="226">
        <v>53000</v>
      </c>
      <c r="D40" s="35">
        <f t="shared" ref="D40" si="73">ROUNDUP(+C40*$Z$3,-2)</f>
        <v>54400</v>
      </c>
      <c r="E40" s="31">
        <f t="shared" ref="E40" si="74">ROUNDUP(+D40*$Z$3,-2)</f>
        <v>55800</v>
      </c>
      <c r="F40" s="31">
        <f t="shared" ref="F40" si="75">ROUNDUP(+E40*$Z$3,-2)</f>
        <v>57200</v>
      </c>
      <c r="G40" s="31">
        <f t="shared" ref="G40" si="76">ROUNDUP(+F40*$Z$3,-2)</f>
        <v>58700</v>
      </c>
      <c r="H40" s="31">
        <f t="shared" ref="H40" si="77">ROUNDUP(+G40*$Z$3,-2)</f>
        <v>60200</v>
      </c>
      <c r="I40" s="31">
        <f t="shared" ref="I40" si="78">ROUNDUP(+H40*$Z$3,-2)</f>
        <v>61800</v>
      </c>
      <c r="J40" s="31">
        <f t="shared" ref="J40" si="79">ROUNDUP(+I40*$Z$3,-2)</f>
        <v>63400</v>
      </c>
      <c r="K40" s="31">
        <f t="shared" ref="K40" si="80">ROUNDUP(+J40*$Z$3,-2)</f>
        <v>65000</v>
      </c>
      <c r="L40" s="31">
        <f t="shared" ref="L40" si="81">ROUNDUP(+K40*$Z$3,-2)</f>
        <v>66700</v>
      </c>
      <c r="N40" s="31">
        <f t="shared" ref="N40" si="82">+C40/$Z$5</f>
        <v>435.61643835616439</v>
      </c>
      <c r="O40" s="31">
        <f t="shared" ref="O40" si="83">+D40/$Z$5</f>
        <v>447.12328767123284</v>
      </c>
      <c r="P40" s="31">
        <f t="shared" ref="P40" si="84">+E40/$Z$5</f>
        <v>458.63013698630135</v>
      </c>
      <c r="Q40" s="31">
        <f t="shared" ref="Q40" si="85">+F40/$Z$5</f>
        <v>470.13698630136986</v>
      </c>
      <c r="R40" s="31">
        <f t="shared" ref="R40" si="86">+G40/$Z$5</f>
        <v>482.46575342465752</v>
      </c>
      <c r="S40" s="31">
        <f t="shared" ref="S40" si="87">+H40/$Z$5</f>
        <v>494.79452054794518</v>
      </c>
      <c r="T40" s="31">
        <f t="shared" ref="T40" si="88">+I40/$Z$5</f>
        <v>507.94520547945206</v>
      </c>
      <c r="U40" s="31">
        <f t="shared" ref="U40" si="89">+J40/$Z$5</f>
        <v>521.09589041095887</v>
      </c>
      <c r="V40" s="31">
        <f t="shared" ref="V40" si="90">+K40/$Z$5</f>
        <v>534.24657534246569</v>
      </c>
      <c r="W40" s="31">
        <f t="shared" ref="W40" si="91">+L40/$Z$5</f>
        <v>548.21917808219177</v>
      </c>
    </row>
    <row r="41" spans="1:24">
      <c r="A41" s="1" t="s">
        <v>228</v>
      </c>
      <c r="B41" s="54" t="str">
        <f>_xlfn.XLOOKUP(Tabel13[[#This Row],[TAP]],Tabel19[Job functions],Tabel19[Column1],"",0)&amp;""</f>
        <v>Technician</v>
      </c>
      <c r="C41" s="226">
        <v>50000</v>
      </c>
      <c r="D41" s="35">
        <f t="shared" si="41"/>
        <v>51300</v>
      </c>
      <c r="E41" s="31">
        <f t="shared" ref="E41:J43" si="92">ROUNDUP(+D41*$Z$3,-2)</f>
        <v>52600</v>
      </c>
      <c r="F41" s="31">
        <f t="shared" si="92"/>
        <v>54000</v>
      </c>
      <c r="G41" s="31">
        <f t="shared" si="92"/>
        <v>55400</v>
      </c>
      <c r="H41" s="31">
        <f t="shared" si="92"/>
        <v>56800</v>
      </c>
      <c r="I41" s="31">
        <f t="shared" si="92"/>
        <v>58300</v>
      </c>
      <c r="J41" s="31">
        <f t="shared" si="92"/>
        <v>59800</v>
      </c>
      <c r="K41" s="31">
        <f t="shared" si="43"/>
        <v>61300</v>
      </c>
      <c r="L41" s="31">
        <f t="shared" si="44"/>
        <v>62900</v>
      </c>
      <c r="N41" s="31">
        <f t="shared" si="45"/>
        <v>410.95890410958901</v>
      </c>
      <c r="O41" s="31">
        <f t="shared" si="46"/>
        <v>421.64383561643837</v>
      </c>
      <c r="P41" s="31">
        <f t="shared" si="47"/>
        <v>432.32876712328766</v>
      </c>
      <c r="Q41" s="31">
        <f t="shared" si="48"/>
        <v>443.83561643835617</v>
      </c>
      <c r="R41" s="31">
        <f t="shared" si="49"/>
        <v>455.34246575342462</v>
      </c>
      <c r="S41" s="31">
        <f t="shared" si="50"/>
        <v>466.84931506849313</v>
      </c>
      <c r="T41" s="31">
        <f t="shared" si="51"/>
        <v>479.17808219178079</v>
      </c>
      <c r="U41" s="31">
        <f t="shared" si="51"/>
        <v>491.50684931506845</v>
      </c>
      <c r="V41" s="31">
        <f t="shared" si="52"/>
        <v>503.83561643835617</v>
      </c>
      <c r="W41" s="31">
        <f t="shared" si="53"/>
        <v>516.98630136986299</v>
      </c>
    </row>
    <row r="42" spans="1:24">
      <c r="A42" s="1" t="s">
        <v>229</v>
      </c>
      <c r="B42" s="54" t="str">
        <f>_xlfn.XLOOKUP(Tabel13[[#This Row],[TAP]],Tabel19[Job functions],Tabel19[Column1],"",0)&amp;""</f>
        <v>Technician</v>
      </c>
      <c r="C42" s="226">
        <v>45000</v>
      </c>
      <c r="D42" s="35">
        <f t="shared" si="41"/>
        <v>46200</v>
      </c>
      <c r="E42" s="31">
        <f t="shared" si="92"/>
        <v>47400</v>
      </c>
      <c r="F42" s="31">
        <f t="shared" si="92"/>
        <v>48600</v>
      </c>
      <c r="G42" s="31">
        <f t="shared" si="92"/>
        <v>49900</v>
      </c>
      <c r="H42" s="31">
        <f t="shared" si="92"/>
        <v>51200</v>
      </c>
      <c r="I42" s="31">
        <f t="shared" si="92"/>
        <v>52500</v>
      </c>
      <c r="J42" s="31">
        <f t="shared" si="92"/>
        <v>53900</v>
      </c>
      <c r="K42" s="31">
        <f t="shared" si="43"/>
        <v>55300</v>
      </c>
      <c r="L42" s="31">
        <f t="shared" si="44"/>
        <v>56700</v>
      </c>
      <c r="N42" s="31">
        <f t="shared" si="45"/>
        <v>369.86301369863014</v>
      </c>
      <c r="O42" s="31">
        <f t="shared" si="46"/>
        <v>379.72602739726028</v>
      </c>
      <c r="P42" s="31">
        <f t="shared" si="47"/>
        <v>389.58904109589042</v>
      </c>
      <c r="Q42" s="31">
        <f t="shared" si="48"/>
        <v>399.45205479452051</v>
      </c>
      <c r="R42" s="31">
        <f t="shared" si="49"/>
        <v>410.13698630136986</v>
      </c>
      <c r="S42" s="31">
        <f t="shared" si="50"/>
        <v>420.82191780821915</v>
      </c>
      <c r="T42" s="31">
        <f t="shared" si="51"/>
        <v>431.50684931506845</v>
      </c>
      <c r="U42" s="31">
        <f t="shared" si="51"/>
        <v>443.01369863013696</v>
      </c>
      <c r="V42" s="31">
        <f t="shared" si="52"/>
        <v>454.52054794520546</v>
      </c>
      <c r="W42" s="31">
        <f t="shared" si="53"/>
        <v>466.02739726027397</v>
      </c>
    </row>
    <row r="43" spans="1:24">
      <c r="A43" s="1" t="s">
        <v>230</v>
      </c>
      <c r="B43" s="54" t="str">
        <f>_xlfn.XLOOKUP(Tabel13[[#This Row],[TAP]],Tabel19[Job functions],Tabel19[Column1],"",0)&amp;""</f>
        <v/>
      </c>
      <c r="C43" s="226">
        <v>47000</v>
      </c>
      <c r="D43" s="35">
        <f t="shared" si="41"/>
        <v>48200</v>
      </c>
      <c r="E43" s="31">
        <f t="shared" si="92"/>
        <v>49500</v>
      </c>
      <c r="F43" s="31">
        <f t="shared" si="92"/>
        <v>50800</v>
      </c>
      <c r="G43" s="31">
        <f t="shared" si="92"/>
        <v>52100</v>
      </c>
      <c r="H43" s="31">
        <f t="shared" si="92"/>
        <v>53500</v>
      </c>
      <c r="I43" s="31">
        <f t="shared" si="92"/>
        <v>54900</v>
      </c>
      <c r="J43" s="31">
        <f t="shared" si="92"/>
        <v>56300</v>
      </c>
      <c r="K43" s="31">
        <f t="shared" si="43"/>
        <v>57800</v>
      </c>
      <c r="L43" s="31">
        <f t="shared" si="44"/>
        <v>59300</v>
      </c>
      <c r="N43" s="31">
        <f t="shared" si="45"/>
        <v>386.30136986301369</v>
      </c>
      <c r="O43" s="31">
        <f t="shared" si="46"/>
        <v>396.16438356164383</v>
      </c>
      <c r="P43" s="31">
        <f t="shared" si="47"/>
        <v>406.84931506849313</v>
      </c>
      <c r="Q43" s="31">
        <f t="shared" si="48"/>
        <v>417.53424657534242</v>
      </c>
      <c r="R43" s="31">
        <f t="shared" si="49"/>
        <v>428.21917808219177</v>
      </c>
      <c r="S43" s="31">
        <f t="shared" si="50"/>
        <v>439.72602739726028</v>
      </c>
      <c r="T43" s="31">
        <f t="shared" si="51"/>
        <v>451.23287671232873</v>
      </c>
      <c r="U43" s="31">
        <f t="shared" si="51"/>
        <v>462.73972602739724</v>
      </c>
      <c r="V43" s="31">
        <f t="shared" si="52"/>
        <v>475.0684931506849</v>
      </c>
      <c r="W43" s="31">
        <f t="shared" si="53"/>
        <v>487.39726027397256</v>
      </c>
    </row>
    <row r="44" spans="1:24">
      <c r="A44" s="1" t="s">
        <v>718</v>
      </c>
      <c r="B44" s="54" t="str">
        <f>_xlfn.XLOOKUP(Tabel13[[#This Row],[TAP]],Tabel19[Job functions],Tabel19[Column1],"",0)&amp;""</f>
        <v/>
      </c>
      <c r="C44" s="226">
        <v>46000</v>
      </c>
      <c r="D44" s="35">
        <f t="shared" si="41"/>
        <v>47200</v>
      </c>
      <c r="E44" s="31">
        <f t="shared" ref="E44:J46" si="93">ROUNDUP(+D44*$Z$3,-2)</f>
        <v>48400</v>
      </c>
      <c r="F44" s="31">
        <f t="shared" si="93"/>
        <v>49700</v>
      </c>
      <c r="G44" s="31">
        <f t="shared" si="93"/>
        <v>51000</v>
      </c>
      <c r="H44" s="31">
        <f t="shared" si="93"/>
        <v>52300</v>
      </c>
      <c r="I44" s="31">
        <f t="shared" si="93"/>
        <v>53700</v>
      </c>
      <c r="J44" s="31">
        <f t="shared" si="93"/>
        <v>55100</v>
      </c>
      <c r="K44" s="31">
        <f t="shared" si="43"/>
        <v>56500</v>
      </c>
      <c r="L44" s="31">
        <f t="shared" si="44"/>
        <v>58000</v>
      </c>
      <c r="N44" s="31">
        <f t="shared" si="45"/>
        <v>378.08219178082192</v>
      </c>
      <c r="O44" s="31">
        <f t="shared" si="46"/>
        <v>387.94520547945206</v>
      </c>
      <c r="P44" s="31">
        <f t="shared" si="47"/>
        <v>397.8082191780822</v>
      </c>
      <c r="Q44" s="31">
        <f t="shared" si="48"/>
        <v>408.49315068493149</v>
      </c>
      <c r="R44" s="31">
        <f t="shared" si="49"/>
        <v>419.17808219178079</v>
      </c>
      <c r="S44" s="31">
        <f t="shared" si="50"/>
        <v>429.86301369863014</v>
      </c>
      <c r="T44" s="31">
        <f t="shared" si="51"/>
        <v>441.36986301369859</v>
      </c>
      <c r="U44" s="31">
        <f t="shared" si="51"/>
        <v>452.8767123287671</v>
      </c>
      <c r="V44" s="31">
        <f t="shared" si="52"/>
        <v>464.38356164383561</v>
      </c>
      <c r="W44" s="31">
        <f t="shared" si="53"/>
        <v>476.71232876712327</v>
      </c>
    </row>
    <row r="45" spans="1:24">
      <c r="A45" s="1" t="s">
        <v>1338</v>
      </c>
      <c r="B45" s="54" t="str">
        <f>_xlfn.XLOOKUP(Tabel13[[#This Row],[TAP]],Tabel19[Job functions],Tabel19[Column1],"",0)&amp;""</f>
        <v/>
      </c>
      <c r="C45" s="226">
        <v>69000</v>
      </c>
      <c r="D45" s="35">
        <f t="shared" si="41"/>
        <v>70800</v>
      </c>
      <c r="E45" s="31">
        <f t="shared" si="93"/>
        <v>72600</v>
      </c>
      <c r="F45" s="31">
        <f t="shared" si="93"/>
        <v>74500</v>
      </c>
      <c r="G45" s="31">
        <f t="shared" si="93"/>
        <v>76400</v>
      </c>
      <c r="H45" s="31">
        <f t="shared" si="93"/>
        <v>78400</v>
      </c>
      <c r="I45" s="31">
        <f t="shared" si="93"/>
        <v>80400</v>
      </c>
      <c r="J45" s="31">
        <f t="shared" si="93"/>
        <v>82500</v>
      </c>
      <c r="K45" s="31">
        <f t="shared" si="43"/>
        <v>84600</v>
      </c>
      <c r="L45" s="31">
        <f t="shared" si="44"/>
        <v>86800</v>
      </c>
      <c r="N45" s="31">
        <f t="shared" si="45"/>
        <v>567.1232876712329</v>
      </c>
      <c r="O45" s="31">
        <f t="shared" si="46"/>
        <v>581.91780821917803</v>
      </c>
      <c r="P45" s="31">
        <f t="shared" si="47"/>
        <v>596.71232876712327</v>
      </c>
      <c r="Q45" s="31">
        <f t="shared" si="48"/>
        <v>612.32876712328766</v>
      </c>
      <c r="R45" s="31">
        <f t="shared" si="49"/>
        <v>627.94520547945206</v>
      </c>
      <c r="S45" s="31">
        <f t="shared" si="50"/>
        <v>644.38356164383561</v>
      </c>
      <c r="T45" s="31">
        <f t="shared" si="51"/>
        <v>660.82191780821915</v>
      </c>
      <c r="U45" s="31">
        <f t="shared" si="51"/>
        <v>678.08219178082186</v>
      </c>
      <c r="V45" s="31">
        <f t="shared" si="52"/>
        <v>695.34246575342468</v>
      </c>
      <c r="W45" s="31">
        <f t="shared" si="53"/>
        <v>713.42465753424653</v>
      </c>
    </row>
    <row r="46" spans="1:24">
      <c r="A46" s="1" t="s">
        <v>1339</v>
      </c>
      <c r="B46" s="54" t="str">
        <f>_xlfn.XLOOKUP(Tabel13[[#This Row],[TAP]],Tabel19[Job functions],Tabel19[Column1],"",0)&amp;""</f>
        <v/>
      </c>
      <c r="C46" s="226">
        <v>67000</v>
      </c>
      <c r="D46" s="35">
        <f t="shared" ref="D46" si="94">ROUNDUP(+C46*$Z$3,-2)</f>
        <v>68700</v>
      </c>
      <c r="E46" s="31">
        <f t="shared" si="93"/>
        <v>70500</v>
      </c>
      <c r="F46" s="31">
        <f t="shared" si="93"/>
        <v>72300</v>
      </c>
      <c r="G46" s="31">
        <f t="shared" si="93"/>
        <v>74200</v>
      </c>
      <c r="H46" s="31">
        <f t="shared" si="93"/>
        <v>76100</v>
      </c>
      <c r="I46" s="31">
        <f t="shared" si="93"/>
        <v>78100</v>
      </c>
      <c r="J46" s="31">
        <f t="shared" si="93"/>
        <v>80100</v>
      </c>
      <c r="K46" s="31">
        <f t="shared" ref="K46" si="95">ROUNDUP(+J46*$Z$3,-2)</f>
        <v>82200</v>
      </c>
      <c r="L46" s="31">
        <f t="shared" ref="L46" si="96">ROUNDUP(+K46*$Z$3,-2)</f>
        <v>84300</v>
      </c>
      <c r="N46" s="31">
        <f t="shared" ref="N46" si="97">+C46/$Z$5</f>
        <v>550.68493150684924</v>
      </c>
      <c r="O46" s="31">
        <f t="shared" si="46"/>
        <v>564.65753424657532</v>
      </c>
      <c r="P46" s="31">
        <f t="shared" si="47"/>
        <v>579.45205479452056</v>
      </c>
      <c r="Q46" s="31">
        <f t="shared" si="48"/>
        <v>594.24657534246569</v>
      </c>
      <c r="R46" s="31">
        <f t="shared" si="49"/>
        <v>609.86301369863008</v>
      </c>
      <c r="S46" s="31">
        <f t="shared" si="50"/>
        <v>625.47945205479448</v>
      </c>
      <c r="T46" s="31">
        <f t="shared" si="51"/>
        <v>641.91780821917803</v>
      </c>
      <c r="U46" s="31">
        <f t="shared" si="51"/>
        <v>658.35616438356158</v>
      </c>
      <c r="V46" s="31">
        <f t="shared" ref="V46" si="98">+K46/$Z$5</f>
        <v>675.61643835616439</v>
      </c>
      <c r="W46" s="31">
        <f t="shared" ref="W46" si="99">+L46/$Z$5</f>
        <v>692.8767123287671</v>
      </c>
    </row>
    <row r="47" spans="1:24">
      <c r="A47" s="1" t="s">
        <v>2077</v>
      </c>
      <c r="B47" s="54" t="str">
        <f>_xlfn.XLOOKUP(Tabel13[[#This Row],[TAP]],Tabel19[Job functions],Tabel19[Column1],"",0)&amp;""</f>
        <v/>
      </c>
      <c r="C47" s="226">
        <v>62000</v>
      </c>
      <c r="D47" s="35">
        <f t="shared" si="41"/>
        <v>63600</v>
      </c>
      <c r="E47" s="31">
        <f t="shared" ref="E47:J48" si="100">ROUNDUP(+D47*$Z$3,-2)</f>
        <v>65200</v>
      </c>
      <c r="F47" s="31">
        <f t="shared" si="100"/>
        <v>66900</v>
      </c>
      <c r="G47" s="31">
        <f t="shared" si="100"/>
        <v>68600</v>
      </c>
      <c r="H47" s="31">
        <f t="shared" si="100"/>
        <v>70400</v>
      </c>
      <c r="I47" s="31">
        <f t="shared" si="100"/>
        <v>72200</v>
      </c>
      <c r="J47" s="31">
        <f t="shared" si="100"/>
        <v>74100</v>
      </c>
      <c r="K47" s="31">
        <f t="shared" si="43"/>
        <v>76000</v>
      </c>
      <c r="L47" s="31">
        <f t="shared" si="44"/>
        <v>77900</v>
      </c>
      <c r="N47" s="31">
        <f t="shared" si="45"/>
        <v>509.58904109589037</v>
      </c>
      <c r="O47" s="31">
        <f t="shared" ref="O47:U48" si="101">+D47/$Z$5</f>
        <v>522.7397260273973</v>
      </c>
      <c r="P47" s="31">
        <f t="shared" si="101"/>
        <v>535.89041095890411</v>
      </c>
      <c r="Q47" s="31">
        <f t="shared" si="101"/>
        <v>549.86301369863008</v>
      </c>
      <c r="R47" s="31">
        <f t="shared" si="101"/>
        <v>563.83561643835617</v>
      </c>
      <c r="S47" s="31">
        <f t="shared" si="101"/>
        <v>578.6301369863013</v>
      </c>
      <c r="T47" s="31">
        <f t="shared" si="101"/>
        <v>593.42465753424653</v>
      </c>
      <c r="U47" s="31">
        <f t="shared" si="101"/>
        <v>609.04109589041093</v>
      </c>
      <c r="V47" s="31">
        <f t="shared" si="52"/>
        <v>624.65753424657532</v>
      </c>
      <c r="W47" s="31">
        <f t="shared" si="53"/>
        <v>640.27397260273972</v>
      </c>
    </row>
    <row r="48" spans="1:24">
      <c r="B48" s="54" t="str">
        <f>_xlfn.XLOOKUP(Tabel13[[#This Row],[TAP]],Tabel19[Job functions],Tabel19[Column1],"",0)&amp;""</f>
        <v/>
      </c>
      <c r="C48" s="67">
        <v>0</v>
      </c>
      <c r="D48" s="35">
        <f t="shared" si="41"/>
        <v>0</v>
      </c>
      <c r="E48" s="31">
        <f t="shared" si="100"/>
        <v>0</v>
      </c>
      <c r="F48" s="31">
        <f t="shared" si="100"/>
        <v>0</v>
      </c>
      <c r="G48" s="31">
        <f t="shared" si="100"/>
        <v>0</v>
      </c>
      <c r="H48" s="31">
        <f t="shared" si="100"/>
        <v>0</v>
      </c>
      <c r="I48" s="31">
        <f t="shared" si="100"/>
        <v>0</v>
      </c>
      <c r="J48" s="31">
        <f t="shared" si="100"/>
        <v>0</v>
      </c>
      <c r="K48" s="31">
        <f t="shared" si="43"/>
        <v>0</v>
      </c>
      <c r="L48" s="31">
        <f t="shared" si="44"/>
        <v>0</v>
      </c>
      <c r="N48" s="31">
        <f t="shared" si="45"/>
        <v>0</v>
      </c>
      <c r="O48" s="31">
        <f t="shared" si="101"/>
        <v>0</v>
      </c>
      <c r="P48" s="31">
        <f t="shared" si="101"/>
        <v>0</v>
      </c>
      <c r="Q48" s="31">
        <f t="shared" si="101"/>
        <v>0</v>
      </c>
      <c r="R48" s="31">
        <f t="shared" si="101"/>
        <v>0</v>
      </c>
      <c r="S48" s="31">
        <f t="shared" si="101"/>
        <v>0</v>
      </c>
      <c r="T48" s="31">
        <f t="shared" si="101"/>
        <v>0</v>
      </c>
      <c r="U48" s="31">
        <f t="shared" si="101"/>
        <v>0</v>
      </c>
      <c r="V48" s="31">
        <f t="shared" si="52"/>
        <v>0</v>
      </c>
      <c r="W48" s="31">
        <f t="shared" si="53"/>
        <v>0</v>
      </c>
    </row>
    <row r="49" spans="1:23">
      <c r="B49" s="54" t="str">
        <f>_xlfn.XLOOKUP(Tabel13[[#This Row],[TAP]],Tabel19[Job functions],Tabel19[Column1],"",0)&amp;""</f>
        <v/>
      </c>
      <c r="C49" s="67">
        <v>0</v>
      </c>
      <c r="D49" s="35">
        <f t="shared" si="41"/>
        <v>0</v>
      </c>
      <c r="E49" s="31">
        <f t="shared" ref="E49:J54" si="102">ROUNDUP(+D49*$Z$3,-2)</f>
        <v>0</v>
      </c>
      <c r="F49" s="31">
        <f t="shared" si="102"/>
        <v>0</v>
      </c>
      <c r="G49" s="31">
        <f t="shared" si="102"/>
        <v>0</v>
      </c>
      <c r="H49" s="31">
        <f t="shared" si="102"/>
        <v>0</v>
      </c>
      <c r="I49" s="31">
        <f t="shared" si="102"/>
        <v>0</v>
      </c>
      <c r="J49" s="31">
        <f t="shared" si="102"/>
        <v>0</v>
      </c>
      <c r="K49" s="31">
        <f t="shared" si="43"/>
        <v>0</v>
      </c>
      <c r="L49" s="31">
        <f t="shared" si="44"/>
        <v>0</v>
      </c>
      <c r="N49" s="31">
        <f t="shared" si="45"/>
        <v>0</v>
      </c>
      <c r="O49" s="31">
        <f t="shared" si="46"/>
        <v>0</v>
      </c>
      <c r="P49" s="31">
        <f t="shared" si="47"/>
        <v>0</v>
      </c>
      <c r="Q49" s="31">
        <f t="shared" si="48"/>
        <v>0</v>
      </c>
      <c r="R49" s="31">
        <f t="shared" si="49"/>
        <v>0</v>
      </c>
      <c r="S49" s="31">
        <f t="shared" si="50"/>
        <v>0</v>
      </c>
      <c r="T49" s="31">
        <f t="shared" si="51"/>
        <v>0</v>
      </c>
      <c r="U49" s="31">
        <f t="shared" si="51"/>
        <v>0</v>
      </c>
      <c r="V49" s="31">
        <f t="shared" si="52"/>
        <v>0</v>
      </c>
      <c r="W49" s="31">
        <f t="shared" si="53"/>
        <v>0</v>
      </c>
    </row>
    <row r="50" spans="1:23">
      <c r="B50" s="54" t="str">
        <f>_xlfn.XLOOKUP(Tabel13[[#This Row],[TAP]],Tabel19[Job functions],Tabel19[Column1],"",0)&amp;""</f>
        <v/>
      </c>
      <c r="C50" s="67">
        <v>0</v>
      </c>
      <c r="D50" s="35">
        <f t="shared" si="41"/>
        <v>0</v>
      </c>
      <c r="E50" s="31">
        <f t="shared" si="102"/>
        <v>0</v>
      </c>
      <c r="F50" s="31">
        <f t="shared" si="102"/>
        <v>0</v>
      </c>
      <c r="G50" s="31">
        <f t="shared" si="102"/>
        <v>0</v>
      </c>
      <c r="H50" s="31">
        <f t="shared" si="102"/>
        <v>0</v>
      </c>
      <c r="I50" s="31">
        <f t="shared" si="102"/>
        <v>0</v>
      </c>
      <c r="J50" s="31">
        <f t="shared" si="102"/>
        <v>0</v>
      </c>
      <c r="K50" s="31">
        <f t="shared" si="43"/>
        <v>0</v>
      </c>
      <c r="L50" s="31">
        <f t="shared" si="44"/>
        <v>0</v>
      </c>
      <c r="N50" s="31">
        <f t="shared" si="45"/>
        <v>0</v>
      </c>
      <c r="O50" s="31">
        <f t="shared" si="46"/>
        <v>0</v>
      </c>
      <c r="P50" s="31">
        <f t="shared" si="47"/>
        <v>0</v>
      </c>
      <c r="Q50" s="31">
        <f t="shared" si="48"/>
        <v>0</v>
      </c>
      <c r="R50" s="31">
        <f t="shared" si="49"/>
        <v>0</v>
      </c>
      <c r="S50" s="31">
        <f t="shared" si="50"/>
        <v>0</v>
      </c>
      <c r="T50" s="31">
        <f t="shared" si="51"/>
        <v>0</v>
      </c>
      <c r="U50" s="31">
        <f t="shared" si="51"/>
        <v>0</v>
      </c>
      <c r="V50" s="31">
        <f t="shared" si="52"/>
        <v>0</v>
      </c>
      <c r="W50" s="31">
        <f t="shared" si="53"/>
        <v>0</v>
      </c>
    </row>
    <row r="51" spans="1:23">
      <c r="B51" s="54" t="str">
        <f>_xlfn.XLOOKUP(Tabel13[[#This Row],[TAP]],Tabel19[Job functions],Tabel19[Column1],"",0)&amp;""</f>
        <v/>
      </c>
      <c r="C51" s="67">
        <v>0</v>
      </c>
      <c r="D51" s="35">
        <f t="shared" si="41"/>
        <v>0</v>
      </c>
      <c r="E51" s="31">
        <f t="shared" si="102"/>
        <v>0</v>
      </c>
      <c r="F51" s="31">
        <f t="shared" si="102"/>
        <v>0</v>
      </c>
      <c r="G51" s="31">
        <f t="shared" si="102"/>
        <v>0</v>
      </c>
      <c r="H51" s="31">
        <f t="shared" si="102"/>
        <v>0</v>
      </c>
      <c r="I51" s="31">
        <f t="shared" si="102"/>
        <v>0</v>
      </c>
      <c r="J51" s="31">
        <f t="shared" si="102"/>
        <v>0</v>
      </c>
      <c r="K51" s="31">
        <f t="shared" si="43"/>
        <v>0</v>
      </c>
      <c r="L51" s="31">
        <f t="shared" si="44"/>
        <v>0</v>
      </c>
      <c r="N51" s="31">
        <f t="shared" si="45"/>
        <v>0</v>
      </c>
      <c r="O51" s="31">
        <f t="shared" si="46"/>
        <v>0</v>
      </c>
      <c r="P51" s="31">
        <f t="shared" si="47"/>
        <v>0</v>
      </c>
      <c r="Q51" s="31">
        <f t="shared" si="48"/>
        <v>0</v>
      </c>
      <c r="R51" s="31">
        <f t="shared" si="49"/>
        <v>0</v>
      </c>
      <c r="S51" s="31">
        <f t="shared" si="50"/>
        <v>0</v>
      </c>
      <c r="T51" s="31">
        <f t="shared" si="51"/>
        <v>0</v>
      </c>
      <c r="U51" s="31">
        <f t="shared" si="51"/>
        <v>0</v>
      </c>
      <c r="V51" s="31">
        <f t="shared" si="52"/>
        <v>0</v>
      </c>
      <c r="W51" s="31">
        <f t="shared" si="53"/>
        <v>0</v>
      </c>
    </row>
    <row r="52" spans="1:23">
      <c r="A52"/>
      <c r="B52" s="54" t="str">
        <f>_xlfn.XLOOKUP(Tabel13[[#This Row],[TAP]],Tabel19[Job functions],Tabel19[Column1],"",0)&amp;""</f>
        <v/>
      </c>
      <c r="C52" s="67">
        <v>0</v>
      </c>
      <c r="D52" s="35">
        <f t="shared" si="41"/>
        <v>0</v>
      </c>
      <c r="E52" s="31">
        <f t="shared" si="102"/>
        <v>0</v>
      </c>
      <c r="F52" s="31">
        <f t="shared" si="102"/>
        <v>0</v>
      </c>
      <c r="G52" s="31">
        <f t="shared" si="102"/>
        <v>0</v>
      </c>
      <c r="H52" s="31">
        <f t="shared" si="102"/>
        <v>0</v>
      </c>
      <c r="I52" s="31">
        <f t="shared" si="102"/>
        <v>0</v>
      </c>
      <c r="J52" s="31">
        <f t="shared" si="102"/>
        <v>0</v>
      </c>
      <c r="K52" s="31">
        <f t="shared" si="43"/>
        <v>0</v>
      </c>
      <c r="L52" s="31">
        <f t="shared" si="44"/>
        <v>0</v>
      </c>
      <c r="N52" s="31">
        <f t="shared" si="45"/>
        <v>0</v>
      </c>
      <c r="O52" s="31">
        <f t="shared" ref="O52:U52" si="103">+D52/$Z$5</f>
        <v>0</v>
      </c>
      <c r="P52" s="31">
        <f t="shared" si="103"/>
        <v>0</v>
      </c>
      <c r="Q52" s="31">
        <f t="shared" si="103"/>
        <v>0</v>
      </c>
      <c r="R52" s="31">
        <f t="shared" si="103"/>
        <v>0</v>
      </c>
      <c r="S52" s="31">
        <f t="shared" si="103"/>
        <v>0</v>
      </c>
      <c r="T52" s="31">
        <f t="shared" si="103"/>
        <v>0</v>
      </c>
      <c r="U52" s="31">
        <f t="shared" si="103"/>
        <v>0</v>
      </c>
      <c r="V52" s="31">
        <f t="shared" si="52"/>
        <v>0</v>
      </c>
      <c r="W52" s="31">
        <f t="shared" si="53"/>
        <v>0</v>
      </c>
    </row>
    <row r="53" spans="1:23">
      <c r="B53" s="54" t="str">
        <f>_xlfn.XLOOKUP(Tabel13[[#This Row],[TAP]],Tabel19[Job functions],Tabel19[Column1],"",0)&amp;""</f>
        <v/>
      </c>
      <c r="C53" s="67">
        <v>0</v>
      </c>
      <c r="D53" s="35">
        <f t="shared" si="41"/>
        <v>0</v>
      </c>
      <c r="E53" s="31">
        <f t="shared" si="102"/>
        <v>0</v>
      </c>
      <c r="F53" s="31">
        <f t="shared" si="102"/>
        <v>0</v>
      </c>
      <c r="G53" s="31">
        <f t="shared" si="102"/>
        <v>0</v>
      </c>
      <c r="H53" s="31">
        <f t="shared" si="102"/>
        <v>0</v>
      </c>
      <c r="I53" s="31">
        <f t="shared" si="102"/>
        <v>0</v>
      </c>
      <c r="J53" s="31">
        <f t="shared" si="102"/>
        <v>0</v>
      </c>
      <c r="K53" s="31">
        <f t="shared" si="43"/>
        <v>0</v>
      </c>
      <c r="L53" s="31">
        <f t="shared" si="44"/>
        <v>0</v>
      </c>
      <c r="N53" s="31">
        <f t="shared" si="45"/>
        <v>0</v>
      </c>
      <c r="O53" s="31">
        <f t="shared" si="46"/>
        <v>0</v>
      </c>
      <c r="P53" s="31">
        <f t="shared" si="47"/>
        <v>0</v>
      </c>
      <c r="Q53" s="31">
        <f t="shared" si="48"/>
        <v>0</v>
      </c>
      <c r="R53" s="31">
        <f t="shared" si="49"/>
        <v>0</v>
      </c>
      <c r="S53" s="31">
        <f t="shared" si="50"/>
        <v>0</v>
      </c>
      <c r="T53" s="31">
        <f t="shared" si="51"/>
        <v>0</v>
      </c>
      <c r="U53" s="31">
        <f t="shared" si="51"/>
        <v>0</v>
      </c>
      <c r="V53" s="31">
        <f t="shared" si="52"/>
        <v>0</v>
      </c>
      <c r="W53" s="31">
        <f t="shared" si="53"/>
        <v>0</v>
      </c>
    </row>
    <row r="54" spans="1:23">
      <c r="B54" s="54" t="str">
        <f>_xlfn.XLOOKUP(Tabel13[[#This Row],[TAP]],Tabel19[Job functions],Tabel19[Column1],"",0)&amp;""</f>
        <v/>
      </c>
      <c r="C54" s="67">
        <v>0</v>
      </c>
      <c r="D54" s="35">
        <f t="shared" si="41"/>
        <v>0</v>
      </c>
      <c r="E54" s="31">
        <f t="shared" si="102"/>
        <v>0</v>
      </c>
      <c r="F54" s="31">
        <f t="shared" si="102"/>
        <v>0</v>
      </c>
      <c r="G54" s="31">
        <f t="shared" si="102"/>
        <v>0</v>
      </c>
      <c r="H54" s="31">
        <f t="shared" si="102"/>
        <v>0</v>
      </c>
      <c r="I54" s="31">
        <f t="shared" si="102"/>
        <v>0</v>
      </c>
      <c r="J54" s="31">
        <f t="shared" si="102"/>
        <v>0</v>
      </c>
      <c r="K54" s="31">
        <f t="shared" si="43"/>
        <v>0</v>
      </c>
      <c r="L54" s="31">
        <f t="shared" si="44"/>
        <v>0</v>
      </c>
      <c r="N54" s="31">
        <f t="shared" si="45"/>
        <v>0</v>
      </c>
      <c r="O54" s="31">
        <f t="shared" si="46"/>
        <v>0</v>
      </c>
      <c r="P54" s="31">
        <f t="shared" si="47"/>
        <v>0</v>
      </c>
      <c r="Q54" s="31">
        <f t="shared" si="48"/>
        <v>0</v>
      </c>
      <c r="R54" s="31">
        <f t="shared" si="49"/>
        <v>0</v>
      </c>
      <c r="S54" s="31">
        <f t="shared" si="50"/>
        <v>0</v>
      </c>
      <c r="T54" s="31">
        <f t="shared" si="51"/>
        <v>0</v>
      </c>
      <c r="U54" s="31">
        <f t="shared" si="51"/>
        <v>0</v>
      </c>
      <c r="V54" s="31">
        <f t="shared" si="52"/>
        <v>0</v>
      </c>
      <c r="W54" s="31">
        <f t="shared" si="53"/>
        <v>0</v>
      </c>
    </row>
    <row r="56" spans="1:23">
      <c r="A56" s="2" t="s">
        <v>10</v>
      </c>
      <c r="B56" s="2" t="s">
        <v>97</v>
      </c>
    </row>
    <row r="57" spans="1:23">
      <c r="A57" s="1" t="s">
        <v>54</v>
      </c>
      <c r="B57" s="54"/>
      <c r="C57" s="33">
        <f>C44</f>
        <v>46000</v>
      </c>
      <c r="D57" s="35">
        <f t="shared" ref="D57:D70" si="104">ROUNDUP(+C57*$Z$3,-2)</f>
        <v>47200</v>
      </c>
      <c r="E57" s="31">
        <f t="shared" ref="E57:J57" si="105">ROUNDUP(+D57*$Z$3,-2)</f>
        <v>48400</v>
      </c>
      <c r="F57" s="31">
        <f t="shared" si="105"/>
        <v>49700</v>
      </c>
      <c r="G57" s="31">
        <f t="shared" si="105"/>
        <v>51000</v>
      </c>
      <c r="H57" s="31">
        <f t="shared" si="105"/>
        <v>52300</v>
      </c>
      <c r="I57" s="31">
        <f t="shared" si="105"/>
        <v>53700</v>
      </c>
      <c r="J57" s="31">
        <f t="shared" si="105"/>
        <v>55100</v>
      </c>
      <c r="K57" s="31">
        <f t="shared" ref="K57:K70" si="106">ROUNDUP(+J57*$Z$3,-2)</f>
        <v>56500</v>
      </c>
      <c r="L57" s="31">
        <f t="shared" ref="L57:L70" si="107">ROUNDUP(+K57*$Z$3,-2)</f>
        <v>58000</v>
      </c>
    </row>
    <row r="58" spans="1:23">
      <c r="A58" s="1" t="s">
        <v>55</v>
      </c>
      <c r="B58" s="54" t="s">
        <v>3</v>
      </c>
      <c r="C58" s="34">
        <v>7200</v>
      </c>
      <c r="D58" s="36">
        <f t="shared" si="104"/>
        <v>7400</v>
      </c>
      <c r="E58" s="32">
        <f t="shared" ref="E58:J58" si="108">ROUNDUP(+D58*$Z$3,-2)</f>
        <v>7600</v>
      </c>
      <c r="F58" s="32">
        <f t="shared" si="108"/>
        <v>7800</v>
      </c>
      <c r="G58" s="32">
        <f t="shared" si="108"/>
        <v>8000</v>
      </c>
      <c r="H58" s="32">
        <f t="shared" si="108"/>
        <v>8200</v>
      </c>
      <c r="I58" s="32">
        <f t="shared" si="108"/>
        <v>8500</v>
      </c>
      <c r="J58" s="32">
        <f t="shared" si="108"/>
        <v>8800</v>
      </c>
      <c r="K58" s="32">
        <f t="shared" si="106"/>
        <v>9100</v>
      </c>
      <c r="L58" s="32">
        <f t="shared" si="107"/>
        <v>9400</v>
      </c>
      <c r="N58" s="31">
        <f t="shared" ref="N58:N70" si="109">+C58/$Z$5</f>
        <v>59.178082191780817</v>
      </c>
      <c r="O58" s="31">
        <f t="shared" ref="O58:U58" si="110">+D58/$Z$5</f>
        <v>60.821917808219176</v>
      </c>
      <c r="P58" s="31">
        <f t="shared" si="110"/>
        <v>62.465753424657535</v>
      </c>
      <c r="Q58" s="31">
        <f t="shared" si="110"/>
        <v>64.109589041095887</v>
      </c>
      <c r="R58" s="31">
        <f t="shared" si="110"/>
        <v>65.753424657534239</v>
      </c>
      <c r="S58" s="31">
        <f t="shared" si="110"/>
        <v>67.397260273972606</v>
      </c>
      <c r="T58" s="31">
        <f t="shared" si="110"/>
        <v>69.863013698630141</v>
      </c>
      <c r="U58" s="31">
        <f t="shared" si="110"/>
        <v>72.328767123287662</v>
      </c>
      <c r="V58" s="31">
        <f t="shared" ref="V58:V70" si="111">+K58/$Z$5</f>
        <v>74.794520547945197</v>
      </c>
      <c r="W58" s="31">
        <f t="shared" ref="W58:W70" si="112">+L58/$Z$5</f>
        <v>77.260273972602732</v>
      </c>
    </row>
    <row r="59" spans="1:23">
      <c r="A59" s="1" t="s">
        <v>56</v>
      </c>
      <c r="B59" s="54" t="s">
        <v>21</v>
      </c>
      <c r="C59" s="34">
        <v>3500</v>
      </c>
      <c r="D59" s="36">
        <f t="shared" si="104"/>
        <v>3600</v>
      </c>
      <c r="E59" s="32">
        <f t="shared" ref="E59:J60" si="113">ROUNDUP(+D59*$Z$3,-2)</f>
        <v>3700</v>
      </c>
      <c r="F59" s="32">
        <f t="shared" si="113"/>
        <v>3800</v>
      </c>
      <c r="G59" s="32">
        <f t="shared" si="113"/>
        <v>3900</v>
      </c>
      <c r="H59" s="32">
        <f t="shared" si="113"/>
        <v>4000</v>
      </c>
      <c r="I59" s="32">
        <f t="shared" si="113"/>
        <v>4100</v>
      </c>
      <c r="J59" s="32">
        <f t="shared" si="113"/>
        <v>4300</v>
      </c>
      <c r="K59" s="32">
        <f t="shared" si="106"/>
        <v>4500</v>
      </c>
      <c r="L59" s="32">
        <f t="shared" si="107"/>
        <v>4700</v>
      </c>
      <c r="N59" s="31">
        <f t="shared" si="109"/>
        <v>28.767123287671232</v>
      </c>
      <c r="O59" s="31">
        <f t="shared" ref="O59:U60" si="114">+D59/$Z$5</f>
        <v>29.589041095890408</v>
      </c>
      <c r="P59" s="31">
        <f t="shared" si="114"/>
        <v>30.410958904109588</v>
      </c>
      <c r="Q59" s="31">
        <f t="shared" si="114"/>
        <v>31.232876712328768</v>
      </c>
      <c r="R59" s="31">
        <f t="shared" si="114"/>
        <v>32.054794520547944</v>
      </c>
      <c r="S59" s="31">
        <f t="shared" si="114"/>
        <v>32.87671232876712</v>
      </c>
      <c r="T59" s="31">
        <f t="shared" si="114"/>
        <v>33.698630136986303</v>
      </c>
      <c r="U59" s="31">
        <f t="shared" si="114"/>
        <v>35.342465753424655</v>
      </c>
      <c r="V59" s="31">
        <f t="shared" si="111"/>
        <v>36.986301369863014</v>
      </c>
      <c r="W59" s="31">
        <f t="shared" si="112"/>
        <v>38.630136986301366</v>
      </c>
    </row>
    <row r="60" spans="1:23">
      <c r="A60" s="1" t="s">
        <v>98</v>
      </c>
      <c r="B60" s="54" t="s">
        <v>100</v>
      </c>
      <c r="C60" s="435">
        <v>3800</v>
      </c>
      <c r="D60" s="36">
        <f t="shared" si="104"/>
        <v>3900</v>
      </c>
      <c r="E60" s="32">
        <f t="shared" si="113"/>
        <v>4000</v>
      </c>
      <c r="F60" s="32">
        <f t="shared" si="113"/>
        <v>4100</v>
      </c>
      <c r="G60" s="32">
        <f t="shared" si="113"/>
        <v>4300</v>
      </c>
      <c r="H60" s="32">
        <f t="shared" si="113"/>
        <v>4500</v>
      </c>
      <c r="I60" s="32">
        <f t="shared" si="113"/>
        <v>4700</v>
      </c>
      <c r="J60" s="32">
        <f t="shared" si="113"/>
        <v>4900</v>
      </c>
      <c r="K60" s="32">
        <f t="shared" si="106"/>
        <v>5100</v>
      </c>
      <c r="L60" s="32">
        <f t="shared" si="107"/>
        <v>5300</v>
      </c>
      <c r="N60" s="31">
        <f t="shared" si="109"/>
        <v>31.232876712328768</v>
      </c>
      <c r="O60" s="31">
        <f t="shared" si="114"/>
        <v>32.054794520547944</v>
      </c>
      <c r="P60" s="31">
        <f t="shared" si="114"/>
        <v>32.87671232876712</v>
      </c>
      <c r="Q60" s="31">
        <f t="shared" si="114"/>
        <v>33.698630136986303</v>
      </c>
      <c r="R60" s="31">
        <f t="shared" si="114"/>
        <v>35.342465753424655</v>
      </c>
      <c r="S60" s="31">
        <f t="shared" si="114"/>
        <v>36.986301369863014</v>
      </c>
      <c r="T60" s="31">
        <f t="shared" si="114"/>
        <v>38.630136986301366</v>
      </c>
      <c r="U60" s="31">
        <f t="shared" si="114"/>
        <v>40.273972602739725</v>
      </c>
      <c r="V60" s="31">
        <f t="shared" si="111"/>
        <v>41.917808219178077</v>
      </c>
      <c r="W60" s="31">
        <f t="shared" si="112"/>
        <v>43.561643835616437</v>
      </c>
    </row>
    <row r="61" spans="1:23">
      <c r="A61" s="1" t="s">
        <v>57</v>
      </c>
      <c r="B61" s="54" t="s">
        <v>4</v>
      </c>
      <c r="C61" s="435">
        <v>3800</v>
      </c>
      <c r="D61" s="36">
        <f t="shared" si="104"/>
        <v>3900</v>
      </c>
      <c r="E61" s="32">
        <f t="shared" ref="E61:E70" si="115">ROUNDUP(+D61*$Z$3,-2)</f>
        <v>4000</v>
      </c>
      <c r="F61" s="32">
        <f t="shared" ref="F61:F70" si="116">ROUNDUP(+E61*$Z$3,-2)</f>
        <v>4100</v>
      </c>
      <c r="G61" s="32">
        <f t="shared" ref="G61:G70" si="117">ROUNDUP(+F61*$Z$3,-2)</f>
        <v>4300</v>
      </c>
      <c r="H61" s="32">
        <f t="shared" ref="H61:H70" si="118">ROUNDUP(+G61*$Z$3,-2)</f>
        <v>4500</v>
      </c>
      <c r="I61" s="32">
        <f t="shared" ref="I61:J70" si="119">ROUNDUP(+H61*$Z$3,-2)</f>
        <v>4700</v>
      </c>
      <c r="J61" s="32">
        <f t="shared" si="119"/>
        <v>4900</v>
      </c>
      <c r="K61" s="32">
        <f t="shared" si="106"/>
        <v>5100</v>
      </c>
      <c r="L61" s="32">
        <f t="shared" si="107"/>
        <v>5300</v>
      </c>
      <c r="N61" s="31">
        <f t="shared" si="109"/>
        <v>31.232876712328768</v>
      </c>
      <c r="O61" s="31">
        <f t="shared" ref="O61:O70" si="120">+D61/$Z$5</f>
        <v>32.054794520547944</v>
      </c>
      <c r="P61" s="31">
        <f t="shared" ref="P61:P70" si="121">+E61/$Z$5</f>
        <v>32.87671232876712</v>
      </c>
      <c r="Q61" s="31">
        <f t="shared" ref="Q61:Q70" si="122">+F61/$Z$5</f>
        <v>33.698630136986303</v>
      </c>
      <c r="R61" s="31">
        <f t="shared" ref="R61:R70" si="123">+G61/$Z$5</f>
        <v>35.342465753424655</v>
      </c>
      <c r="S61" s="31">
        <f t="shared" ref="S61:S70" si="124">+H61/$Z$5</f>
        <v>36.986301369863014</v>
      </c>
      <c r="T61" s="31">
        <f t="shared" ref="T61:U70" si="125">+I61/$Z$5</f>
        <v>38.630136986301366</v>
      </c>
      <c r="U61" s="31">
        <f t="shared" si="125"/>
        <v>40.273972602739725</v>
      </c>
      <c r="V61" s="31">
        <f t="shared" si="111"/>
        <v>41.917808219178077</v>
      </c>
      <c r="W61" s="31">
        <f t="shared" si="112"/>
        <v>43.561643835616437</v>
      </c>
    </row>
    <row r="62" spans="1:23">
      <c r="A62" s="1" t="s">
        <v>176</v>
      </c>
      <c r="B62" s="54" t="s">
        <v>92</v>
      </c>
      <c r="C62" s="34">
        <v>4700</v>
      </c>
      <c r="D62" s="36">
        <f t="shared" si="104"/>
        <v>4900</v>
      </c>
      <c r="E62" s="32">
        <f t="shared" si="115"/>
        <v>5100</v>
      </c>
      <c r="F62" s="32">
        <f t="shared" si="116"/>
        <v>5300</v>
      </c>
      <c r="G62" s="32">
        <f t="shared" si="117"/>
        <v>5500</v>
      </c>
      <c r="H62" s="32">
        <f t="shared" si="118"/>
        <v>5700</v>
      </c>
      <c r="I62" s="32">
        <f t="shared" si="119"/>
        <v>5900</v>
      </c>
      <c r="J62" s="32">
        <f t="shared" si="119"/>
        <v>6100</v>
      </c>
      <c r="K62" s="32">
        <f t="shared" si="106"/>
        <v>6300</v>
      </c>
      <c r="L62" s="32">
        <f t="shared" si="107"/>
        <v>6500</v>
      </c>
      <c r="N62" s="31">
        <f t="shared" si="109"/>
        <v>38.630136986301366</v>
      </c>
      <c r="O62" s="31">
        <f>+D62/$Z$5</f>
        <v>40.273972602739725</v>
      </c>
      <c r="P62" s="31">
        <f t="shared" si="121"/>
        <v>41.917808219178077</v>
      </c>
      <c r="Q62" s="31">
        <f t="shared" si="122"/>
        <v>43.561643835616437</v>
      </c>
      <c r="R62" s="31">
        <f t="shared" si="123"/>
        <v>45.205479452054796</v>
      </c>
      <c r="S62" s="31">
        <f t="shared" si="124"/>
        <v>46.849315068493148</v>
      </c>
      <c r="T62" s="31">
        <f t="shared" si="125"/>
        <v>48.493150684931507</v>
      </c>
      <c r="U62" s="31">
        <f t="shared" si="125"/>
        <v>50.136986301369859</v>
      </c>
      <c r="V62" s="31">
        <f t="shared" si="111"/>
        <v>51.780821917808218</v>
      </c>
      <c r="W62" s="31">
        <f t="shared" si="112"/>
        <v>53.42465753424657</v>
      </c>
    </row>
    <row r="63" spans="1:23">
      <c r="A63" s="1" t="s">
        <v>177</v>
      </c>
      <c r="B63" s="54" t="s">
        <v>93</v>
      </c>
      <c r="C63" s="34">
        <v>0</v>
      </c>
      <c r="D63" s="36">
        <f t="shared" si="104"/>
        <v>0</v>
      </c>
      <c r="E63" s="32">
        <f t="shared" si="115"/>
        <v>0</v>
      </c>
      <c r="F63" s="32">
        <f t="shared" si="116"/>
        <v>0</v>
      </c>
      <c r="G63" s="32">
        <f t="shared" si="117"/>
        <v>0</v>
      </c>
      <c r="H63" s="32">
        <f t="shared" si="118"/>
        <v>0</v>
      </c>
      <c r="I63" s="32">
        <f t="shared" si="119"/>
        <v>0</v>
      </c>
      <c r="J63" s="32">
        <f t="shared" si="119"/>
        <v>0</v>
      </c>
      <c r="K63" s="32">
        <f t="shared" si="106"/>
        <v>0</v>
      </c>
      <c r="L63" s="32">
        <f t="shared" si="107"/>
        <v>0</v>
      </c>
      <c r="N63" s="31">
        <f t="shared" si="109"/>
        <v>0</v>
      </c>
      <c r="O63" s="31">
        <f t="shared" si="120"/>
        <v>0</v>
      </c>
      <c r="P63" s="31">
        <f t="shared" si="121"/>
        <v>0</v>
      </c>
      <c r="Q63" s="31">
        <f t="shared" si="122"/>
        <v>0</v>
      </c>
      <c r="R63" s="31">
        <f t="shared" si="123"/>
        <v>0</v>
      </c>
      <c r="S63" s="31">
        <f t="shared" si="124"/>
        <v>0</v>
      </c>
      <c r="T63" s="31">
        <f t="shared" si="125"/>
        <v>0</v>
      </c>
      <c r="U63" s="31">
        <f t="shared" si="125"/>
        <v>0</v>
      </c>
      <c r="V63" s="31">
        <f t="shared" si="111"/>
        <v>0</v>
      </c>
      <c r="W63" s="31">
        <f t="shared" si="112"/>
        <v>0</v>
      </c>
    </row>
    <row r="64" spans="1:23">
      <c r="A64" s="1" t="s">
        <v>178</v>
      </c>
      <c r="B64" s="54" t="s">
        <v>5</v>
      </c>
      <c r="C64" s="34">
        <v>0</v>
      </c>
      <c r="D64" s="36">
        <f t="shared" si="104"/>
        <v>0</v>
      </c>
      <c r="E64" s="32">
        <f t="shared" si="115"/>
        <v>0</v>
      </c>
      <c r="F64" s="32">
        <f t="shared" si="116"/>
        <v>0</v>
      </c>
      <c r="G64" s="32">
        <f t="shared" si="117"/>
        <v>0</v>
      </c>
      <c r="H64" s="32">
        <f t="shared" si="118"/>
        <v>0</v>
      </c>
      <c r="I64" s="32">
        <f t="shared" si="119"/>
        <v>0</v>
      </c>
      <c r="J64" s="32">
        <f t="shared" si="119"/>
        <v>0</v>
      </c>
      <c r="K64" s="32">
        <f t="shared" si="106"/>
        <v>0</v>
      </c>
      <c r="L64" s="32">
        <f t="shared" si="107"/>
        <v>0</v>
      </c>
      <c r="N64" s="31">
        <f t="shared" si="109"/>
        <v>0</v>
      </c>
      <c r="O64" s="31">
        <f t="shared" si="120"/>
        <v>0</v>
      </c>
      <c r="P64" s="31">
        <f t="shared" si="121"/>
        <v>0</v>
      </c>
      <c r="Q64" s="31">
        <f t="shared" si="122"/>
        <v>0</v>
      </c>
      <c r="R64" s="31">
        <f t="shared" si="123"/>
        <v>0</v>
      </c>
      <c r="S64" s="31">
        <f t="shared" si="124"/>
        <v>0</v>
      </c>
      <c r="T64" s="31">
        <f t="shared" si="125"/>
        <v>0</v>
      </c>
      <c r="U64" s="31">
        <f t="shared" si="125"/>
        <v>0</v>
      </c>
      <c r="V64" s="31">
        <f t="shared" si="111"/>
        <v>0</v>
      </c>
      <c r="W64" s="31">
        <f t="shared" si="112"/>
        <v>0</v>
      </c>
    </row>
    <row r="65" spans="1:24">
      <c r="A65" s="1" t="s">
        <v>179</v>
      </c>
      <c r="B65" s="54" t="s">
        <v>117</v>
      </c>
      <c r="C65" s="34">
        <v>0</v>
      </c>
      <c r="D65" s="36">
        <f t="shared" si="104"/>
        <v>0</v>
      </c>
      <c r="E65" s="32">
        <f t="shared" si="115"/>
        <v>0</v>
      </c>
      <c r="F65" s="32">
        <f t="shared" si="116"/>
        <v>0</v>
      </c>
      <c r="G65" s="32">
        <f t="shared" si="117"/>
        <v>0</v>
      </c>
      <c r="H65" s="32">
        <f t="shared" si="118"/>
        <v>0</v>
      </c>
      <c r="I65" s="32">
        <f t="shared" si="119"/>
        <v>0</v>
      </c>
      <c r="J65" s="32">
        <f t="shared" si="119"/>
        <v>0</v>
      </c>
      <c r="K65" s="32">
        <f t="shared" si="106"/>
        <v>0</v>
      </c>
      <c r="L65" s="32">
        <f t="shared" si="107"/>
        <v>0</v>
      </c>
      <c r="N65" s="31">
        <f t="shared" si="109"/>
        <v>0</v>
      </c>
      <c r="O65" s="31">
        <f t="shared" si="120"/>
        <v>0</v>
      </c>
      <c r="P65" s="31">
        <f t="shared" si="121"/>
        <v>0</v>
      </c>
      <c r="Q65" s="31">
        <f t="shared" si="122"/>
        <v>0</v>
      </c>
      <c r="R65" s="31">
        <f t="shared" si="123"/>
        <v>0</v>
      </c>
      <c r="S65" s="31">
        <f t="shared" si="124"/>
        <v>0</v>
      </c>
      <c r="T65" s="31">
        <f t="shared" si="125"/>
        <v>0</v>
      </c>
      <c r="U65" s="31">
        <f t="shared" si="125"/>
        <v>0</v>
      </c>
      <c r="V65" s="31">
        <f t="shared" si="111"/>
        <v>0</v>
      </c>
      <c r="W65" s="31">
        <f t="shared" si="112"/>
        <v>0</v>
      </c>
    </row>
    <row r="66" spans="1:24">
      <c r="A66" s="1" t="s">
        <v>180</v>
      </c>
      <c r="B66" s="54" t="s">
        <v>94</v>
      </c>
      <c r="C66" s="34">
        <v>0</v>
      </c>
      <c r="D66" s="36">
        <f t="shared" si="104"/>
        <v>0</v>
      </c>
      <c r="E66" s="32">
        <f t="shared" si="115"/>
        <v>0</v>
      </c>
      <c r="F66" s="32">
        <f t="shared" si="116"/>
        <v>0</v>
      </c>
      <c r="G66" s="32">
        <f t="shared" si="117"/>
        <v>0</v>
      </c>
      <c r="H66" s="32">
        <f t="shared" si="118"/>
        <v>0</v>
      </c>
      <c r="I66" s="32">
        <f t="shared" si="119"/>
        <v>0</v>
      </c>
      <c r="J66" s="32">
        <f t="shared" si="119"/>
        <v>0</v>
      </c>
      <c r="K66" s="32">
        <f t="shared" si="106"/>
        <v>0</v>
      </c>
      <c r="L66" s="32">
        <f t="shared" si="107"/>
        <v>0</v>
      </c>
      <c r="N66" s="31">
        <f t="shared" si="109"/>
        <v>0</v>
      </c>
      <c r="O66" s="31">
        <f t="shared" si="120"/>
        <v>0</v>
      </c>
      <c r="P66" s="31">
        <f t="shared" si="121"/>
        <v>0</v>
      </c>
      <c r="Q66" s="31">
        <f t="shared" si="122"/>
        <v>0</v>
      </c>
      <c r="R66" s="31">
        <f t="shared" si="123"/>
        <v>0</v>
      </c>
      <c r="S66" s="31">
        <f t="shared" si="124"/>
        <v>0</v>
      </c>
      <c r="T66" s="31">
        <f t="shared" si="125"/>
        <v>0</v>
      </c>
      <c r="U66" s="31">
        <f t="shared" si="125"/>
        <v>0</v>
      </c>
      <c r="V66" s="31">
        <f t="shared" si="111"/>
        <v>0</v>
      </c>
      <c r="W66" s="31">
        <f t="shared" si="112"/>
        <v>0</v>
      </c>
    </row>
    <row r="67" spans="1:24">
      <c r="A67" s="1" t="s">
        <v>181</v>
      </c>
      <c r="B67" s="54" t="s">
        <v>115</v>
      </c>
      <c r="C67" s="34">
        <v>0</v>
      </c>
      <c r="D67" s="36">
        <f t="shared" si="104"/>
        <v>0</v>
      </c>
      <c r="E67" s="32">
        <f t="shared" si="115"/>
        <v>0</v>
      </c>
      <c r="F67" s="32">
        <f t="shared" si="116"/>
        <v>0</v>
      </c>
      <c r="G67" s="32">
        <f t="shared" si="117"/>
        <v>0</v>
      </c>
      <c r="H67" s="32">
        <f t="shared" si="118"/>
        <v>0</v>
      </c>
      <c r="I67" s="32">
        <f t="shared" si="119"/>
        <v>0</v>
      </c>
      <c r="J67" s="32">
        <f t="shared" si="119"/>
        <v>0</v>
      </c>
      <c r="K67" s="32">
        <f t="shared" si="106"/>
        <v>0</v>
      </c>
      <c r="L67" s="32">
        <f t="shared" si="107"/>
        <v>0</v>
      </c>
      <c r="N67" s="31">
        <f t="shared" si="109"/>
        <v>0</v>
      </c>
      <c r="O67" s="31">
        <f t="shared" si="120"/>
        <v>0</v>
      </c>
      <c r="P67" s="31">
        <f t="shared" si="121"/>
        <v>0</v>
      </c>
      <c r="Q67" s="31">
        <f t="shared" si="122"/>
        <v>0</v>
      </c>
      <c r="R67" s="31">
        <f t="shared" si="123"/>
        <v>0</v>
      </c>
      <c r="S67" s="31">
        <f t="shared" si="124"/>
        <v>0</v>
      </c>
      <c r="T67" s="31">
        <f t="shared" si="125"/>
        <v>0</v>
      </c>
      <c r="U67" s="31">
        <f t="shared" si="125"/>
        <v>0</v>
      </c>
      <c r="V67" s="31">
        <f t="shared" si="111"/>
        <v>0</v>
      </c>
      <c r="W67" s="31">
        <f t="shared" si="112"/>
        <v>0</v>
      </c>
    </row>
    <row r="68" spans="1:24">
      <c r="A68" s="1" t="s">
        <v>182</v>
      </c>
      <c r="B68" s="54" t="s">
        <v>116</v>
      </c>
      <c r="C68" s="34">
        <v>0</v>
      </c>
      <c r="D68" s="36">
        <f t="shared" si="104"/>
        <v>0</v>
      </c>
      <c r="E68" s="32">
        <f t="shared" si="115"/>
        <v>0</v>
      </c>
      <c r="F68" s="32">
        <f t="shared" si="116"/>
        <v>0</v>
      </c>
      <c r="G68" s="32">
        <f t="shared" si="117"/>
        <v>0</v>
      </c>
      <c r="H68" s="32">
        <f t="shared" si="118"/>
        <v>0</v>
      </c>
      <c r="I68" s="32">
        <f t="shared" si="119"/>
        <v>0</v>
      </c>
      <c r="J68" s="32">
        <f t="shared" si="119"/>
        <v>0</v>
      </c>
      <c r="K68" s="32">
        <f t="shared" si="106"/>
        <v>0</v>
      </c>
      <c r="L68" s="32">
        <f t="shared" si="107"/>
        <v>0</v>
      </c>
      <c r="N68" s="31">
        <f t="shared" si="109"/>
        <v>0</v>
      </c>
      <c r="O68" s="31">
        <f t="shared" si="120"/>
        <v>0</v>
      </c>
      <c r="P68" s="31">
        <f t="shared" si="121"/>
        <v>0</v>
      </c>
      <c r="Q68" s="31">
        <f t="shared" si="122"/>
        <v>0</v>
      </c>
      <c r="R68" s="31">
        <f t="shared" si="123"/>
        <v>0</v>
      </c>
      <c r="S68" s="31">
        <f t="shared" si="124"/>
        <v>0</v>
      </c>
      <c r="T68" s="31">
        <f t="shared" si="125"/>
        <v>0</v>
      </c>
      <c r="U68" s="31">
        <f t="shared" si="125"/>
        <v>0</v>
      </c>
      <c r="V68" s="31">
        <f t="shared" si="111"/>
        <v>0</v>
      </c>
      <c r="W68" s="31">
        <f t="shared" si="112"/>
        <v>0</v>
      </c>
    </row>
    <row r="69" spans="1:24">
      <c r="A69" s="1" t="s">
        <v>183</v>
      </c>
      <c r="B69" s="54" t="s">
        <v>6</v>
      </c>
      <c r="C69" s="34">
        <v>0</v>
      </c>
      <c r="D69" s="36">
        <f t="shared" si="104"/>
        <v>0</v>
      </c>
      <c r="E69" s="32">
        <f t="shared" si="115"/>
        <v>0</v>
      </c>
      <c r="F69" s="32">
        <f t="shared" si="116"/>
        <v>0</v>
      </c>
      <c r="G69" s="32">
        <f t="shared" si="117"/>
        <v>0</v>
      </c>
      <c r="H69" s="32">
        <f t="shared" si="118"/>
        <v>0</v>
      </c>
      <c r="I69" s="32">
        <f t="shared" si="119"/>
        <v>0</v>
      </c>
      <c r="J69" s="32">
        <f t="shared" si="119"/>
        <v>0</v>
      </c>
      <c r="K69" s="32">
        <f t="shared" si="106"/>
        <v>0</v>
      </c>
      <c r="L69" s="32">
        <f t="shared" si="107"/>
        <v>0</v>
      </c>
      <c r="N69" s="31">
        <f t="shared" si="109"/>
        <v>0</v>
      </c>
      <c r="O69" s="31">
        <f t="shared" si="120"/>
        <v>0</v>
      </c>
      <c r="P69" s="31">
        <f t="shared" si="121"/>
        <v>0</v>
      </c>
      <c r="Q69" s="31">
        <f t="shared" si="122"/>
        <v>0</v>
      </c>
      <c r="R69" s="31">
        <f t="shared" si="123"/>
        <v>0</v>
      </c>
      <c r="S69" s="31">
        <f t="shared" si="124"/>
        <v>0</v>
      </c>
      <c r="T69" s="31">
        <f t="shared" si="125"/>
        <v>0</v>
      </c>
      <c r="U69" s="31">
        <f t="shared" si="125"/>
        <v>0</v>
      </c>
      <c r="V69" s="31">
        <f t="shared" si="111"/>
        <v>0</v>
      </c>
      <c r="W69" s="31">
        <f t="shared" si="112"/>
        <v>0</v>
      </c>
    </row>
    <row r="70" spans="1:24">
      <c r="A70" s="1" t="s">
        <v>184</v>
      </c>
      <c r="B70" s="54" t="s">
        <v>95</v>
      </c>
      <c r="C70" s="34">
        <v>5100</v>
      </c>
      <c r="D70" s="36">
        <f t="shared" si="104"/>
        <v>5300</v>
      </c>
      <c r="E70" s="32">
        <f t="shared" si="115"/>
        <v>5500</v>
      </c>
      <c r="F70" s="32">
        <f t="shared" si="116"/>
        <v>5700</v>
      </c>
      <c r="G70" s="32">
        <f t="shared" si="117"/>
        <v>5900</v>
      </c>
      <c r="H70" s="32">
        <f t="shared" si="118"/>
        <v>6100</v>
      </c>
      <c r="I70" s="32">
        <f t="shared" si="119"/>
        <v>6300</v>
      </c>
      <c r="J70" s="32">
        <f t="shared" si="119"/>
        <v>6500</v>
      </c>
      <c r="K70" s="32">
        <f t="shared" si="106"/>
        <v>6700</v>
      </c>
      <c r="L70" s="32">
        <f t="shared" si="107"/>
        <v>6900</v>
      </c>
      <c r="N70" s="31">
        <f t="shared" si="109"/>
        <v>41.917808219178077</v>
      </c>
      <c r="O70" s="31">
        <f t="shared" si="120"/>
        <v>43.561643835616437</v>
      </c>
      <c r="P70" s="31">
        <f t="shared" si="121"/>
        <v>45.205479452054796</v>
      </c>
      <c r="Q70" s="31">
        <f t="shared" si="122"/>
        <v>46.849315068493148</v>
      </c>
      <c r="R70" s="31">
        <f t="shared" si="123"/>
        <v>48.493150684931507</v>
      </c>
      <c r="S70" s="31">
        <f t="shared" si="124"/>
        <v>50.136986301369859</v>
      </c>
      <c r="T70" s="31">
        <f t="shared" si="125"/>
        <v>51.780821917808218</v>
      </c>
      <c r="U70" s="31">
        <f t="shared" si="125"/>
        <v>53.42465753424657</v>
      </c>
      <c r="V70" s="31">
        <f t="shared" si="111"/>
        <v>55.06849315068493</v>
      </c>
      <c r="W70" s="31">
        <f t="shared" si="112"/>
        <v>56.712328767123289</v>
      </c>
    </row>
    <row r="71" spans="1:24">
      <c r="A71" s="1" t="s">
        <v>58</v>
      </c>
      <c r="B71" s="54" t="s">
        <v>4</v>
      </c>
      <c r="C71" s="436">
        <v>4200</v>
      </c>
      <c r="D71" s="276">
        <f t="shared" ref="D71:L71" si="126">ROUNDUP(+C71*$Z$4,-2)</f>
        <v>4300</v>
      </c>
      <c r="E71" s="276">
        <f t="shared" si="126"/>
        <v>4400</v>
      </c>
      <c r="F71" s="276">
        <f t="shared" si="126"/>
        <v>4500</v>
      </c>
      <c r="G71" s="276">
        <f t="shared" si="126"/>
        <v>4600</v>
      </c>
      <c r="H71" s="276">
        <f t="shared" si="126"/>
        <v>4700</v>
      </c>
      <c r="I71" s="276">
        <f t="shared" si="126"/>
        <v>4800</v>
      </c>
      <c r="J71" s="276">
        <f t="shared" si="126"/>
        <v>4900</v>
      </c>
      <c r="K71" s="276">
        <f t="shared" si="126"/>
        <v>5000</v>
      </c>
      <c r="L71" s="276">
        <f t="shared" si="126"/>
        <v>5100</v>
      </c>
      <c r="O71" s="18"/>
      <c r="P71" s="18"/>
      <c r="Q71" s="18"/>
      <c r="R71" s="18"/>
      <c r="S71" s="18"/>
      <c r="T71" s="18"/>
      <c r="U71" s="18"/>
      <c r="V71" s="18"/>
      <c r="W71" s="18"/>
    </row>
    <row r="72" spans="1:24">
      <c r="A72" s="1" t="s">
        <v>99</v>
      </c>
      <c r="B72" s="54" t="s">
        <v>100</v>
      </c>
      <c r="C72" s="435">
        <v>3600</v>
      </c>
      <c r="D72" s="36">
        <f t="shared" ref="D72:D83" si="127">ROUNDUP(+C72*$Z$4,-2)</f>
        <v>3700</v>
      </c>
      <c r="E72" s="36">
        <f t="shared" ref="E72:J73" si="128">ROUNDUP(+D72*$Z$4,-2)</f>
        <v>3800</v>
      </c>
      <c r="F72" s="36">
        <f t="shared" si="128"/>
        <v>3900</v>
      </c>
      <c r="G72" s="36">
        <f t="shared" si="128"/>
        <v>4000</v>
      </c>
      <c r="H72" s="36">
        <f t="shared" si="128"/>
        <v>4100</v>
      </c>
      <c r="I72" s="36">
        <f t="shared" si="128"/>
        <v>4200</v>
      </c>
      <c r="J72" s="36">
        <f t="shared" si="128"/>
        <v>4300</v>
      </c>
      <c r="K72" s="36">
        <f t="shared" ref="K72:K83" si="129">ROUNDUP(+J72*$Z$4,-2)</f>
        <v>4400</v>
      </c>
      <c r="L72" s="36">
        <f t="shared" ref="L72:L83" si="130">ROUNDUP(+K72*$Z$4,-2)</f>
        <v>4500</v>
      </c>
    </row>
    <row r="73" spans="1:24">
      <c r="A73" s="1" t="s">
        <v>59</v>
      </c>
      <c r="B73" s="54" t="s">
        <v>3</v>
      </c>
      <c r="C73" s="435">
        <v>6200</v>
      </c>
      <c r="D73" s="36">
        <f t="shared" si="127"/>
        <v>6400</v>
      </c>
      <c r="E73" s="36">
        <f>ROUNDUP(+D73*$Z$4,-2)</f>
        <v>6600</v>
      </c>
      <c r="F73" s="36">
        <f t="shared" si="128"/>
        <v>6800</v>
      </c>
      <c r="G73" s="36">
        <f t="shared" si="128"/>
        <v>7000</v>
      </c>
      <c r="H73" s="36">
        <f t="shared" si="128"/>
        <v>7200</v>
      </c>
      <c r="I73" s="36">
        <f t="shared" si="128"/>
        <v>7400</v>
      </c>
      <c r="J73" s="36">
        <f t="shared" si="128"/>
        <v>7600</v>
      </c>
      <c r="K73" s="36">
        <f t="shared" si="129"/>
        <v>7800</v>
      </c>
      <c r="L73" s="36">
        <f t="shared" si="130"/>
        <v>8000</v>
      </c>
    </row>
    <row r="74" spans="1:24">
      <c r="A74" t="s">
        <v>60</v>
      </c>
      <c r="B74" s="54" t="s">
        <v>21</v>
      </c>
      <c r="C74" s="34">
        <v>0</v>
      </c>
      <c r="D74" s="36">
        <f t="shared" si="127"/>
        <v>0</v>
      </c>
      <c r="E74" s="36">
        <f>ROUNDUP(+D74*$Z$4,-2)</f>
        <v>0</v>
      </c>
      <c r="F74" s="36">
        <f t="shared" ref="F74:F83" si="131">ROUNDUP(+E74*$Z$4,-2)</f>
        <v>0</v>
      </c>
      <c r="G74" s="36">
        <f t="shared" ref="G74:G83" si="132">ROUNDUP(+F74*$Z$4,-2)</f>
        <v>0</v>
      </c>
      <c r="H74" s="36">
        <f t="shared" ref="H74:H83" si="133">ROUNDUP(+G74*$Z$4,-2)</f>
        <v>0</v>
      </c>
      <c r="I74" s="36">
        <f t="shared" ref="I74:J83" si="134">ROUNDUP(+H74*$Z$4,-2)</f>
        <v>0</v>
      </c>
      <c r="J74" s="36">
        <f t="shared" si="134"/>
        <v>0</v>
      </c>
      <c r="K74" s="36">
        <f t="shared" si="129"/>
        <v>0</v>
      </c>
      <c r="L74" s="36">
        <f t="shared" si="130"/>
        <v>0</v>
      </c>
      <c r="X74" s="3"/>
    </row>
    <row r="75" spans="1:24">
      <c r="A75" t="s">
        <v>187</v>
      </c>
      <c r="B75" s="54" t="s">
        <v>92</v>
      </c>
      <c r="C75" s="34">
        <v>0</v>
      </c>
      <c r="D75" s="36">
        <f t="shared" si="127"/>
        <v>0</v>
      </c>
      <c r="E75" s="36">
        <f t="shared" ref="E75:E83" si="135">ROUNDUP(+D75*$Z$4,-2)</f>
        <v>0</v>
      </c>
      <c r="F75" s="36">
        <f t="shared" si="131"/>
        <v>0</v>
      </c>
      <c r="G75" s="36">
        <f t="shared" si="132"/>
        <v>0</v>
      </c>
      <c r="H75" s="36">
        <f t="shared" si="133"/>
        <v>0</v>
      </c>
      <c r="I75" s="36">
        <f t="shared" si="134"/>
        <v>0</v>
      </c>
      <c r="J75" s="36">
        <f t="shared" si="134"/>
        <v>0</v>
      </c>
      <c r="K75" s="36">
        <f t="shared" si="129"/>
        <v>0</v>
      </c>
      <c r="L75" s="36">
        <f t="shared" si="130"/>
        <v>0</v>
      </c>
      <c r="X75" s="3"/>
    </row>
    <row r="76" spans="1:24">
      <c r="A76" t="s">
        <v>188</v>
      </c>
      <c r="B76" s="54" t="s">
        <v>93</v>
      </c>
      <c r="C76" s="34">
        <v>0</v>
      </c>
      <c r="D76" s="36">
        <f t="shared" si="127"/>
        <v>0</v>
      </c>
      <c r="E76" s="36">
        <f t="shared" si="135"/>
        <v>0</v>
      </c>
      <c r="F76" s="36">
        <f t="shared" si="131"/>
        <v>0</v>
      </c>
      <c r="G76" s="36">
        <f t="shared" si="132"/>
        <v>0</v>
      </c>
      <c r="H76" s="36">
        <f t="shared" si="133"/>
        <v>0</v>
      </c>
      <c r="I76" s="36">
        <f t="shared" si="134"/>
        <v>0</v>
      </c>
      <c r="J76" s="36">
        <f t="shared" si="134"/>
        <v>0</v>
      </c>
      <c r="K76" s="36">
        <f t="shared" si="129"/>
        <v>0</v>
      </c>
      <c r="L76" s="36">
        <f t="shared" si="130"/>
        <v>0</v>
      </c>
      <c r="X76" s="3"/>
    </row>
    <row r="77" spans="1:24">
      <c r="A77" t="s">
        <v>189</v>
      </c>
      <c r="B77" s="54" t="s">
        <v>5</v>
      </c>
      <c r="C77" s="34">
        <v>0</v>
      </c>
      <c r="D77" s="36">
        <f t="shared" si="127"/>
        <v>0</v>
      </c>
      <c r="E77" s="36">
        <f t="shared" si="135"/>
        <v>0</v>
      </c>
      <c r="F77" s="36">
        <f t="shared" si="131"/>
        <v>0</v>
      </c>
      <c r="G77" s="36">
        <f t="shared" si="132"/>
        <v>0</v>
      </c>
      <c r="H77" s="36">
        <f t="shared" si="133"/>
        <v>0</v>
      </c>
      <c r="I77" s="36">
        <f t="shared" si="134"/>
        <v>0</v>
      </c>
      <c r="J77" s="36">
        <f t="shared" si="134"/>
        <v>0</v>
      </c>
      <c r="K77" s="36">
        <f t="shared" si="129"/>
        <v>0</v>
      </c>
      <c r="L77" s="36">
        <f t="shared" si="130"/>
        <v>0</v>
      </c>
      <c r="X77" s="3"/>
    </row>
    <row r="78" spans="1:24">
      <c r="A78" t="s">
        <v>190</v>
      </c>
      <c r="B78" s="54" t="s">
        <v>117</v>
      </c>
      <c r="C78" s="34">
        <v>0</v>
      </c>
      <c r="D78" s="36">
        <f t="shared" si="127"/>
        <v>0</v>
      </c>
      <c r="E78" s="36">
        <f t="shared" si="135"/>
        <v>0</v>
      </c>
      <c r="F78" s="36">
        <f t="shared" si="131"/>
        <v>0</v>
      </c>
      <c r="G78" s="36">
        <f t="shared" si="132"/>
        <v>0</v>
      </c>
      <c r="H78" s="36">
        <f t="shared" si="133"/>
        <v>0</v>
      </c>
      <c r="I78" s="36">
        <f t="shared" si="134"/>
        <v>0</v>
      </c>
      <c r="J78" s="36">
        <f t="shared" si="134"/>
        <v>0</v>
      </c>
      <c r="K78" s="36">
        <f t="shared" si="129"/>
        <v>0</v>
      </c>
      <c r="L78" s="36">
        <f t="shared" si="130"/>
        <v>0</v>
      </c>
      <c r="X78" s="3"/>
    </row>
    <row r="79" spans="1:24">
      <c r="A79" t="s">
        <v>191</v>
      </c>
      <c r="B79" s="54" t="s">
        <v>94</v>
      </c>
      <c r="C79" s="34">
        <v>0</v>
      </c>
      <c r="D79" s="36">
        <f t="shared" si="127"/>
        <v>0</v>
      </c>
      <c r="E79" s="36">
        <f t="shared" si="135"/>
        <v>0</v>
      </c>
      <c r="F79" s="36">
        <f t="shared" si="131"/>
        <v>0</v>
      </c>
      <c r="G79" s="36">
        <f t="shared" si="132"/>
        <v>0</v>
      </c>
      <c r="H79" s="36">
        <f t="shared" si="133"/>
        <v>0</v>
      </c>
      <c r="I79" s="36">
        <f t="shared" si="134"/>
        <v>0</v>
      </c>
      <c r="J79" s="36">
        <f t="shared" si="134"/>
        <v>0</v>
      </c>
      <c r="K79" s="36">
        <f t="shared" si="129"/>
        <v>0</v>
      </c>
      <c r="L79" s="36">
        <f t="shared" si="130"/>
        <v>0</v>
      </c>
      <c r="X79" s="3"/>
    </row>
    <row r="80" spans="1:24">
      <c r="A80" t="s">
        <v>192</v>
      </c>
      <c r="B80" s="54" t="s">
        <v>115</v>
      </c>
      <c r="C80" s="34">
        <v>0</v>
      </c>
      <c r="D80" s="36">
        <f t="shared" si="127"/>
        <v>0</v>
      </c>
      <c r="E80" s="36">
        <f t="shared" si="135"/>
        <v>0</v>
      </c>
      <c r="F80" s="36">
        <f t="shared" si="131"/>
        <v>0</v>
      </c>
      <c r="G80" s="36">
        <f t="shared" si="132"/>
        <v>0</v>
      </c>
      <c r="H80" s="36">
        <f t="shared" si="133"/>
        <v>0</v>
      </c>
      <c r="I80" s="36">
        <f t="shared" si="134"/>
        <v>0</v>
      </c>
      <c r="J80" s="36">
        <f t="shared" si="134"/>
        <v>0</v>
      </c>
      <c r="K80" s="36">
        <f t="shared" si="129"/>
        <v>0</v>
      </c>
      <c r="L80" s="36">
        <f t="shared" si="130"/>
        <v>0</v>
      </c>
      <c r="X80" s="3"/>
    </row>
    <row r="81" spans="1:24">
      <c r="A81" t="s">
        <v>193</v>
      </c>
      <c r="B81" s="54" t="s">
        <v>116</v>
      </c>
      <c r="C81" s="34">
        <v>0</v>
      </c>
      <c r="D81" s="36">
        <f t="shared" si="127"/>
        <v>0</v>
      </c>
      <c r="E81" s="36">
        <f t="shared" si="135"/>
        <v>0</v>
      </c>
      <c r="F81" s="36">
        <f t="shared" si="131"/>
        <v>0</v>
      </c>
      <c r="G81" s="36">
        <f t="shared" si="132"/>
        <v>0</v>
      </c>
      <c r="H81" s="36">
        <f t="shared" si="133"/>
        <v>0</v>
      </c>
      <c r="I81" s="36">
        <f t="shared" si="134"/>
        <v>0</v>
      </c>
      <c r="J81" s="36">
        <f t="shared" si="134"/>
        <v>0</v>
      </c>
      <c r="K81" s="36">
        <f t="shared" si="129"/>
        <v>0</v>
      </c>
      <c r="L81" s="36">
        <f t="shared" si="130"/>
        <v>0</v>
      </c>
      <c r="X81" s="3"/>
    </row>
    <row r="82" spans="1:24">
      <c r="A82" t="s">
        <v>194</v>
      </c>
      <c r="B82" s="54" t="s">
        <v>6</v>
      </c>
      <c r="C82" s="34">
        <v>0</v>
      </c>
      <c r="D82" s="36">
        <f t="shared" si="127"/>
        <v>0</v>
      </c>
      <c r="E82" s="36">
        <f t="shared" si="135"/>
        <v>0</v>
      </c>
      <c r="F82" s="36">
        <f t="shared" si="131"/>
        <v>0</v>
      </c>
      <c r="G82" s="36">
        <f t="shared" si="132"/>
        <v>0</v>
      </c>
      <c r="H82" s="36">
        <f t="shared" si="133"/>
        <v>0</v>
      </c>
      <c r="I82" s="36">
        <f t="shared" si="134"/>
        <v>0</v>
      </c>
      <c r="J82" s="36">
        <f t="shared" si="134"/>
        <v>0</v>
      </c>
      <c r="K82" s="36">
        <f t="shared" si="129"/>
        <v>0</v>
      </c>
      <c r="L82" s="36">
        <f t="shared" si="130"/>
        <v>0</v>
      </c>
      <c r="X82" s="3"/>
    </row>
    <row r="83" spans="1:24">
      <c r="A83" t="s">
        <v>195</v>
      </c>
      <c r="B83" s="54" t="s">
        <v>95</v>
      </c>
      <c r="C83" s="34">
        <v>0</v>
      </c>
      <c r="D83" s="36">
        <f t="shared" si="127"/>
        <v>0</v>
      </c>
      <c r="E83" s="36">
        <f t="shared" si="135"/>
        <v>0</v>
      </c>
      <c r="F83" s="36">
        <f t="shared" si="131"/>
        <v>0</v>
      </c>
      <c r="G83" s="36">
        <f t="shared" si="132"/>
        <v>0</v>
      </c>
      <c r="H83" s="36">
        <f t="shared" si="133"/>
        <v>0</v>
      </c>
      <c r="I83" s="36">
        <f t="shared" si="134"/>
        <v>0</v>
      </c>
      <c r="J83" s="36">
        <f t="shared" si="134"/>
        <v>0</v>
      </c>
      <c r="K83" s="36">
        <f t="shared" si="129"/>
        <v>0</v>
      </c>
      <c r="L83" s="36">
        <f t="shared" si="130"/>
        <v>0</v>
      </c>
      <c r="X83" s="3"/>
    </row>
    <row r="84" spans="1:24">
      <c r="A84" s="1" t="s">
        <v>103</v>
      </c>
      <c r="B84" s="54"/>
      <c r="C84" s="34">
        <v>8000</v>
      </c>
      <c r="D84" s="36">
        <f>+C84</f>
        <v>8000</v>
      </c>
      <c r="E84" s="36">
        <f t="shared" ref="E84:J84" si="136">+D84</f>
        <v>8000</v>
      </c>
      <c r="F84" s="36">
        <f t="shared" si="136"/>
        <v>8000</v>
      </c>
      <c r="G84" s="36">
        <f t="shared" si="136"/>
        <v>8000</v>
      </c>
      <c r="H84" s="36">
        <f t="shared" si="136"/>
        <v>8000</v>
      </c>
      <c r="I84" s="36">
        <f t="shared" si="136"/>
        <v>8000</v>
      </c>
      <c r="J84" s="36">
        <f t="shared" si="136"/>
        <v>8000</v>
      </c>
      <c r="K84" s="36">
        <f>+J84</f>
        <v>8000</v>
      </c>
      <c r="L84" s="36">
        <f>+K84</f>
        <v>8000</v>
      </c>
      <c r="X84" s="3"/>
    </row>
    <row r="85" spans="1:24">
      <c r="A85" t="s">
        <v>104</v>
      </c>
      <c r="B85" s="54"/>
      <c r="C85" s="34">
        <v>257000</v>
      </c>
      <c r="D85" s="36">
        <f>+C85</f>
        <v>257000</v>
      </c>
      <c r="E85" s="36">
        <f t="shared" ref="E85:J85" si="137">+D85</f>
        <v>257000</v>
      </c>
      <c r="F85" s="36">
        <f t="shared" si="137"/>
        <v>257000</v>
      </c>
      <c r="G85" s="36">
        <f t="shared" si="137"/>
        <v>257000</v>
      </c>
      <c r="H85" s="36">
        <f t="shared" si="137"/>
        <v>257000</v>
      </c>
      <c r="I85" s="36">
        <f t="shared" si="137"/>
        <v>257000</v>
      </c>
      <c r="J85" s="36">
        <f t="shared" si="137"/>
        <v>257000</v>
      </c>
      <c r="K85" s="36">
        <f>+J85</f>
        <v>257000</v>
      </c>
      <c r="L85" s="36">
        <f>+K85</f>
        <v>257000</v>
      </c>
      <c r="X85" s="3"/>
    </row>
    <row r="86" spans="1:24">
      <c r="X86" s="3"/>
    </row>
    <row r="87" spans="1:24">
      <c r="C87" s="60"/>
      <c r="X87" s="3"/>
    </row>
    <row r="88" spans="1:24">
      <c r="X88" s="3"/>
    </row>
    <row r="89" spans="1:24">
      <c r="X89" s="3"/>
    </row>
    <row r="90" spans="1:24">
      <c r="N90" s="3"/>
    </row>
    <row r="91" spans="1:24">
      <c r="N91" s="3"/>
    </row>
    <row r="92" spans="1:24">
      <c r="N92" s="3"/>
      <c r="U92" s="1"/>
      <c r="V92" s="1"/>
      <c r="W92" s="1"/>
    </row>
    <row r="93" spans="1:24">
      <c r="N93" s="3"/>
      <c r="U93" s="1"/>
      <c r="V93" s="1"/>
      <c r="W93" s="1"/>
    </row>
    <row r="94" spans="1:24">
      <c r="N94" s="3"/>
      <c r="U94" s="1"/>
      <c r="V94" s="1"/>
      <c r="W94" s="1"/>
    </row>
    <row r="95" spans="1:24">
      <c r="N95" s="3"/>
      <c r="U95" s="1"/>
      <c r="V95" s="1"/>
      <c r="W95" s="1"/>
    </row>
    <row r="96" spans="1:24">
      <c r="N96" s="3"/>
      <c r="U96" s="1"/>
      <c r="V96" s="1"/>
      <c r="W96" s="1"/>
    </row>
    <row r="97" spans="14:23">
      <c r="N97" s="3"/>
      <c r="U97" s="1"/>
      <c r="V97" s="1"/>
      <c r="W97" s="1"/>
    </row>
    <row r="98" spans="14:23">
      <c r="N98" s="3"/>
      <c r="U98" s="1"/>
      <c r="V98" s="1"/>
      <c r="W98" s="1"/>
    </row>
    <row r="99" spans="14:23">
      <c r="N99" s="3"/>
      <c r="U99" s="1"/>
      <c r="V99" s="1"/>
      <c r="W99" s="1"/>
    </row>
    <row r="100" spans="14:23">
      <c r="N100" s="3"/>
      <c r="U100" s="1"/>
      <c r="V100" s="1"/>
      <c r="W100" s="1"/>
    </row>
    <row r="101" spans="14:23">
      <c r="N101" s="3"/>
      <c r="U101" s="1"/>
      <c r="V101" s="1"/>
      <c r="W101" s="1"/>
    </row>
    <row r="102" spans="14:23">
      <c r="N102" s="3"/>
      <c r="U102" s="1"/>
      <c r="V102" s="1"/>
      <c r="W102" s="1"/>
    </row>
  </sheetData>
  <mergeCells count="2">
    <mergeCell ref="C2:I2"/>
    <mergeCell ref="N2:T2"/>
  </mergeCells>
  <phoneticPr fontId="67" type="noConversion"/>
  <dataValidations disablePrompts="1" count="1">
    <dataValidation type="list" allowBlank="1" showInputMessage="1" showErrorMessage="1" sqref="B24:B30 B6:B21" xr:uid="{00000000-0002-0000-0100-000000000000}">
      <formula1>"PhD"</formula1>
    </dataValidation>
  </dataValidations>
  <pageMargins left="0.7" right="0.7" top="0.75" bottom="0.75" header="0.3" footer="0.3"/>
  <pageSetup paperSize="9" orientation="portrait" r:id="rId1"/>
  <tableParts count="3">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AF768-4877-4938-8A23-0B9B219475D8}">
  <dimension ref="A1:C442"/>
  <sheetViews>
    <sheetView workbookViewId="0"/>
  </sheetViews>
  <sheetFormatPr defaultRowHeight="14"/>
  <cols>
    <col min="1" max="1" width="59" bestFit="1" customWidth="1"/>
    <col min="2" max="3" width="78.75" bestFit="1" customWidth="1"/>
    <col min="4" max="4" width="54.58203125" bestFit="1" customWidth="1"/>
  </cols>
  <sheetData>
    <row r="1" spans="1:3">
      <c r="A1" t="s">
        <v>909</v>
      </c>
      <c r="B1" t="s">
        <v>1418</v>
      </c>
      <c r="C1" t="s">
        <v>1419</v>
      </c>
    </row>
    <row r="2" spans="1:3">
      <c r="A2" t="s">
        <v>209</v>
      </c>
      <c r="C2" t="s">
        <v>1640</v>
      </c>
    </row>
    <row r="3" spans="1:3">
      <c r="A3" t="s">
        <v>378</v>
      </c>
      <c r="C3" t="s">
        <v>1641</v>
      </c>
    </row>
    <row r="4" spans="1:3">
      <c r="A4" t="s">
        <v>379</v>
      </c>
      <c r="B4" t="s">
        <v>1420</v>
      </c>
      <c r="C4" t="s">
        <v>1421</v>
      </c>
    </row>
    <row r="5" spans="1:3">
      <c r="A5" t="s">
        <v>509</v>
      </c>
      <c r="C5" t="s">
        <v>1642</v>
      </c>
    </row>
    <row r="6" spans="1:3">
      <c r="A6" t="s">
        <v>299</v>
      </c>
      <c r="B6" t="s">
        <v>1422</v>
      </c>
      <c r="C6" t="s">
        <v>1423</v>
      </c>
    </row>
    <row r="7" spans="1:3">
      <c r="A7" t="s">
        <v>1903</v>
      </c>
      <c r="C7" t="s">
        <v>1907</v>
      </c>
    </row>
    <row r="8" spans="1:3">
      <c r="A8" t="s">
        <v>381</v>
      </c>
      <c r="C8" t="s">
        <v>1643</v>
      </c>
    </row>
    <row r="9" spans="1:3">
      <c r="A9" t="s">
        <v>380</v>
      </c>
      <c r="C9" t="s">
        <v>1644</v>
      </c>
    </row>
    <row r="10" spans="1:3">
      <c r="A10" t="s">
        <v>290</v>
      </c>
      <c r="B10" t="s">
        <v>1424</v>
      </c>
      <c r="C10" t="s">
        <v>1425</v>
      </c>
    </row>
    <row r="11" spans="1:3">
      <c r="A11" t="s">
        <v>2146</v>
      </c>
      <c r="C11" t="s">
        <v>2147</v>
      </c>
    </row>
    <row r="12" spans="1:3">
      <c r="A12" t="s">
        <v>1621</v>
      </c>
      <c r="B12" t="s">
        <v>1622</v>
      </c>
      <c r="C12" t="s">
        <v>1632</v>
      </c>
    </row>
    <row r="13" spans="1:3">
      <c r="A13" t="s">
        <v>291</v>
      </c>
      <c r="B13" t="s">
        <v>1426</v>
      </c>
      <c r="C13" t="s">
        <v>1427</v>
      </c>
    </row>
    <row r="14" spans="1:3">
      <c r="A14" t="s">
        <v>772</v>
      </c>
      <c r="B14" t="s">
        <v>1428</v>
      </c>
      <c r="C14" t="s">
        <v>1429</v>
      </c>
    </row>
    <row r="15" spans="1:3">
      <c r="A15" t="s">
        <v>382</v>
      </c>
      <c r="C15" t="s">
        <v>1645</v>
      </c>
    </row>
    <row r="16" spans="1:3">
      <c r="A16" t="s">
        <v>497</v>
      </c>
      <c r="C16" t="s">
        <v>1646</v>
      </c>
    </row>
    <row r="17" spans="1:3">
      <c r="A17" t="s">
        <v>1987</v>
      </c>
      <c r="B17" t="s">
        <v>1988</v>
      </c>
      <c r="C17" t="s">
        <v>1989</v>
      </c>
    </row>
    <row r="18" spans="1:3">
      <c r="A18" t="s">
        <v>773</v>
      </c>
      <c r="C18" t="s">
        <v>1647</v>
      </c>
    </row>
    <row r="19" spans="1:3">
      <c r="A19" t="s">
        <v>2091</v>
      </c>
      <c r="C19" t="s">
        <v>2092</v>
      </c>
    </row>
    <row r="20" spans="1:3">
      <c r="A20" t="s">
        <v>350</v>
      </c>
      <c r="C20" t="s">
        <v>1648</v>
      </c>
    </row>
    <row r="21" spans="1:3">
      <c r="A21" t="s">
        <v>774</v>
      </c>
      <c r="C21" t="s">
        <v>1649</v>
      </c>
    </row>
    <row r="22" spans="1:3">
      <c r="A22" t="s">
        <v>1405</v>
      </c>
      <c r="C22" t="s">
        <v>1650</v>
      </c>
    </row>
    <row r="23" spans="1:3">
      <c r="A23" t="s">
        <v>488</v>
      </c>
      <c r="C23" t="s">
        <v>1651</v>
      </c>
    </row>
    <row r="24" spans="1:3">
      <c r="A24" t="s">
        <v>1990</v>
      </c>
      <c r="C24" t="s">
        <v>1991</v>
      </c>
    </row>
    <row r="25" spans="1:3">
      <c r="A25" t="s">
        <v>775</v>
      </c>
      <c r="C25" t="s">
        <v>1652</v>
      </c>
    </row>
    <row r="26" spans="1:3">
      <c r="A26" t="s">
        <v>776</v>
      </c>
      <c r="C26" t="s">
        <v>1653</v>
      </c>
    </row>
    <row r="27" spans="1:3">
      <c r="A27" t="s">
        <v>1623</v>
      </c>
      <c r="C27" t="s">
        <v>1654</v>
      </c>
    </row>
    <row r="28" spans="1:3">
      <c r="A28" t="s">
        <v>777</v>
      </c>
      <c r="C28" t="s">
        <v>1655</v>
      </c>
    </row>
    <row r="29" spans="1:3">
      <c r="A29" t="s">
        <v>778</v>
      </c>
      <c r="C29" t="s">
        <v>1656</v>
      </c>
    </row>
    <row r="30" spans="1:3">
      <c r="A30" t="s">
        <v>351</v>
      </c>
      <c r="C30" t="s">
        <v>1657</v>
      </c>
    </row>
    <row r="31" spans="1:3">
      <c r="A31" t="s">
        <v>779</v>
      </c>
      <c r="C31" t="s">
        <v>1658</v>
      </c>
    </row>
    <row r="32" spans="1:3">
      <c r="A32" t="s">
        <v>383</v>
      </c>
      <c r="B32" t="s">
        <v>1430</v>
      </c>
      <c r="C32" t="s">
        <v>1431</v>
      </c>
    </row>
    <row r="33" spans="1:3">
      <c r="A33" t="s">
        <v>384</v>
      </c>
      <c r="B33" t="s">
        <v>1432</v>
      </c>
      <c r="C33" t="s">
        <v>1433</v>
      </c>
    </row>
    <row r="34" spans="1:3">
      <c r="A34" t="s">
        <v>780</v>
      </c>
      <c r="C34" t="s">
        <v>1659</v>
      </c>
    </row>
    <row r="35" spans="1:3">
      <c r="A35" t="s">
        <v>1321</v>
      </c>
      <c r="C35" t="s">
        <v>1660</v>
      </c>
    </row>
    <row r="36" spans="1:3">
      <c r="A36" t="s">
        <v>352</v>
      </c>
      <c r="C36" t="s">
        <v>1661</v>
      </c>
    </row>
    <row r="37" spans="1:3">
      <c r="A37" t="s">
        <v>1367</v>
      </c>
      <c r="C37" t="s">
        <v>1662</v>
      </c>
    </row>
    <row r="38" spans="1:3">
      <c r="A38" t="s">
        <v>474</v>
      </c>
      <c r="C38" t="s">
        <v>1663</v>
      </c>
    </row>
    <row r="39" spans="1:3">
      <c r="A39" t="s">
        <v>781</v>
      </c>
      <c r="C39" t="s">
        <v>1664</v>
      </c>
    </row>
    <row r="40" spans="1:3">
      <c r="A40" t="s">
        <v>353</v>
      </c>
      <c r="C40" t="s">
        <v>1665</v>
      </c>
    </row>
    <row r="41" spans="1:3">
      <c r="A41" t="s">
        <v>489</v>
      </c>
      <c r="C41" t="s">
        <v>1666</v>
      </c>
    </row>
    <row r="42" spans="1:3">
      <c r="A42" t="s">
        <v>782</v>
      </c>
      <c r="C42" t="s">
        <v>1667</v>
      </c>
    </row>
    <row r="43" spans="1:3">
      <c r="A43" t="s">
        <v>1612</v>
      </c>
      <c r="C43" t="s">
        <v>1668</v>
      </c>
    </row>
    <row r="44" spans="1:3">
      <c r="A44" t="s">
        <v>1322</v>
      </c>
      <c r="C44" t="s">
        <v>1669</v>
      </c>
    </row>
    <row r="45" spans="1:3">
      <c r="A45" t="s">
        <v>783</v>
      </c>
      <c r="C45" t="s">
        <v>1670</v>
      </c>
    </row>
    <row r="46" spans="1:3">
      <c r="A46" t="s">
        <v>386</v>
      </c>
      <c r="B46" t="s">
        <v>1434</v>
      </c>
      <c r="C46" t="s">
        <v>1435</v>
      </c>
    </row>
    <row r="47" spans="1:3">
      <c r="A47" t="s">
        <v>385</v>
      </c>
      <c r="B47" t="s">
        <v>1436</v>
      </c>
      <c r="C47" t="s">
        <v>1437</v>
      </c>
    </row>
    <row r="48" spans="1:3">
      <c r="A48" t="s">
        <v>1368</v>
      </c>
      <c r="C48" t="s">
        <v>1671</v>
      </c>
    </row>
    <row r="49" spans="1:3">
      <c r="A49" t="s">
        <v>784</v>
      </c>
      <c r="C49" t="s">
        <v>1672</v>
      </c>
    </row>
    <row r="50" spans="1:3">
      <c r="A50" t="s">
        <v>2148</v>
      </c>
      <c r="B50" t="s">
        <v>2149</v>
      </c>
      <c r="C50" t="s">
        <v>2150</v>
      </c>
    </row>
    <row r="51" spans="1:3">
      <c r="A51" t="s">
        <v>399</v>
      </c>
      <c r="B51" t="s">
        <v>1438</v>
      </c>
      <c r="C51" t="s">
        <v>1439</v>
      </c>
    </row>
    <row r="52" spans="1:3">
      <c r="A52" t="s">
        <v>2112</v>
      </c>
      <c r="C52" t="s">
        <v>2113</v>
      </c>
    </row>
    <row r="53" spans="1:3">
      <c r="A53" t="s">
        <v>387</v>
      </c>
      <c r="C53" t="s">
        <v>1673</v>
      </c>
    </row>
    <row r="54" spans="1:3">
      <c r="A54" t="s">
        <v>785</v>
      </c>
      <c r="C54" t="s">
        <v>1674</v>
      </c>
    </row>
    <row r="55" spans="1:3">
      <c r="A55" t="s">
        <v>200</v>
      </c>
      <c r="B55" t="s">
        <v>1440</v>
      </c>
      <c r="C55" t="s">
        <v>1441</v>
      </c>
    </row>
    <row r="56" spans="1:3">
      <c r="A56" t="s">
        <v>2093</v>
      </c>
      <c r="C56" t="s">
        <v>2094</v>
      </c>
    </row>
    <row r="57" spans="1:3">
      <c r="A57" t="s">
        <v>786</v>
      </c>
      <c r="C57" t="s">
        <v>1675</v>
      </c>
    </row>
    <row r="58" spans="1:3">
      <c r="A58" t="s">
        <v>398</v>
      </c>
      <c r="C58" t="s">
        <v>1676</v>
      </c>
    </row>
    <row r="59" spans="1:3">
      <c r="A59" t="s">
        <v>787</v>
      </c>
      <c r="B59" t="s">
        <v>1442</v>
      </c>
      <c r="C59" t="s">
        <v>1443</v>
      </c>
    </row>
    <row r="60" spans="1:3">
      <c r="A60" t="s">
        <v>1266</v>
      </c>
      <c r="C60" t="s">
        <v>1677</v>
      </c>
    </row>
    <row r="61" spans="1:3">
      <c r="A61" t="s">
        <v>788</v>
      </c>
      <c r="C61" t="s">
        <v>1678</v>
      </c>
    </row>
    <row r="62" spans="1:3">
      <c r="A62" t="s">
        <v>490</v>
      </c>
      <c r="C62" t="s">
        <v>1679</v>
      </c>
    </row>
    <row r="63" spans="1:3">
      <c r="A63" t="s">
        <v>2151</v>
      </c>
      <c r="C63" t="s">
        <v>2152</v>
      </c>
    </row>
    <row r="64" spans="1:3">
      <c r="A64" t="s">
        <v>789</v>
      </c>
      <c r="C64" t="s">
        <v>1680</v>
      </c>
    </row>
    <row r="65" spans="1:3">
      <c r="A65" t="s">
        <v>2153</v>
      </c>
      <c r="C65" t="s">
        <v>2154</v>
      </c>
    </row>
    <row r="66" spans="1:3">
      <c r="A66" t="s">
        <v>1624</v>
      </c>
      <c r="C66" t="s">
        <v>1681</v>
      </c>
    </row>
    <row r="67" spans="1:3">
      <c r="A67" t="s">
        <v>790</v>
      </c>
      <c r="C67" t="s">
        <v>1682</v>
      </c>
    </row>
    <row r="68" spans="1:3">
      <c r="A68" t="s">
        <v>1388</v>
      </c>
      <c r="B68" t="s">
        <v>1444</v>
      </c>
      <c r="C68" t="s">
        <v>1445</v>
      </c>
    </row>
    <row r="69" spans="1:3">
      <c r="A69" t="s">
        <v>357</v>
      </c>
      <c r="C69" t="s">
        <v>1683</v>
      </c>
    </row>
    <row r="70" spans="1:3">
      <c r="A70" t="s">
        <v>358</v>
      </c>
      <c r="C70" t="s">
        <v>1684</v>
      </c>
    </row>
    <row r="71" spans="1:3">
      <c r="A71" t="s">
        <v>359</v>
      </c>
      <c r="C71" t="s">
        <v>1685</v>
      </c>
    </row>
    <row r="72" spans="1:3">
      <c r="A72" t="s">
        <v>354</v>
      </c>
      <c r="B72" t="s">
        <v>1446</v>
      </c>
      <c r="C72" t="s">
        <v>1447</v>
      </c>
    </row>
    <row r="73" spans="1:3">
      <c r="A73" t="s">
        <v>208</v>
      </c>
      <c r="B73" t="s">
        <v>1448</v>
      </c>
      <c r="C73" t="s">
        <v>1449</v>
      </c>
    </row>
    <row r="74" spans="1:3">
      <c r="A74" t="s">
        <v>308</v>
      </c>
      <c r="C74" t="s">
        <v>1686</v>
      </c>
    </row>
    <row r="75" spans="1:3">
      <c r="A75" t="s">
        <v>1404</v>
      </c>
      <c r="B75" t="s">
        <v>1450</v>
      </c>
      <c r="C75" t="s">
        <v>1451</v>
      </c>
    </row>
    <row r="76" spans="1:3">
      <c r="A76" t="s">
        <v>1922</v>
      </c>
      <c r="C76" t="s">
        <v>1923</v>
      </c>
    </row>
    <row r="77" spans="1:3">
      <c r="A77" t="s">
        <v>1908</v>
      </c>
      <c r="C77" t="s">
        <v>1909</v>
      </c>
    </row>
    <row r="78" spans="1:3">
      <c r="A78" t="s">
        <v>1288</v>
      </c>
      <c r="C78" t="s">
        <v>1687</v>
      </c>
    </row>
    <row r="79" spans="1:3">
      <c r="A79" t="s">
        <v>1289</v>
      </c>
      <c r="C79" t="s">
        <v>1688</v>
      </c>
    </row>
    <row r="80" spans="1:3">
      <c r="A80" t="s">
        <v>310</v>
      </c>
      <c r="C80" t="s">
        <v>1689</v>
      </c>
    </row>
    <row r="81" spans="1:3">
      <c r="A81" t="s">
        <v>311</v>
      </c>
      <c r="C81" t="s">
        <v>1690</v>
      </c>
    </row>
    <row r="82" spans="1:3">
      <c r="A82" t="s">
        <v>300</v>
      </c>
      <c r="B82" t="s">
        <v>1452</v>
      </c>
      <c r="C82" t="s">
        <v>1453</v>
      </c>
    </row>
    <row r="83" spans="1:3">
      <c r="A83" t="s">
        <v>355</v>
      </c>
      <c r="B83" t="s">
        <v>1454</v>
      </c>
      <c r="C83" t="s">
        <v>1455</v>
      </c>
    </row>
    <row r="84" spans="1:3">
      <c r="A84" t="s">
        <v>791</v>
      </c>
      <c r="C84" t="s">
        <v>1691</v>
      </c>
    </row>
    <row r="85" spans="1:3">
      <c r="A85" t="s">
        <v>2095</v>
      </c>
      <c r="C85" t="s">
        <v>2096</v>
      </c>
    </row>
    <row r="86" spans="1:3">
      <c r="A86" t="s">
        <v>312</v>
      </c>
      <c r="B86" t="s">
        <v>1456</v>
      </c>
      <c r="C86" t="s">
        <v>1457</v>
      </c>
    </row>
    <row r="87" spans="1:3">
      <c r="A87" t="s">
        <v>792</v>
      </c>
      <c r="B87" t="s">
        <v>1458</v>
      </c>
      <c r="C87" t="s">
        <v>1459</v>
      </c>
    </row>
    <row r="88" spans="1:3">
      <c r="A88" t="s">
        <v>313</v>
      </c>
      <c r="C88" t="s">
        <v>1692</v>
      </c>
    </row>
    <row r="89" spans="1:3">
      <c r="A89" t="s">
        <v>314</v>
      </c>
      <c r="C89" t="s">
        <v>1693</v>
      </c>
    </row>
    <row r="90" spans="1:3">
      <c r="A90" t="s">
        <v>356</v>
      </c>
      <c r="C90" t="s">
        <v>1694</v>
      </c>
    </row>
    <row r="91" spans="1:3">
      <c r="A91" t="s">
        <v>1992</v>
      </c>
      <c r="B91" t="s">
        <v>1993</v>
      </c>
      <c r="C91" t="s">
        <v>1994</v>
      </c>
    </row>
    <row r="92" spans="1:3">
      <c r="A92" t="s">
        <v>400</v>
      </c>
      <c r="C92" t="s">
        <v>1695</v>
      </c>
    </row>
    <row r="93" spans="1:3">
      <c r="A93" t="s">
        <v>2097</v>
      </c>
      <c r="C93" t="s">
        <v>2098</v>
      </c>
    </row>
    <row r="94" spans="1:3">
      <c r="A94" t="s">
        <v>315</v>
      </c>
      <c r="B94" t="s">
        <v>1460</v>
      </c>
      <c r="C94" t="s">
        <v>1461</v>
      </c>
    </row>
    <row r="95" spans="1:3">
      <c r="A95" t="s">
        <v>1625</v>
      </c>
      <c r="C95" t="s">
        <v>1696</v>
      </c>
    </row>
    <row r="96" spans="1:3">
      <c r="A96" t="s">
        <v>793</v>
      </c>
      <c r="C96" t="s">
        <v>1697</v>
      </c>
    </row>
    <row r="97" spans="1:3">
      <c r="A97" t="s">
        <v>794</v>
      </c>
      <c r="C97" t="s">
        <v>1698</v>
      </c>
    </row>
    <row r="98" spans="1:3">
      <c r="A98" t="s">
        <v>401</v>
      </c>
      <c r="B98" t="s">
        <v>1462</v>
      </c>
      <c r="C98" t="s">
        <v>1463</v>
      </c>
    </row>
    <row r="99" spans="1:3">
      <c r="A99" t="s">
        <v>302</v>
      </c>
      <c r="B99" t="s">
        <v>1464</v>
      </c>
      <c r="C99" t="s">
        <v>1465</v>
      </c>
    </row>
    <row r="100" spans="1:3">
      <c r="A100" t="s">
        <v>795</v>
      </c>
      <c r="B100" t="s">
        <v>1466</v>
      </c>
      <c r="C100" t="s">
        <v>1467</v>
      </c>
    </row>
    <row r="101" spans="1:3">
      <c r="A101" t="s">
        <v>796</v>
      </c>
      <c r="C101" t="s">
        <v>1699</v>
      </c>
    </row>
    <row r="102" spans="1:3">
      <c r="A102" t="s">
        <v>1393</v>
      </c>
      <c r="C102" t="s">
        <v>1700</v>
      </c>
    </row>
    <row r="103" spans="1:3">
      <c r="A103" t="s">
        <v>402</v>
      </c>
      <c r="C103" t="s">
        <v>1701</v>
      </c>
    </row>
    <row r="104" spans="1:3">
      <c r="A104" t="s">
        <v>403</v>
      </c>
      <c r="C104" t="s">
        <v>1702</v>
      </c>
    </row>
    <row r="105" spans="1:3">
      <c r="A105" t="s">
        <v>797</v>
      </c>
      <c r="C105" t="s">
        <v>1703</v>
      </c>
    </row>
    <row r="106" spans="1:3">
      <c r="A106" t="s">
        <v>360</v>
      </c>
      <c r="C106" t="s">
        <v>1704</v>
      </c>
    </row>
    <row r="107" spans="1:3">
      <c r="A107" t="s">
        <v>2155</v>
      </c>
      <c r="B107" t="s">
        <v>2156</v>
      </c>
      <c r="C107" t="s">
        <v>2157</v>
      </c>
    </row>
    <row r="108" spans="1:3">
      <c r="A108" t="s">
        <v>1995</v>
      </c>
      <c r="C108" t="s">
        <v>1996</v>
      </c>
    </row>
    <row r="109" spans="1:3">
      <c r="A109" t="s">
        <v>798</v>
      </c>
      <c r="C109" t="s">
        <v>1705</v>
      </c>
    </row>
    <row r="110" spans="1:3">
      <c r="A110" t="s">
        <v>799</v>
      </c>
      <c r="C110" t="s">
        <v>1706</v>
      </c>
    </row>
    <row r="111" spans="1:3">
      <c r="A111" t="s">
        <v>2114</v>
      </c>
      <c r="B111" t="s">
        <v>2115</v>
      </c>
      <c r="C111" t="s">
        <v>2116</v>
      </c>
    </row>
    <row r="112" spans="1:3">
      <c r="A112" t="s">
        <v>800</v>
      </c>
      <c r="C112" t="s">
        <v>1707</v>
      </c>
    </row>
    <row r="113" spans="1:3">
      <c r="A113" t="s">
        <v>2078</v>
      </c>
      <c r="C113" t="s">
        <v>2079</v>
      </c>
    </row>
    <row r="114" spans="1:3">
      <c r="A114" t="s">
        <v>1340</v>
      </c>
      <c r="B114" t="s">
        <v>1468</v>
      </c>
      <c r="C114" t="s">
        <v>1469</v>
      </c>
    </row>
    <row r="115" spans="1:3">
      <c r="A115" t="s">
        <v>404</v>
      </c>
      <c r="C115" t="s">
        <v>1708</v>
      </c>
    </row>
    <row r="116" spans="1:3">
      <c r="A116" t="s">
        <v>801</v>
      </c>
      <c r="C116" t="s">
        <v>1709</v>
      </c>
    </row>
    <row r="117" spans="1:3">
      <c r="A117" t="s">
        <v>405</v>
      </c>
      <c r="B117" t="s">
        <v>1470</v>
      </c>
      <c r="C117" t="s">
        <v>1471</v>
      </c>
    </row>
    <row r="118" spans="1:3">
      <c r="A118" t="s">
        <v>802</v>
      </c>
      <c r="C118" t="s">
        <v>1710</v>
      </c>
    </row>
    <row r="119" spans="1:3">
      <c r="A119" t="s">
        <v>406</v>
      </c>
      <c r="C119" t="s">
        <v>1711</v>
      </c>
    </row>
    <row r="120" spans="1:3">
      <c r="A120" t="s">
        <v>316</v>
      </c>
      <c r="C120" t="s">
        <v>1712</v>
      </c>
    </row>
    <row r="121" spans="1:3">
      <c r="A121" t="s">
        <v>317</v>
      </c>
      <c r="B121" t="s">
        <v>1472</v>
      </c>
      <c r="C121" t="s">
        <v>1473</v>
      </c>
    </row>
    <row r="122" spans="1:3">
      <c r="A122" t="s">
        <v>1924</v>
      </c>
      <c r="C122" t="s">
        <v>1925</v>
      </c>
    </row>
    <row r="123" spans="1:3">
      <c r="A123" t="s">
        <v>1997</v>
      </c>
      <c r="C123" t="s">
        <v>1998</v>
      </c>
    </row>
    <row r="124" spans="1:3">
      <c r="A124" t="s">
        <v>1290</v>
      </c>
      <c r="B124" t="s">
        <v>1474</v>
      </c>
      <c r="C124" t="s">
        <v>1475</v>
      </c>
    </row>
    <row r="125" spans="1:3">
      <c r="A125" t="s">
        <v>318</v>
      </c>
      <c r="B125" t="s">
        <v>1476</v>
      </c>
      <c r="C125" t="s">
        <v>1477</v>
      </c>
    </row>
    <row r="126" spans="1:3">
      <c r="A126" t="s">
        <v>1324</v>
      </c>
      <c r="C126" t="s">
        <v>1713</v>
      </c>
    </row>
    <row r="127" spans="1:3">
      <c r="A127" t="s">
        <v>1999</v>
      </c>
      <c r="C127" t="s">
        <v>2000</v>
      </c>
    </row>
    <row r="128" spans="1:3">
      <c r="A128" t="s">
        <v>2109</v>
      </c>
      <c r="C128" t="s">
        <v>2110</v>
      </c>
    </row>
    <row r="129" spans="1:3">
      <c r="A129" t="s">
        <v>475</v>
      </c>
      <c r="C129" t="s">
        <v>1714</v>
      </c>
    </row>
    <row r="130" spans="1:3">
      <c r="A130" t="s">
        <v>803</v>
      </c>
      <c r="C130" t="s">
        <v>1715</v>
      </c>
    </row>
    <row r="131" spans="1:3">
      <c r="A131" t="s">
        <v>804</v>
      </c>
      <c r="C131" t="s">
        <v>1716</v>
      </c>
    </row>
    <row r="132" spans="1:3">
      <c r="A132" t="s">
        <v>805</v>
      </c>
      <c r="C132" t="s">
        <v>1717</v>
      </c>
    </row>
    <row r="133" spans="1:3">
      <c r="A133" t="s">
        <v>806</v>
      </c>
      <c r="C133" t="s">
        <v>1718</v>
      </c>
    </row>
    <row r="134" spans="1:3">
      <c r="A134" t="s">
        <v>510</v>
      </c>
      <c r="B134" t="s">
        <v>1478</v>
      </c>
      <c r="C134" t="s">
        <v>1479</v>
      </c>
    </row>
    <row r="135" spans="1:3">
      <c r="A135" t="s">
        <v>807</v>
      </c>
      <c r="C135" t="s">
        <v>1719</v>
      </c>
    </row>
    <row r="136" spans="1:3">
      <c r="A136" t="s">
        <v>808</v>
      </c>
      <c r="C136" t="s">
        <v>1720</v>
      </c>
    </row>
    <row r="137" spans="1:3">
      <c r="A137" t="s">
        <v>1323</v>
      </c>
      <c r="C137" t="s">
        <v>1721</v>
      </c>
    </row>
    <row r="138" spans="1:3">
      <c r="A138" t="s">
        <v>1395</v>
      </c>
      <c r="C138" t="s">
        <v>1722</v>
      </c>
    </row>
    <row r="139" spans="1:3">
      <c r="A139" t="s">
        <v>1406</v>
      </c>
      <c r="B139" t="s">
        <v>1480</v>
      </c>
      <c r="C139" t="s">
        <v>1481</v>
      </c>
    </row>
    <row r="140" spans="1:3">
      <c r="A140" t="s">
        <v>498</v>
      </c>
      <c r="C140" t="s">
        <v>1723</v>
      </c>
    </row>
    <row r="141" spans="1:3">
      <c r="A141" t="s">
        <v>809</v>
      </c>
      <c r="C141" t="s">
        <v>1724</v>
      </c>
    </row>
    <row r="142" spans="1:3">
      <c r="A142" t="s">
        <v>810</v>
      </c>
      <c r="C142" t="s">
        <v>1725</v>
      </c>
    </row>
    <row r="143" spans="1:3">
      <c r="A143" t="s">
        <v>319</v>
      </c>
      <c r="B143" t="s">
        <v>1482</v>
      </c>
      <c r="C143" t="s">
        <v>1483</v>
      </c>
    </row>
    <row r="144" spans="1:3">
      <c r="A144" t="s">
        <v>811</v>
      </c>
      <c r="C144" t="s">
        <v>1726</v>
      </c>
    </row>
    <row r="145" spans="1:3">
      <c r="A145" t="s">
        <v>499</v>
      </c>
      <c r="C145" t="s">
        <v>1727</v>
      </c>
    </row>
    <row r="146" spans="1:3">
      <c r="A146" t="s">
        <v>812</v>
      </c>
      <c r="C146" t="s">
        <v>1728</v>
      </c>
    </row>
    <row r="147" spans="1:3">
      <c r="A147" t="s">
        <v>813</v>
      </c>
      <c r="C147" t="s">
        <v>1729</v>
      </c>
    </row>
    <row r="148" spans="1:3">
      <c r="A148" t="s">
        <v>814</v>
      </c>
      <c r="C148" t="s">
        <v>1730</v>
      </c>
    </row>
    <row r="149" spans="1:3">
      <c r="A149" t="s">
        <v>320</v>
      </c>
      <c r="B149" t="s">
        <v>1484</v>
      </c>
      <c r="C149" t="s">
        <v>1485</v>
      </c>
    </row>
    <row r="150" spans="1:3">
      <c r="A150" t="s">
        <v>407</v>
      </c>
      <c r="C150" t="s">
        <v>1731</v>
      </c>
    </row>
    <row r="151" spans="1:3">
      <c r="A151" t="s">
        <v>1390</v>
      </c>
      <c r="C151" t="s">
        <v>1732</v>
      </c>
    </row>
    <row r="152" spans="1:3">
      <c r="A152" t="s">
        <v>516</v>
      </c>
      <c r="B152" t="s">
        <v>1486</v>
      </c>
      <c r="C152" t="s">
        <v>1487</v>
      </c>
    </row>
    <row r="153" spans="1:3">
      <c r="A153" t="s">
        <v>303</v>
      </c>
      <c r="B153" t="s">
        <v>1488</v>
      </c>
      <c r="C153" t="s">
        <v>1489</v>
      </c>
    </row>
    <row r="154" spans="1:3">
      <c r="A154" t="s">
        <v>520</v>
      </c>
      <c r="B154" t="s">
        <v>1490</v>
      </c>
      <c r="C154" t="s">
        <v>1491</v>
      </c>
    </row>
    <row r="155" spans="1:3">
      <c r="A155" t="s">
        <v>321</v>
      </c>
      <c r="B155" t="s">
        <v>1492</v>
      </c>
      <c r="C155" t="s">
        <v>1493</v>
      </c>
    </row>
    <row r="156" spans="1:3">
      <c r="A156" t="s">
        <v>322</v>
      </c>
      <c r="B156" t="s">
        <v>1494</v>
      </c>
      <c r="C156" t="s">
        <v>1495</v>
      </c>
    </row>
    <row r="157" spans="1:3">
      <c r="A157" t="s">
        <v>815</v>
      </c>
      <c r="C157" t="s">
        <v>1733</v>
      </c>
    </row>
    <row r="158" spans="1:3">
      <c r="A158" t="s">
        <v>1325</v>
      </c>
      <c r="C158" t="s">
        <v>1734</v>
      </c>
    </row>
    <row r="159" spans="1:3">
      <c r="A159" t="s">
        <v>816</v>
      </c>
      <c r="C159" t="s">
        <v>1735</v>
      </c>
    </row>
    <row r="160" spans="1:3">
      <c r="A160" t="s">
        <v>408</v>
      </c>
      <c r="C160" t="s">
        <v>1736</v>
      </c>
    </row>
    <row r="161" spans="1:3">
      <c r="A161" t="s">
        <v>323</v>
      </c>
      <c r="B161" t="s">
        <v>1496</v>
      </c>
      <c r="C161" t="s">
        <v>1497</v>
      </c>
    </row>
    <row r="162" spans="1:3">
      <c r="A162" t="s">
        <v>2001</v>
      </c>
      <c r="C162" t="s">
        <v>2002</v>
      </c>
    </row>
    <row r="163" spans="1:3">
      <c r="A163" t="s">
        <v>2158</v>
      </c>
      <c r="B163" t="s">
        <v>2159</v>
      </c>
      <c r="C163" t="s">
        <v>2160</v>
      </c>
    </row>
    <row r="164" spans="1:3">
      <c r="A164" t="s">
        <v>491</v>
      </c>
      <c r="C164" t="s">
        <v>1737</v>
      </c>
    </row>
    <row r="165" spans="1:3">
      <c r="A165" t="s">
        <v>324</v>
      </c>
      <c r="B165" t="s">
        <v>1498</v>
      </c>
      <c r="C165" t="s">
        <v>1499</v>
      </c>
    </row>
    <row r="166" spans="1:3">
      <c r="A166" t="s">
        <v>9</v>
      </c>
      <c r="B166" t="s">
        <v>1500</v>
      </c>
      <c r="C166" t="s">
        <v>1501</v>
      </c>
    </row>
    <row r="167" spans="1:3">
      <c r="A167" t="s">
        <v>817</v>
      </c>
      <c r="C167" t="s">
        <v>1738</v>
      </c>
    </row>
    <row r="168" spans="1:3">
      <c r="A168" t="s">
        <v>2003</v>
      </c>
      <c r="C168" t="s">
        <v>2004</v>
      </c>
    </row>
    <row r="169" spans="1:3">
      <c r="A169" t="s">
        <v>818</v>
      </c>
      <c r="C169" t="s">
        <v>1739</v>
      </c>
    </row>
    <row r="170" spans="1:3">
      <c r="A170" t="s">
        <v>409</v>
      </c>
      <c r="B170" t="s">
        <v>1502</v>
      </c>
      <c r="C170" t="s">
        <v>1503</v>
      </c>
    </row>
    <row r="171" spans="1:3">
      <c r="A171" t="s">
        <v>819</v>
      </c>
      <c r="C171" t="s">
        <v>1740</v>
      </c>
    </row>
    <row r="172" spans="1:3">
      <c r="A172" t="s">
        <v>2117</v>
      </c>
      <c r="C172" t="s">
        <v>2118</v>
      </c>
    </row>
    <row r="173" spans="1:3">
      <c r="A173" t="s">
        <v>410</v>
      </c>
      <c r="C173" t="s">
        <v>1741</v>
      </c>
    </row>
    <row r="174" spans="1:3">
      <c r="A174" t="s">
        <v>2161</v>
      </c>
      <c r="C174" t="s">
        <v>2162</v>
      </c>
    </row>
    <row r="175" spans="1:3">
      <c r="A175" t="s">
        <v>1396</v>
      </c>
      <c r="C175" t="s">
        <v>1742</v>
      </c>
    </row>
    <row r="176" spans="1:3">
      <c r="A176" t="s">
        <v>492</v>
      </c>
      <c r="C176" t="s">
        <v>1743</v>
      </c>
    </row>
    <row r="177" spans="1:3">
      <c r="A177" t="s">
        <v>1267</v>
      </c>
      <c r="C177" t="s">
        <v>1744</v>
      </c>
    </row>
    <row r="178" spans="1:3">
      <c r="A178" t="s">
        <v>1910</v>
      </c>
      <c r="C178" t="s">
        <v>1911</v>
      </c>
    </row>
    <row r="179" spans="1:3">
      <c r="A179" t="s">
        <v>1326</v>
      </c>
      <c r="C179" t="s">
        <v>1745</v>
      </c>
    </row>
    <row r="180" spans="1:3">
      <c r="A180" t="s">
        <v>361</v>
      </c>
      <c r="C180" t="s">
        <v>1746</v>
      </c>
    </row>
    <row r="181" spans="1:3">
      <c r="A181" t="s">
        <v>362</v>
      </c>
      <c r="C181" t="s">
        <v>1747</v>
      </c>
    </row>
    <row r="182" spans="1:3">
      <c r="A182" t="s">
        <v>325</v>
      </c>
      <c r="B182" t="s">
        <v>1504</v>
      </c>
      <c r="C182" t="s">
        <v>1505</v>
      </c>
    </row>
    <row r="183" spans="1:3">
      <c r="A183" t="s">
        <v>500</v>
      </c>
      <c r="C183" t="s">
        <v>1748</v>
      </c>
    </row>
    <row r="184" spans="1:3">
      <c r="A184" t="s">
        <v>363</v>
      </c>
      <c r="C184" t="s">
        <v>1749</v>
      </c>
    </row>
    <row r="185" spans="1:3">
      <c r="A185" t="s">
        <v>411</v>
      </c>
      <c r="C185" t="s">
        <v>1750</v>
      </c>
    </row>
    <row r="186" spans="1:3">
      <c r="A186" t="s">
        <v>2005</v>
      </c>
      <c r="C186" t="s">
        <v>2006</v>
      </c>
    </row>
    <row r="187" spans="1:3">
      <c r="A187" t="s">
        <v>412</v>
      </c>
      <c r="C187" t="s">
        <v>1751</v>
      </c>
    </row>
    <row r="188" spans="1:3">
      <c r="A188" t="s">
        <v>413</v>
      </c>
      <c r="C188" t="s">
        <v>1752</v>
      </c>
    </row>
    <row r="189" spans="1:3">
      <c r="A189" t="s">
        <v>414</v>
      </c>
      <c r="C189" t="s">
        <v>1753</v>
      </c>
    </row>
    <row r="190" spans="1:3">
      <c r="A190" t="s">
        <v>2007</v>
      </c>
      <c r="C190" t="s">
        <v>2008</v>
      </c>
    </row>
    <row r="191" spans="1:3">
      <c r="A191" t="s">
        <v>1384</v>
      </c>
      <c r="C191" t="s">
        <v>1926</v>
      </c>
    </row>
    <row r="192" spans="1:3">
      <c r="A192" t="s">
        <v>820</v>
      </c>
      <c r="C192" t="s">
        <v>1754</v>
      </c>
    </row>
    <row r="193" spans="1:3">
      <c r="A193" t="s">
        <v>821</v>
      </c>
      <c r="C193" t="s">
        <v>1755</v>
      </c>
    </row>
    <row r="194" spans="1:3">
      <c r="A194" t="s">
        <v>415</v>
      </c>
      <c r="B194" t="s">
        <v>1506</v>
      </c>
      <c r="C194" t="s">
        <v>1507</v>
      </c>
    </row>
    <row r="195" spans="1:3">
      <c r="A195" t="s">
        <v>2009</v>
      </c>
      <c r="C195" t="s">
        <v>2010</v>
      </c>
    </row>
    <row r="196" spans="1:3">
      <c r="A196" t="s">
        <v>102</v>
      </c>
      <c r="C196" t="s">
        <v>1756</v>
      </c>
    </row>
    <row r="197" spans="1:3">
      <c r="A197" t="s">
        <v>476</v>
      </c>
      <c r="C197" t="s">
        <v>1757</v>
      </c>
    </row>
    <row r="198" spans="1:3">
      <c r="A198" t="s">
        <v>1291</v>
      </c>
      <c r="C198" t="s">
        <v>1758</v>
      </c>
    </row>
    <row r="199" spans="1:3">
      <c r="A199" t="s">
        <v>478</v>
      </c>
      <c r="C199" t="s">
        <v>1759</v>
      </c>
    </row>
    <row r="200" spans="1:3">
      <c r="A200" t="s">
        <v>483</v>
      </c>
      <c r="B200" t="s">
        <v>1508</v>
      </c>
      <c r="C200" t="s">
        <v>1509</v>
      </c>
    </row>
    <row r="201" spans="1:3">
      <c r="A201" t="s">
        <v>484</v>
      </c>
      <c r="B201" t="s">
        <v>1510</v>
      </c>
      <c r="C201" t="s">
        <v>1511</v>
      </c>
    </row>
    <row r="202" spans="1:3">
      <c r="A202" t="s">
        <v>485</v>
      </c>
      <c r="C202" t="s">
        <v>1760</v>
      </c>
    </row>
    <row r="203" spans="1:3">
      <c r="A203" t="s">
        <v>486</v>
      </c>
      <c r="C203" t="s">
        <v>1761</v>
      </c>
    </row>
    <row r="204" spans="1:3">
      <c r="A204" t="s">
        <v>2011</v>
      </c>
      <c r="C204" t="s">
        <v>2012</v>
      </c>
    </row>
    <row r="205" spans="1:3">
      <c r="A205" t="s">
        <v>2013</v>
      </c>
      <c r="C205" t="s">
        <v>2014</v>
      </c>
    </row>
    <row r="206" spans="1:3">
      <c r="A206" t="s">
        <v>364</v>
      </c>
      <c r="C206" t="s">
        <v>1762</v>
      </c>
    </row>
    <row r="207" spans="1:3">
      <c r="A207" t="s">
        <v>501</v>
      </c>
      <c r="C207" t="s">
        <v>1763</v>
      </c>
    </row>
    <row r="208" spans="1:3">
      <c r="A208" t="s">
        <v>2119</v>
      </c>
      <c r="C208" t="s">
        <v>2120</v>
      </c>
    </row>
    <row r="209" spans="1:3">
      <c r="A209" t="s">
        <v>416</v>
      </c>
      <c r="B209" t="s">
        <v>1512</v>
      </c>
      <c r="C209" t="s">
        <v>1513</v>
      </c>
    </row>
    <row r="210" spans="1:3">
      <c r="A210" t="s">
        <v>502</v>
      </c>
      <c r="C210" t="s">
        <v>1764</v>
      </c>
    </row>
    <row r="211" spans="1:3">
      <c r="A211" t="s">
        <v>2163</v>
      </c>
      <c r="C211" t="s">
        <v>2164</v>
      </c>
    </row>
    <row r="212" spans="1:3">
      <c r="A212" t="s">
        <v>822</v>
      </c>
      <c r="C212" t="s">
        <v>1765</v>
      </c>
    </row>
    <row r="213" spans="1:3">
      <c r="A213" t="s">
        <v>823</v>
      </c>
      <c r="C213" t="s">
        <v>1766</v>
      </c>
    </row>
    <row r="214" spans="1:3">
      <c r="A214" t="s">
        <v>1626</v>
      </c>
      <c r="C214" t="s">
        <v>1767</v>
      </c>
    </row>
    <row r="215" spans="1:3">
      <c r="A215" t="s">
        <v>493</v>
      </c>
      <c r="C215" t="s">
        <v>1768</v>
      </c>
    </row>
    <row r="216" spans="1:3">
      <c r="A216" t="s">
        <v>326</v>
      </c>
      <c r="B216" t="s">
        <v>1514</v>
      </c>
      <c r="C216" t="s">
        <v>1515</v>
      </c>
    </row>
    <row r="217" spans="1:3">
      <c r="A217" t="s">
        <v>769</v>
      </c>
      <c r="B217" t="s">
        <v>6</v>
      </c>
      <c r="C217" t="s">
        <v>1516</v>
      </c>
    </row>
    <row r="218" spans="1:3">
      <c r="A218" t="s">
        <v>824</v>
      </c>
      <c r="C218" t="s">
        <v>1769</v>
      </c>
    </row>
    <row r="219" spans="1:3">
      <c r="A219" t="s">
        <v>825</v>
      </c>
      <c r="B219" t="s">
        <v>1517</v>
      </c>
      <c r="C219" t="s">
        <v>1518</v>
      </c>
    </row>
    <row r="220" spans="1:3">
      <c r="A220" t="s">
        <v>826</v>
      </c>
      <c r="B220" t="s">
        <v>1519</v>
      </c>
      <c r="C220" t="s">
        <v>1520</v>
      </c>
    </row>
    <row r="221" spans="1:3">
      <c r="A221" t="s">
        <v>827</v>
      </c>
      <c r="C221" t="s">
        <v>1770</v>
      </c>
    </row>
    <row r="222" spans="1:3">
      <c r="A222" t="s">
        <v>2015</v>
      </c>
      <c r="C222" t="s">
        <v>2016</v>
      </c>
    </row>
    <row r="223" spans="1:3">
      <c r="A223" t="s">
        <v>17</v>
      </c>
      <c r="C223" t="s">
        <v>1927</v>
      </c>
    </row>
    <row r="224" spans="1:3">
      <c r="A224" t="s">
        <v>828</v>
      </c>
      <c r="C224" t="s">
        <v>1771</v>
      </c>
    </row>
    <row r="225" spans="1:3">
      <c r="A225" t="s">
        <v>829</v>
      </c>
      <c r="C225" t="s">
        <v>1772</v>
      </c>
    </row>
    <row r="226" spans="1:3">
      <c r="A226" t="s">
        <v>830</v>
      </c>
      <c r="C226" t="s">
        <v>1773</v>
      </c>
    </row>
    <row r="227" spans="1:3">
      <c r="A227" t="s">
        <v>831</v>
      </c>
      <c r="C227" t="s">
        <v>1774</v>
      </c>
    </row>
    <row r="228" spans="1:3">
      <c r="A228" t="s">
        <v>2017</v>
      </c>
      <c r="C228" t="s">
        <v>2018</v>
      </c>
    </row>
    <row r="229" spans="1:3">
      <c r="A229" t="s">
        <v>2165</v>
      </c>
      <c r="C229" t="s">
        <v>2166</v>
      </c>
    </row>
    <row r="230" spans="1:3">
      <c r="A230" t="s">
        <v>503</v>
      </c>
      <c r="C230" t="s">
        <v>1775</v>
      </c>
    </row>
    <row r="231" spans="1:3">
      <c r="A231" t="s">
        <v>2099</v>
      </c>
      <c r="C231" t="s">
        <v>2100</v>
      </c>
    </row>
    <row r="232" spans="1:3">
      <c r="A232" t="s">
        <v>417</v>
      </c>
      <c r="C232" t="s">
        <v>1776</v>
      </c>
    </row>
    <row r="233" spans="1:3">
      <c r="A233" t="s">
        <v>327</v>
      </c>
      <c r="B233" t="s">
        <v>1521</v>
      </c>
      <c r="C233" t="s">
        <v>1522</v>
      </c>
    </row>
    <row r="234" spans="1:3">
      <c r="A234" t="s">
        <v>832</v>
      </c>
      <c r="C234" t="s">
        <v>1777</v>
      </c>
    </row>
    <row r="235" spans="1:3">
      <c r="A235" t="s">
        <v>833</v>
      </c>
      <c r="C235" t="s">
        <v>1778</v>
      </c>
    </row>
    <row r="236" spans="1:3">
      <c r="A236" t="s">
        <v>834</v>
      </c>
      <c r="C236" t="s">
        <v>1779</v>
      </c>
    </row>
    <row r="237" spans="1:3">
      <c r="A237" t="s">
        <v>2019</v>
      </c>
      <c r="B237" t="s">
        <v>2020</v>
      </c>
      <c r="C237" t="s">
        <v>2021</v>
      </c>
    </row>
    <row r="238" spans="1:3">
      <c r="A238" t="s">
        <v>418</v>
      </c>
      <c r="C238" t="s">
        <v>1780</v>
      </c>
    </row>
    <row r="239" spans="1:3">
      <c r="A239" t="s">
        <v>419</v>
      </c>
      <c r="C239" t="s">
        <v>1781</v>
      </c>
    </row>
    <row r="240" spans="1:3">
      <c r="A240" t="s">
        <v>366</v>
      </c>
      <c r="C240" t="s">
        <v>1782</v>
      </c>
    </row>
    <row r="241" spans="1:3">
      <c r="A241" t="s">
        <v>367</v>
      </c>
      <c r="C241" t="s">
        <v>1783</v>
      </c>
    </row>
    <row r="242" spans="1:3">
      <c r="A242" t="s">
        <v>835</v>
      </c>
      <c r="C242" t="s">
        <v>1784</v>
      </c>
    </row>
    <row r="243" spans="1:3">
      <c r="A243" t="s">
        <v>420</v>
      </c>
      <c r="B243" t="s">
        <v>1523</v>
      </c>
      <c r="C243" t="s">
        <v>1524</v>
      </c>
    </row>
    <row r="244" spans="1:3">
      <c r="A244" t="s">
        <v>329</v>
      </c>
      <c r="B244" t="s">
        <v>1525</v>
      </c>
      <c r="C244" t="s">
        <v>1526</v>
      </c>
    </row>
    <row r="245" spans="1:3">
      <c r="A245" t="s">
        <v>836</v>
      </c>
      <c r="C245" t="s">
        <v>1785</v>
      </c>
    </row>
    <row r="246" spans="1:3">
      <c r="A246" t="s">
        <v>330</v>
      </c>
      <c r="B246" t="s">
        <v>1527</v>
      </c>
      <c r="C246" t="s">
        <v>1528</v>
      </c>
    </row>
    <row r="247" spans="1:3">
      <c r="A247" t="s">
        <v>1320</v>
      </c>
      <c r="C247" t="s">
        <v>1786</v>
      </c>
    </row>
    <row r="248" spans="1:3">
      <c r="A248" t="s">
        <v>2022</v>
      </c>
      <c r="C248" t="s">
        <v>2023</v>
      </c>
    </row>
    <row r="249" spans="1:3">
      <c r="A249" t="s">
        <v>328</v>
      </c>
      <c r="B249" t="s">
        <v>1529</v>
      </c>
      <c r="C249" t="s">
        <v>1530</v>
      </c>
    </row>
    <row r="250" spans="1:3">
      <c r="A250" t="s">
        <v>1928</v>
      </c>
      <c r="C250" t="s">
        <v>1929</v>
      </c>
    </row>
    <row r="251" spans="1:3">
      <c r="A251" t="s">
        <v>837</v>
      </c>
      <c r="C251" t="s">
        <v>1787</v>
      </c>
    </row>
    <row r="252" spans="1:3">
      <c r="A252" t="s">
        <v>1930</v>
      </c>
      <c r="C252" t="s">
        <v>1931</v>
      </c>
    </row>
    <row r="253" spans="1:3">
      <c r="A253" t="s">
        <v>331</v>
      </c>
      <c r="B253" t="s">
        <v>1531</v>
      </c>
      <c r="C253" t="s">
        <v>1532</v>
      </c>
    </row>
    <row r="254" spans="1:3">
      <c r="A254" t="s">
        <v>838</v>
      </c>
      <c r="C254" t="s">
        <v>1788</v>
      </c>
    </row>
    <row r="255" spans="1:3">
      <c r="A255" t="s">
        <v>494</v>
      </c>
      <c r="C255" t="s">
        <v>1789</v>
      </c>
    </row>
    <row r="256" spans="1:3">
      <c r="A256" t="s">
        <v>1912</v>
      </c>
      <c r="C256" t="s">
        <v>1913</v>
      </c>
    </row>
    <row r="257" spans="1:3">
      <c r="A257" t="s">
        <v>422</v>
      </c>
      <c r="C257" t="s">
        <v>1790</v>
      </c>
    </row>
    <row r="258" spans="1:3">
      <c r="A258" t="s">
        <v>423</v>
      </c>
      <c r="B258" t="s">
        <v>1533</v>
      </c>
      <c r="C258" t="s">
        <v>1534</v>
      </c>
    </row>
    <row r="259" spans="1:3">
      <c r="A259" t="s">
        <v>839</v>
      </c>
      <c r="C259" t="s">
        <v>1791</v>
      </c>
    </row>
    <row r="260" spans="1:3">
      <c r="A260" t="s">
        <v>487</v>
      </c>
      <c r="C260" t="s">
        <v>1792</v>
      </c>
    </row>
    <row r="261" spans="1:3">
      <c r="A261" t="s">
        <v>840</v>
      </c>
      <c r="C261" t="s">
        <v>1793</v>
      </c>
    </row>
    <row r="262" spans="1:3">
      <c r="A262" t="s">
        <v>304</v>
      </c>
      <c r="B262" t="s">
        <v>1535</v>
      </c>
      <c r="C262" t="s">
        <v>1536</v>
      </c>
    </row>
    <row r="263" spans="1:3">
      <c r="A263" t="s">
        <v>2024</v>
      </c>
      <c r="C263" t="s">
        <v>2025</v>
      </c>
    </row>
    <row r="264" spans="1:3">
      <c r="A264" t="s">
        <v>1343</v>
      </c>
      <c r="C264" t="s">
        <v>1794</v>
      </c>
    </row>
    <row r="265" spans="1:3">
      <c r="A265" t="s">
        <v>841</v>
      </c>
      <c r="C265" t="s">
        <v>1795</v>
      </c>
    </row>
    <row r="266" spans="1:3">
      <c r="A266" t="s">
        <v>842</v>
      </c>
      <c r="C266" t="s">
        <v>1796</v>
      </c>
    </row>
    <row r="267" spans="1:3">
      <c r="A267" t="s">
        <v>843</v>
      </c>
      <c r="B267" t="s">
        <v>1537</v>
      </c>
      <c r="C267" t="s">
        <v>1538</v>
      </c>
    </row>
    <row r="268" spans="1:3">
      <c r="A268" t="s">
        <v>844</v>
      </c>
      <c r="C268" t="s">
        <v>1797</v>
      </c>
    </row>
    <row r="269" spans="1:3">
      <c r="A269" t="s">
        <v>845</v>
      </c>
      <c r="C269" t="s">
        <v>1798</v>
      </c>
    </row>
    <row r="270" spans="1:3">
      <c r="A270" t="s">
        <v>846</v>
      </c>
      <c r="C270" t="s">
        <v>1799</v>
      </c>
    </row>
    <row r="271" spans="1:3">
      <c r="A271" t="s">
        <v>847</v>
      </c>
      <c r="C271" t="s">
        <v>1800</v>
      </c>
    </row>
    <row r="272" spans="1:3">
      <c r="A272" t="s">
        <v>848</v>
      </c>
      <c r="C272" t="s">
        <v>1801</v>
      </c>
    </row>
    <row r="273" spans="1:3">
      <c r="A273" t="s">
        <v>431</v>
      </c>
      <c r="B273" t="s">
        <v>1539</v>
      </c>
      <c r="C273" t="s">
        <v>1540</v>
      </c>
    </row>
    <row r="274" spans="1:3">
      <c r="A274" t="s">
        <v>1292</v>
      </c>
      <c r="C274" t="s">
        <v>1802</v>
      </c>
    </row>
    <row r="275" spans="1:3">
      <c r="A275" t="s">
        <v>495</v>
      </c>
      <c r="C275" t="s">
        <v>1803</v>
      </c>
    </row>
    <row r="276" spans="1:3">
      <c r="A276" t="s">
        <v>2026</v>
      </c>
      <c r="C276" t="s">
        <v>2027</v>
      </c>
    </row>
    <row r="277" spans="1:3">
      <c r="A277" t="s">
        <v>333</v>
      </c>
      <c r="B277" t="s">
        <v>1541</v>
      </c>
      <c r="C277" t="s">
        <v>1542</v>
      </c>
    </row>
    <row r="278" spans="1:3">
      <c r="A278" t="s">
        <v>1932</v>
      </c>
      <c r="B278" t="s">
        <v>1933</v>
      </c>
      <c r="C278" t="s">
        <v>1934</v>
      </c>
    </row>
    <row r="279" spans="1:3">
      <c r="A279" t="s">
        <v>2028</v>
      </c>
      <c r="B279" t="s">
        <v>2029</v>
      </c>
      <c r="C279" t="s">
        <v>2030</v>
      </c>
    </row>
    <row r="280" spans="1:3">
      <c r="A280" t="s">
        <v>334</v>
      </c>
      <c r="B280" t="s">
        <v>1543</v>
      </c>
      <c r="C280" t="s">
        <v>1544</v>
      </c>
    </row>
    <row r="281" spans="1:3">
      <c r="A281" t="s">
        <v>849</v>
      </c>
      <c r="C281" t="s">
        <v>1804</v>
      </c>
    </row>
    <row r="282" spans="1:3">
      <c r="A282" t="s">
        <v>1943</v>
      </c>
      <c r="B282" t="s">
        <v>1944</v>
      </c>
      <c r="C282" t="s">
        <v>1945</v>
      </c>
    </row>
    <row r="283" spans="1:3">
      <c r="A283" t="s">
        <v>332</v>
      </c>
      <c r="B283" t="s">
        <v>1545</v>
      </c>
      <c r="C283" t="s">
        <v>1546</v>
      </c>
    </row>
    <row r="284" spans="1:3">
      <c r="A284" t="s">
        <v>368</v>
      </c>
      <c r="C284" t="s">
        <v>1805</v>
      </c>
    </row>
    <row r="285" spans="1:3">
      <c r="A285" t="s">
        <v>850</v>
      </c>
      <c r="C285" t="s">
        <v>1806</v>
      </c>
    </row>
    <row r="286" spans="1:3">
      <c r="A286" t="s">
        <v>505</v>
      </c>
      <c r="C286" t="s">
        <v>1807</v>
      </c>
    </row>
    <row r="287" spans="1:3">
      <c r="A287" t="s">
        <v>2167</v>
      </c>
      <c r="B287" t="s">
        <v>2168</v>
      </c>
      <c r="C287" t="s">
        <v>2169</v>
      </c>
    </row>
    <row r="288" spans="1:3">
      <c r="A288" t="s">
        <v>2102</v>
      </c>
      <c r="C288" t="s">
        <v>2103</v>
      </c>
    </row>
    <row r="289" spans="1:3">
      <c r="A289" t="s">
        <v>1369</v>
      </c>
      <c r="B289" t="s">
        <v>1547</v>
      </c>
      <c r="C289" t="s">
        <v>1548</v>
      </c>
    </row>
    <row r="290" spans="1:3">
      <c r="A290" t="s">
        <v>335</v>
      </c>
      <c r="B290" t="s">
        <v>1549</v>
      </c>
      <c r="C290" t="s">
        <v>1550</v>
      </c>
    </row>
    <row r="291" spans="1:3">
      <c r="A291" t="s">
        <v>336</v>
      </c>
      <c r="B291" t="s">
        <v>1551</v>
      </c>
      <c r="C291" t="s">
        <v>1552</v>
      </c>
    </row>
    <row r="292" spans="1:3">
      <c r="A292" t="s">
        <v>2031</v>
      </c>
      <c r="C292" t="s">
        <v>2032</v>
      </c>
    </row>
    <row r="293" spans="1:3">
      <c r="A293" t="s">
        <v>851</v>
      </c>
      <c r="C293" t="s">
        <v>1808</v>
      </c>
    </row>
    <row r="294" spans="1:3">
      <c r="A294" t="s">
        <v>2170</v>
      </c>
      <c r="C294" t="s">
        <v>2171</v>
      </c>
    </row>
    <row r="295" spans="1:3">
      <c r="A295" t="s">
        <v>369</v>
      </c>
      <c r="C295" t="s">
        <v>1809</v>
      </c>
    </row>
    <row r="296" spans="1:3">
      <c r="A296" t="s">
        <v>852</v>
      </c>
      <c r="C296" t="s">
        <v>1810</v>
      </c>
    </row>
    <row r="297" spans="1:3">
      <c r="A297" t="s">
        <v>511</v>
      </c>
      <c r="C297" t="s">
        <v>1811</v>
      </c>
    </row>
    <row r="298" spans="1:3">
      <c r="A298" t="s">
        <v>2172</v>
      </c>
      <c r="C298" t="s">
        <v>2173</v>
      </c>
    </row>
    <row r="299" spans="1:3">
      <c r="A299" t="s">
        <v>432</v>
      </c>
      <c r="B299" t="s">
        <v>1553</v>
      </c>
      <c r="C299" t="s">
        <v>1554</v>
      </c>
    </row>
    <row r="300" spans="1:3">
      <c r="A300" t="s">
        <v>1914</v>
      </c>
      <c r="C300" t="s">
        <v>1915</v>
      </c>
    </row>
    <row r="301" spans="1:3">
      <c r="A301" t="s">
        <v>504</v>
      </c>
      <c r="C301" t="s">
        <v>1812</v>
      </c>
    </row>
    <row r="302" spans="1:3">
      <c r="A302" t="s">
        <v>853</v>
      </c>
      <c r="C302" t="s">
        <v>1813</v>
      </c>
    </row>
    <row r="303" spans="1:3">
      <c r="A303" t="s">
        <v>2033</v>
      </c>
      <c r="C303" t="s">
        <v>2034</v>
      </c>
    </row>
    <row r="304" spans="1:3">
      <c r="A304" t="s">
        <v>370</v>
      </c>
      <c r="C304" t="s">
        <v>1814</v>
      </c>
    </row>
    <row r="305" spans="1:3">
      <c r="A305" t="s">
        <v>512</v>
      </c>
      <c r="C305" t="s">
        <v>1815</v>
      </c>
    </row>
    <row r="306" spans="1:3">
      <c r="A306" t="s">
        <v>513</v>
      </c>
      <c r="B306" t="s">
        <v>1555</v>
      </c>
      <c r="C306" t="s">
        <v>1556</v>
      </c>
    </row>
    <row r="307" spans="1:3">
      <c r="A307" t="s">
        <v>514</v>
      </c>
      <c r="C307" t="s">
        <v>1816</v>
      </c>
    </row>
    <row r="308" spans="1:3">
      <c r="A308" t="s">
        <v>306</v>
      </c>
      <c r="B308" t="s">
        <v>1557</v>
      </c>
      <c r="C308" t="s">
        <v>1558</v>
      </c>
    </row>
    <row r="309" spans="1:3">
      <c r="A309" t="s">
        <v>854</v>
      </c>
      <c r="B309" t="s">
        <v>1559</v>
      </c>
      <c r="C309" t="s">
        <v>1560</v>
      </c>
    </row>
    <row r="310" spans="1:3">
      <c r="A310" t="s">
        <v>855</v>
      </c>
      <c r="C310" t="s">
        <v>1817</v>
      </c>
    </row>
    <row r="311" spans="1:3">
      <c r="A311" t="s">
        <v>2174</v>
      </c>
      <c r="B311" t="s">
        <v>2175</v>
      </c>
      <c r="C311" t="s">
        <v>2176</v>
      </c>
    </row>
    <row r="312" spans="1:3">
      <c r="A312" t="s">
        <v>856</v>
      </c>
      <c r="C312" t="s">
        <v>1818</v>
      </c>
    </row>
    <row r="313" spans="1:3">
      <c r="A313" t="s">
        <v>371</v>
      </c>
      <c r="C313" t="s">
        <v>1819</v>
      </c>
    </row>
    <row r="314" spans="1:3">
      <c r="A314" t="s">
        <v>372</v>
      </c>
      <c r="B314" t="s">
        <v>1561</v>
      </c>
      <c r="C314" t="s">
        <v>1562</v>
      </c>
    </row>
    <row r="315" spans="1:3">
      <c r="A315" t="s">
        <v>496</v>
      </c>
      <c r="C315" t="s">
        <v>1820</v>
      </c>
    </row>
    <row r="316" spans="1:3">
      <c r="A316" t="s">
        <v>373</v>
      </c>
      <c r="C316" t="s">
        <v>1821</v>
      </c>
    </row>
    <row r="317" spans="1:3">
      <c r="A317" t="s">
        <v>1330</v>
      </c>
      <c r="C317" t="s">
        <v>1822</v>
      </c>
    </row>
    <row r="318" spans="1:3">
      <c r="A318" t="s">
        <v>2035</v>
      </c>
      <c r="C318" t="s">
        <v>2036</v>
      </c>
    </row>
    <row r="319" spans="1:3">
      <c r="A319" t="s">
        <v>337</v>
      </c>
      <c r="B319" t="s">
        <v>1563</v>
      </c>
      <c r="C319" t="s">
        <v>1564</v>
      </c>
    </row>
    <row r="320" spans="1:3">
      <c r="A320" t="s">
        <v>515</v>
      </c>
      <c r="C320" t="s">
        <v>1823</v>
      </c>
    </row>
    <row r="321" spans="1:3">
      <c r="A321" t="s">
        <v>1370</v>
      </c>
      <c r="C321" t="s">
        <v>1824</v>
      </c>
    </row>
    <row r="322" spans="1:3">
      <c r="A322" t="s">
        <v>857</v>
      </c>
      <c r="C322" t="s">
        <v>1825</v>
      </c>
    </row>
    <row r="323" spans="1:3">
      <c r="A323" t="s">
        <v>858</v>
      </c>
      <c r="C323" t="s">
        <v>1826</v>
      </c>
    </row>
    <row r="324" spans="1:3">
      <c r="A324" t="s">
        <v>458</v>
      </c>
      <c r="B324" t="s">
        <v>1565</v>
      </c>
      <c r="C324" t="s">
        <v>1566</v>
      </c>
    </row>
    <row r="325" spans="1:3">
      <c r="A325" t="s">
        <v>1331</v>
      </c>
      <c r="C325" t="s">
        <v>1827</v>
      </c>
    </row>
    <row r="326" spans="1:3">
      <c r="A326" t="s">
        <v>459</v>
      </c>
      <c r="C326" t="s">
        <v>1828</v>
      </c>
    </row>
    <row r="327" spans="1:3">
      <c r="A327" t="s">
        <v>859</v>
      </c>
      <c r="C327" t="s">
        <v>1829</v>
      </c>
    </row>
    <row r="328" spans="1:3">
      <c r="A328" t="s">
        <v>860</v>
      </c>
      <c r="C328" t="s">
        <v>1830</v>
      </c>
    </row>
    <row r="329" spans="1:3">
      <c r="A329" t="s">
        <v>338</v>
      </c>
      <c r="B329" t="s">
        <v>1567</v>
      </c>
      <c r="C329" t="s">
        <v>1568</v>
      </c>
    </row>
    <row r="330" spans="1:3">
      <c r="A330" t="s">
        <v>2121</v>
      </c>
      <c r="C330" t="s">
        <v>2122</v>
      </c>
    </row>
    <row r="331" spans="1:3">
      <c r="A331" t="s">
        <v>861</v>
      </c>
      <c r="C331" t="s">
        <v>1831</v>
      </c>
    </row>
    <row r="332" spans="1:3">
      <c r="A332" t="s">
        <v>862</v>
      </c>
      <c r="C332" t="s">
        <v>1832</v>
      </c>
    </row>
    <row r="333" spans="1:3">
      <c r="A333" t="s">
        <v>863</v>
      </c>
      <c r="C333" t="s">
        <v>1833</v>
      </c>
    </row>
    <row r="334" spans="1:3">
      <c r="A334" t="s">
        <v>339</v>
      </c>
      <c r="C334" t="s">
        <v>1834</v>
      </c>
    </row>
    <row r="335" spans="1:3">
      <c r="A335" t="s">
        <v>1372</v>
      </c>
      <c r="B335" t="s">
        <v>2086</v>
      </c>
      <c r="C335" t="s">
        <v>2087</v>
      </c>
    </row>
    <row r="336" spans="1:3">
      <c r="A336" t="s">
        <v>2105</v>
      </c>
      <c r="B336" t="s">
        <v>1569</v>
      </c>
      <c r="C336" t="s">
        <v>2106</v>
      </c>
    </row>
    <row r="337" spans="1:3">
      <c r="A337" t="s">
        <v>864</v>
      </c>
      <c r="C337" t="s">
        <v>1835</v>
      </c>
    </row>
    <row r="338" spans="1:3">
      <c r="A338" t="s">
        <v>506</v>
      </c>
      <c r="C338" t="s">
        <v>1836</v>
      </c>
    </row>
    <row r="339" spans="1:3">
      <c r="A339" t="s">
        <v>340</v>
      </c>
      <c r="B339" t="s">
        <v>1570</v>
      </c>
      <c r="C339" t="s">
        <v>1571</v>
      </c>
    </row>
    <row r="340" spans="1:3">
      <c r="A340" t="s">
        <v>1935</v>
      </c>
      <c r="C340" t="s">
        <v>1936</v>
      </c>
    </row>
    <row r="341" spans="1:3">
      <c r="A341" t="s">
        <v>374</v>
      </c>
      <c r="C341" t="s">
        <v>1837</v>
      </c>
    </row>
    <row r="342" spans="1:3">
      <c r="A342" t="s">
        <v>460</v>
      </c>
      <c r="C342" t="s">
        <v>1838</v>
      </c>
    </row>
    <row r="343" spans="1:3">
      <c r="A343" t="s">
        <v>342</v>
      </c>
      <c r="B343" t="s">
        <v>1572</v>
      </c>
      <c r="C343" t="s">
        <v>1573</v>
      </c>
    </row>
    <row r="344" spans="1:3">
      <c r="A344" t="s">
        <v>865</v>
      </c>
      <c r="B344" t="s">
        <v>1574</v>
      </c>
      <c r="C344" t="s">
        <v>1575</v>
      </c>
    </row>
    <row r="345" spans="1:3">
      <c r="A345" t="s">
        <v>2088</v>
      </c>
      <c r="B345" t="s">
        <v>2089</v>
      </c>
      <c r="C345" t="s">
        <v>2090</v>
      </c>
    </row>
    <row r="346" spans="1:3">
      <c r="A346" t="s">
        <v>866</v>
      </c>
      <c r="B346" t="s">
        <v>1576</v>
      </c>
      <c r="C346" t="s">
        <v>1577</v>
      </c>
    </row>
    <row r="347" spans="1:3">
      <c r="A347" t="s">
        <v>1293</v>
      </c>
      <c r="C347" t="s">
        <v>1839</v>
      </c>
    </row>
    <row r="348" spans="1:3">
      <c r="A348" t="s">
        <v>461</v>
      </c>
      <c r="B348" t="s">
        <v>1578</v>
      </c>
      <c r="C348" t="s">
        <v>1579</v>
      </c>
    </row>
    <row r="349" spans="1:3">
      <c r="A349" t="s">
        <v>2037</v>
      </c>
      <c r="C349" t="s">
        <v>2038</v>
      </c>
    </row>
    <row r="350" spans="1:3">
      <c r="A350" t="s">
        <v>867</v>
      </c>
      <c r="C350" t="s">
        <v>1840</v>
      </c>
    </row>
    <row r="351" spans="1:3">
      <c r="A351" t="s">
        <v>868</v>
      </c>
      <c r="B351" t="s">
        <v>1580</v>
      </c>
      <c r="C351" t="s">
        <v>1581</v>
      </c>
    </row>
    <row r="352" spans="1:3">
      <c r="A352" t="s">
        <v>869</v>
      </c>
      <c r="C352" t="s">
        <v>1841</v>
      </c>
    </row>
    <row r="353" spans="1:3">
      <c r="A353" t="s">
        <v>2039</v>
      </c>
      <c r="C353" t="s">
        <v>2040</v>
      </c>
    </row>
    <row r="354" spans="1:3">
      <c r="A354" t="s">
        <v>870</v>
      </c>
      <c r="C354" t="s">
        <v>1842</v>
      </c>
    </row>
    <row r="355" spans="1:3">
      <c r="A355" t="s">
        <v>341</v>
      </c>
      <c r="B355" t="s">
        <v>1582</v>
      </c>
      <c r="C355" t="s">
        <v>1583</v>
      </c>
    </row>
    <row r="356" spans="1:3">
      <c r="A356" t="s">
        <v>375</v>
      </c>
      <c r="C356" t="s">
        <v>1843</v>
      </c>
    </row>
    <row r="357" spans="1:3">
      <c r="A357" t="s">
        <v>1397</v>
      </c>
      <c r="C357" t="s">
        <v>1844</v>
      </c>
    </row>
    <row r="358" spans="1:3">
      <c r="A358" t="s">
        <v>307</v>
      </c>
      <c r="B358" t="s">
        <v>1584</v>
      </c>
      <c r="C358" t="s">
        <v>1585</v>
      </c>
    </row>
    <row r="359" spans="1:3">
      <c r="A359" t="s">
        <v>871</v>
      </c>
      <c r="C359" t="s">
        <v>1845</v>
      </c>
    </row>
    <row r="360" spans="1:3">
      <c r="A360" t="s">
        <v>462</v>
      </c>
      <c r="B360" t="s">
        <v>1586</v>
      </c>
      <c r="C360" t="s">
        <v>1587</v>
      </c>
    </row>
    <row r="361" spans="1:3">
      <c r="A361" t="s">
        <v>1371</v>
      </c>
      <c r="C361" t="s">
        <v>1846</v>
      </c>
    </row>
    <row r="362" spans="1:3">
      <c r="A362" t="s">
        <v>872</v>
      </c>
      <c r="C362" t="s">
        <v>1847</v>
      </c>
    </row>
    <row r="363" spans="1:3">
      <c r="A363" t="s">
        <v>463</v>
      </c>
      <c r="C363" t="s">
        <v>1848</v>
      </c>
    </row>
    <row r="364" spans="1:3">
      <c r="A364" t="s">
        <v>873</v>
      </c>
      <c r="C364" t="s">
        <v>1849</v>
      </c>
    </row>
    <row r="365" spans="1:3">
      <c r="A365" t="s">
        <v>874</v>
      </c>
      <c r="C365" t="s">
        <v>1850</v>
      </c>
    </row>
    <row r="366" spans="1:3">
      <c r="A366" t="s">
        <v>875</v>
      </c>
      <c r="C366" t="s">
        <v>1851</v>
      </c>
    </row>
    <row r="367" spans="1:3">
      <c r="A367" t="s">
        <v>876</v>
      </c>
      <c r="B367" t="s">
        <v>1588</v>
      </c>
      <c r="C367" t="s">
        <v>1589</v>
      </c>
    </row>
    <row r="368" spans="1:3">
      <c r="A368" t="s">
        <v>877</v>
      </c>
      <c r="C368" t="s">
        <v>1852</v>
      </c>
    </row>
    <row r="369" spans="1:3">
      <c r="A369" t="s">
        <v>878</v>
      </c>
      <c r="C369" t="s">
        <v>1853</v>
      </c>
    </row>
    <row r="370" spans="1:3">
      <c r="A370" t="s">
        <v>1946</v>
      </c>
      <c r="C370" t="s">
        <v>1947</v>
      </c>
    </row>
    <row r="371" spans="1:3">
      <c r="A371" t="s">
        <v>879</v>
      </c>
      <c r="C371" t="s">
        <v>1854</v>
      </c>
    </row>
    <row r="372" spans="1:3">
      <c r="A372" t="s">
        <v>880</v>
      </c>
      <c r="C372" t="s">
        <v>1855</v>
      </c>
    </row>
    <row r="373" spans="1:3">
      <c r="A373" t="s">
        <v>1627</v>
      </c>
      <c r="B373" t="s">
        <v>1628</v>
      </c>
      <c r="C373" t="s">
        <v>1634</v>
      </c>
    </row>
    <row r="374" spans="1:3">
      <c r="A374" t="s">
        <v>2041</v>
      </c>
      <c r="C374" t="s">
        <v>2042</v>
      </c>
    </row>
    <row r="375" spans="1:3">
      <c r="A375" t="s">
        <v>1629</v>
      </c>
      <c r="B375" t="s">
        <v>1590</v>
      </c>
      <c r="C375" t="s">
        <v>1636</v>
      </c>
    </row>
    <row r="376" spans="1:3">
      <c r="A376" t="s">
        <v>881</v>
      </c>
      <c r="C376" t="s">
        <v>1856</v>
      </c>
    </row>
    <row r="377" spans="1:3">
      <c r="A377" t="s">
        <v>2177</v>
      </c>
      <c r="C377" t="s">
        <v>2178</v>
      </c>
    </row>
    <row r="378" spans="1:3">
      <c r="A378" t="s">
        <v>2043</v>
      </c>
      <c r="C378" t="s">
        <v>2044</v>
      </c>
    </row>
    <row r="379" spans="1:3">
      <c r="A379" t="s">
        <v>2179</v>
      </c>
      <c r="C379" t="s">
        <v>2180</v>
      </c>
    </row>
    <row r="380" spans="1:3">
      <c r="A380" t="s">
        <v>343</v>
      </c>
      <c r="B380" t="s">
        <v>1591</v>
      </c>
      <c r="C380" t="s">
        <v>1592</v>
      </c>
    </row>
    <row r="381" spans="1:3">
      <c r="A381" t="s">
        <v>344</v>
      </c>
      <c r="B381" t="s">
        <v>1593</v>
      </c>
      <c r="C381" t="s">
        <v>1594</v>
      </c>
    </row>
    <row r="382" spans="1:3">
      <c r="A382" t="s">
        <v>2181</v>
      </c>
      <c r="C382" t="s">
        <v>2182</v>
      </c>
    </row>
    <row r="383" spans="1:3">
      <c r="A383" t="s">
        <v>1332</v>
      </c>
      <c r="C383" t="s">
        <v>1857</v>
      </c>
    </row>
    <row r="384" spans="1:3">
      <c r="A384" t="s">
        <v>1294</v>
      </c>
      <c r="C384" t="s">
        <v>1858</v>
      </c>
    </row>
    <row r="385" spans="1:3">
      <c r="A385" t="s">
        <v>882</v>
      </c>
      <c r="C385" t="s">
        <v>1859</v>
      </c>
    </row>
    <row r="386" spans="1:3">
      <c r="A386" t="s">
        <v>883</v>
      </c>
      <c r="C386" t="s">
        <v>1860</v>
      </c>
    </row>
    <row r="387" spans="1:3">
      <c r="A387" t="s">
        <v>884</v>
      </c>
      <c r="C387" t="s">
        <v>1861</v>
      </c>
    </row>
    <row r="388" spans="1:3">
      <c r="A388" t="s">
        <v>521</v>
      </c>
      <c r="B388" t="s">
        <v>1595</v>
      </c>
      <c r="C388" t="s">
        <v>1596</v>
      </c>
    </row>
    <row r="389" spans="1:3">
      <c r="A389" t="s">
        <v>885</v>
      </c>
      <c r="C389" t="s">
        <v>1862</v>
      </c>
    </row>
    <row r="390" spans="1:3">
      <c r="A390" t="s">
        <v>886</v>
      </c>
      <c r="C390" t="s">
        <v>1863</v>
      </c>
    </row>
    <row r="391" spans="1:3">
      <c r="A391" t="s">
        <v>887</v>
      </c>
      <c r="C391" t="s">
        <v>1864</v>
      </c>
    </row>
    <row r="392" spans="1:3">
      <c r="A392" t="s">
        <v>1268</v>
      </c>
      <c r="C392" t="s">
        <v>1865</v>
      </c>
    </row>
    <row r="393" spans="1:3">
      <c r="A393" t="s">
        <v>888</v>
      </c>
      <c r="C393" t="s">
        <v>1866</v>
      </c>
    </row>
    <row r="394" spans="1:3">
      <c r="A394" t="s">
        <v>889</v>
      </c>
      <c r="C394" t="s">
        <v>1867</v>
      </c>
    </row>
    <row r="395" spans="1:3">
      <c r="A395" t="s">
        <v>890</v>
      </c>
      <c r="C395" t="s">
        <v>1868</v>
      </c>
    </row>
    <row r="396" spans="1:3">
      <c r="A396" t="s">
        <v>2045</v>
      </c>
      <c r="C396" t="s">
        <v>2046</v>
      </c>
    </row>
    <row r="397" spans="1:3">
      <c r="A397" t="s">
        <v>1630</v>
      </c>
      <c r="C397" t="s">
        <v>1869</v>
      </c>
    </row>
    <row r="398" spans="1:3">
      <c r="A398" t="s">
        <v>2123</v>
      </c>
      <c r="C398" t="s">
        <v>2124</v>
      </c>
    </row>
    <row r="399" spans="1:3">
      <c r="A399" t="s">
        <v>891</v>
      </c>
      <c r="C399" t="s">
        <v>1870</v>
      </c>
    </row>
    <row r="400" spans="1:3">
      <c r="A400" t="s">
        <v>2047</v>
      </c>
      <c r="C400" t="s">
        <v>2048</v>
      </c>
    </row>
    <row r="401" spans="1:3">
      <c r="A401" t="s">
        <v>892</v>
      </c>
      <c r="C401" t="s">
        <v>1871</v>
      </c>
    </row>
    <row r="402" spans="1:3">
      <c r="A402" t="s">
        <v>893</v>
      </c>
      <c r="C402" t="s">
        <v>1872</v>
      </c>
    </row>
    <row r="403" spans="1:3">
      <c r="A403" t="s">
        <v>894</v>
      </c>
      <c r="C403" t="s">
        <v>1873</v>
      </c>
    </row>
    <row r="404" spans="1:3">
      <c r="A404" t="s">
        <v>895</v>
      </c>
      <c r="C404" t="s">
        <v>1874</v>
      </c>
    </row>
    <row r="405" spans="1:3">
      <c r="A405" t="s">
        <v>896</v>
      </c>
      <c r="C405" t="s">
        <v>1875</v>
      </c>
    </row>
    <row r="406" spans="1:3">
      <c r="A406" t="s">
        <v>465</v>
      </c>
      <c r="C406" t="s">
        <v>1876</v>
      </c>
    </row>
    <row r="407" spans="1:3">
      <c r="A407" t="s">
        <v>1631</v>
      </c>
      <c r="C407" t="s">
        <v>1877</v>
      </c>
    </row>
    <row r="408" spans="1:3">
      <c r="A408" t="s">
        <v>466</v>
      </c>
      <c r="B408" t="s">
        <v>1597</v>
      </c>
      <c r="C408" t="s">
        <v>1598</v>
      </c>
    </row>
    <row r="409" spans="1:3">
      <c r="A409" t="s">
        <v>467</v>
      </c>
      <c r="B409" t="s">
        <v>1599</v>
      </c>
      <c r="C409" t="s">
        <v>1600</v>
      </c>
    </row>
    <row r="410" spans="1:3">
      <c r="A410" t="s">
        <v>2049</v>
      </c>
      <c r="C410" t="s">
        <v>2050</v>
      </c>
    </row>
    <row r="411" spans="1:3">
      <c r="A411" t="s">
        <v>2183</v>
      </c>
      <c r="B411" t="s">
        <v>2184</v>
      </c>
      <c r="C411" t="s">
        <v>2185</v>
      </c>
    </row>
    <row r="412" spans="1:3">
      <c r="A412" t="s">
        <v>345</v>
      </c>
      <c r="B412" t="s">
        <v>1601</v>
      </c>
      <c r="C412" t="s">
        <v>1602</v>
      </c>
    </row>
    <row r="413" spans="1:3">
      <c r="A413" t="s">
        <v>1948</v>
      </c>
      <c r="B413" t="s">
        <v>1949</v>
      </c>
      <c r="C413" t="s">
        <v>1950</v>
      </c>
    </row>
    <row r="414" spans="1:3">
      <c r="A414" t="s">
        <v>897</v>
      </c>
      <c r="C414" t="s">
        <v>1878</v>
      </c>
    </row>
    <row r="415" spans="1:3">
      <c r="A415" t="s">
        <v>346</v>
      </c>
      <c r="B415" t="s">
        <v>1603</v>
      </c>
      <c r="C415" t="s">
        <v>1604</v>
      </c>
    </row>
    <row r="416" spans="1:3">
      <c r="A416" t="s">
        <v>898</v>
      </c>
      <c r="C416" t="s">
        <v>1879</v>
      </c>
    </row>
    <row r="417" spans="1:3">
      <c r="A417" t="s">
        <v>899</v>
      </c>
      <c r="C417" t="s">
        <v>1880</v>
      </c>
    </row>
    <row r="418" spans="1:3">
      <c r="A418" t="s">
        <v>900</v>
      </c>
      <c r="C418" t="s">
        <v>1881</v>
      </c>
    </row>
    <row r="419" spans="1:3">
      <c r="A419" t="s">
        <v>901</v>
      </c>
      <c r="C419" t="s">
        <v>1882</v>
      </c>
    </row>
    <row r="420" spans="1:3">
      <c r="A420" t="s">
        <v>902</v>
      </c>
      <c r="C420" t="s">
        <v>1883</v>
      </c>
    </row>
    <row r="421" spans="1:3">
      <c r="A421" t="s">
        <v>1342</v>
      </c>
      <c r="C421" t="s">
        <v>1884</v>
      </c>
    </row>
    <row r="422" spans="1:3">
      <c r="A422" t="s">
        <v>376</v>
      </c>
      <c r="C422" t="s">
        <v>1885</v>
      </c>
    </row>
    <row r="423" spans="1:3">
      <c r="A423" t="s">
        <v>2051</v>
      </c>
      <c r="C423" t="s">
        <v>2052</v>
      </c>
    </row>
    <row r="424" spans="1:3">
      <c r="A424" t="s">
        <v>219</v>
      </c>
      <c r="C424" t="s">
        <v>1886</v>
      </c>
    </row>
    <row r="425" spans="1:3">
      <c r="A425" t="s">
        <v>2186</v>
      </c>
      <c r="C425" t="s">
        <v>2187</v>
      </c>
    </row>
    <row r="426" spans="1:3">
      <c r="A426" t="s">
        <v>903</v>
      </c>
      <c r="B426" t="s">
        <v>903</v>
      </c>
      <c r="C426" t="s">
        <v>1605</v>
      </c>
    </row>
    <row r="427" spans="1:3">
      <c r="A427" t="s">
        <v>904</v>
      </c>
      <c r="C427" t="s">
        <v>1887</v>
      </c>
    </row>
    <row r="428" spans="1:3">
      <c r="A428" t="s">
        <v>347</v>
      </c>
      <c r="C428" t="s">
        <v>1888</v>
      </c>
    </row>
    <row r="429" spans="1:3">
      <c r="A429" t="s">
        <v>905</v>
      </c>
      <c r="C429" t="s">
        <v>1889</v>
      </c>
    </row>
    <row r="430" spans="1:3">
      <c r="A430" t="s">
        <v>377</v>
      </c>
      <c r="C430" t="s">
        <v>1890</v>
      </c>
    </row>
    <row r="431" spans="1:3">
      <c r="A431" t="s">
        <v>906</v>
      </c>
      <c r="C431" t="s">
        <v>1891</v>
      </c>
    </row>
    <row r="432" spans="1:3">
      <c r="A432" t="s">
        <v>203</v>
      </c>
      <c r="C432" t="s">
        <v>1892</v>
      </c>
    </row>
    <row r="433" spans="1:3">
      <c r="A433" t="s">
        <v>473</v>
      </c>
      <c r="C433" t="s">
        <v>1893</v>
      </c>
    </row>
    <row r="434" spans="1:3">
      <c r="A434" t="s">
        <v>507</v>
      </c>
      <c r="C434" t="s">
        <v>1894</v>
      </c>
    </row>
    <row r="435" spans="1:3">
      <c r="A435" t="s">
        <v>508</v>
      </c>
      <c r="C435" t="s">
        <v>1895</v>
      </c>
    </row>
    <row r="436" spans="1:3">
      <c r="A436" t="s">
        <v>907</v>
      </c>
      <c r="B436" t="s">
        <v>1606</v>
      </c>
      <c r="C436" t="s">
        <v>1607</v>
      </c>
    </row>
    <row r="437" spans="1:3">
      <c r="A437" t="s">
        <v>2053</v>
      </c>
      <c r="C437" t="s">
        <v>2054</v>
      </c>
    </row>
    <row r="438" spans="1:3">
      <c r="A438" t="s">
        <v>2055</v>
      </c>
      <c r="C438" t="s">
        <v>2056</v>
      </c>
    </row>
    <row r="439" spans="1:3">
      <c r="A439" t="s">
        <v>1265</v>
      </c>
      <c r="C439" t="s">
        <v>1896</v>
      </c>
    </row>
    <row r="440" spans="1:3">
      <c r="A440" t="s">
        <v>2057</v>
      </c>
      <c r="C440" t="s">
        <v>2058</v>
      </c>
    </row>
    <row r="441" spans="1:3">
      <c r="A441" t="s">
        <v>908</v>
      </c>
      <c r="C441" t="s">
        <v>1897</v>
      </c>
    </row>
    <row r="442" spans="1:3">
      <c r="A442" t="s">
        <v>2107</v>
      </c>
      <c r="C442" t="s">
        <v>2108</v>
      </c>
    </row>
  </sheetData>
  <phoneticPr fontId="6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1E40-67B7-4483-9C33-823A6462CF24}">
  <dimension ref="A1:G625"/>
  <sheetViews>
    <sheetView workbookViewId="0">
      <selection activeCell="C27" sqref="C27"/>
    </sheetView>
  </sheetViews>
  <sheetFormatPr defaultRowHeight="14"/>
  <cols>
    <col min="1" max="1" width="59" bestFit="1" customWidth="1"/>
    <col min="2" max="3" width="78.75" bestFit="1" customWidth="1"/>
    <col min="4" max="4" width="75.33203125" bestFit="1" customWidth="1"/>
    <col min="5" max="5" width="30.83203125" customWidth="1"/>
    <col min="6" max="6" width="13.58203125" customWidth="1"/>
  </cols>
  <sheetData>
    <row r="1" spans="1:7">
      <c r="A1" t="s">
        <v>909</v>
      </c>
      <c r="B1" t="s">
        <v>1608</v>
      </c>
      <c r="C1" t="s">
        <v>1419</v>
      </c>
      <c r="D1" t="s">
        <v>127</v>
      </c>
    </row>
    <row r="2" spans="1:7">
      <c r="A2" t="s">
        <v>2146</v>
      </c>
      <c r="C2" t="s">
        <v>2147</v>
      </c>
    </row>
    <row r="3" spans="1:7">
      <c r="A3" t="s">
        <v>1621</v>
      </c>
      <c r="B3" t="s">
        <v>1622</v>
      </c>
      <c r="C3" t="s">
        <v>1632</v>
      </c>
      <c r="D3" t="s">
        <v>1633</v>
      </c>
      <c r="F3" t="str" cm="1">
        <f t="array" ref="F3">IFERROR(_xlfn.UNIQUE(_xlfn._xlws.FILTER(D:D,C:C='Cover letter'!C7)&amp;_xlfn._xlws.FILTER(D:D,C:C='Cover letter ECE_MPE'!C7)),"")</f>
        <v/>
      </c>
      <c r="G3" t="s">
        <v>1061</v>
      </c>
    </row>
    <row r="4" spans="1:7">
      <c r="A4" t="s">
        <v>1621</v>
      </c>
      <c r="B4" t="s">
        <v>1622</v>
      </c>
      <c r="C4" t="s">
        <v>1632</v>
      </c>
      <c r="D4" t="s">
        <v>2188</v>
      </c>
    </row>
    <row r="5" spans="1:7">
      <c r="A5" t="s">
        <v>1621</v>
      </c>
      <c r="B5" t="s">
        <v>1622</v>
      </c>
      <c r="C5" t="s">
        <v>1632</v>
      </c>
      <c r="D5" t="s">
        <v>2059</v>
      </c>
    </row>
    <row r="6" spans="1:7">
      <c r="A6" t="s">
        <v>1621</v>
      </c>
      <c r="B6" t="s">
        <v>1622</v>
      </c>
      <c r="C6" t="s">
        <v>1632</v>
      </c>
      <c r="D6" t="s">
        <v>1937</v>
      </c>
    </row>
    <row r="7" spans="1:7">
      <c r="A7" t="s">
        <v>1621</v>
      </c>
      <c r="B7" t="s">
        <v>1622</v>
      </c>
      <c r="C7" t="s">
        <v>1632</v>
      </c>
      <c r="D7" t="s">
        <v>2060</v>
      </c>
    </row>
    <row r="8" spans="1:7">
      <c r="A8" t="s">
        <v>300</v>
      </c>
      <c r="B8" t="s">
        <v>1452</v>
      </c>
      <c r="C8" t="s">
        <v>1453</v>
      </c>
      <c r="D8" t="s">
        <v>348</v>
      </c>
    </row>
    <row r="9" spans="1:7">
      <c r="A9" t="s">
        <v>300</v>
      </c>
      <c r="B9" t="s">
        <v>1452</v>
      </c>
      <c r="C9" t="s">
        <v>1453</v>
      </c>
      <c r="D9" t="s">
        <v>910</v>
      </c>
    </row>
    <row r="10" spans="1:7">
      <c r="A10" t="s">
        <v>300</v>
      </c>
      <c r="B10" t="s">
        <v>1452</v>
      </c>
      <c r="C10" t="s">
        <v>1453</v>
      </c>
      <c r="D10" t="s">
        <v>349</v>
      </c>
    </row>
    <row r="11" spans="1:7">
      <c r="A11" t="s">
        <v>303</v>
      </c>
      <c r="B11" t="s">
        <v>1488</v>
      </c>
      <c r="C11" t="s">
        <v>1489</v>
      </c>
      <c r="D11" t="s">
        <v>911</v>
      </c>
    </row>
    <row r="12" spans="1:7">
      <c r="A12" t="s">
        <v>303</v>
      </c>
      <c r="B12" t="s">
        <v>1488</v>
      </c>
      <c r="C12" t="s">
        <v>1489</v>
      </c>
      <c r="D12" t="s">
        <v>517</v>
      </c>
    </row>
    <row r="13" spans="1:7">
      <c r="A13" t="s">
        <v>303</v>
      </c>
      <c r="B13" t="s">
        <v>1488</v>
      </c>
      <c r="C13" t="s">
        <v>1489</v>
      </c>
      <c r="D13" t="s">
        <v>518</v>
      </c>
    </row>
    <row r="14" spans="1:7">
      <c r="A14" t="s">
        <v>303</v>
      </c>
      <c r="B14" t="s">
        <v>1488</v>
      </c>
      <c r="C14" t="s">
        <v>1489</v>
      </c>
      <c r="D14" t="s">
        <v>1403</v>
      </c>
    </row>
    <row r="15" spans="1:7">
      <c r="A15" t="s">
        <v>303</v>
      </c>
      <c r="B15" t="s">
        <v>1488</v>
      </c>
      <c r="C15" t="s">
        <v>1489</v>
      </c>
      <c r="D15" t="s">
        <v>471</v>
      </c>
    </row>
    <row r="16" spans="1:7">
      <c r="A16" t="s">
        <v>303</v>
      </c>
      <c r="B16" t="s">
        <v>1488</v>
      </c>
      <c r="C16" t="s">
        <v>1489</v>
      </c>
      <c r="D16" t="s">
        <v>519</v>
      </c>
    </row>
    <row r="17" spans="1:4">
      <c r="A17" t="s">
        <v>303</v>
      </c>
      <c r="B17" t="s">
        <v>1488</v>
      </c>
      <c r="C17" t="s">
        <v>1489</v>
      </c>
      <c r="D17" t="s">
        <v>912</v>
      </c>
    </row>
    <row r="18" spans="1:4">
      <c r="A18" t="s">
        <v>303</v>
      </c>
      <c r="B18" t="s">
        <v>1488</v>
      </c>
      <c r="C18" t="s">
        <v>1489</v>
      </c>
      <c r="D18" t="s">
        <v>51</v>
      </c>
    </row>
    <row r="19" spans="1:4">
      <c r="A19" t="s">
        <v>321</v>
      </c>
      <c r="B19" t="s">
        <v>1492</v>
      </c>
      <c r="C19" t="s">
        <v>1493</v>
      </c>
      <c r="D19" t="s">
        <v>911</v>
      </c>
    </row>
    <row r="20" spans="1:4">
      <c r="A20" t="s">
        <v>321</v>
      </c>
      <c r="B20" t="s">
        <v>1492</v>
      </c>
      <c r="C20" t="s">
        <v>1493</v>
      </c>
      <c r="D20" t="s">
        <v>913</v>
      </c>
    </row>
    <row r="21" spans="1:4">
      <c r="A21" t="s">
        <v>321</v>
      </c>
      <c r="B21" t="s">
        <v>1492</v>
      </c>
      <c r="C21" t="s">
        <v>1493</v>
      </c>
      <c r="D21" t="s">
        <v>517</v>
      </c>
    </row>
    <row r="22" spans="1:4">
      <c r="A22" t="s">
        <v>321</v>
      </c>
      <c r="B22" t="s">
        <v>1492</v>
      </c>
      <c r="C22" t="s">
        <v>1493</v>
      </c>
      <c r="D22" t="s">
        <v>518</v>
      </c>
    </row>
    <row r="23" spans="1:4">
      <c r="A23" t="s">
        <v>321</v>
      </c>
      <c r="B23" t="s">
        <v>1492</v>
      </c>
      <c r="C23" t="s">
        <v>1493</v>
      </c>
      <c r="D23" t="s">
        <v>1403</v>
      </c>
    </row>
    <row r="24" spans="1:4">
      <c r="A24" t="s">
        <v>321</v>
      </c>
      <c r="B24" t="s">
        <v>1492</v>
      </c>
      <c r="C24" t="s">
        <v>1493</v>
      </c>
      <c r="D24" t="s">
        <v>471</v>
      </c>
    </row>
    <row r="25" spans="1:4">
      <c r="A25" t="s">
        <v>321</v>
      </c>
      <c r="B25" t="s">
        <v>1492</v>
      </c>
      <c r="C25" t="s">
        <v>1493</v>
      </c>
      <c r="D25" t="s">
        <v>519</v>
      </c>
    </row>
    <row r="26" spans="1:4">
      <c r="A26" t="s">
        <v>321</v>
      </c>
      <c r="B26" t="s">
        <v>1492</v>
      </c>
      <c r="C26" t="s">
        <v>1493</v>
      </c>
      <c r="D26" t="s">
        <v>912</v>
      </c>
    </row>
    <row r="27" spans="1:4">
      <c r="A27" t="s">
        <v>321</v>
      </c>
      <c r="B27" t="s">
        <v>1492</v>
      </c>
      <c r="C27" t="s">
        <v>1493</v>
      </c>
      <c r="D27" t="s">
        <v>51</v>
      </c>
    </row>
    <row r="28" spans="1:4">
      <c r="A28" t="s">
        <v>322</v>
      </c>
      <c r="B28" t="s">
        <v>1494</v>
      </c>
      <c r="C28" t="s">
        <v>1495</v>
      </c>
      <c r="D28" t="s">
        <v>911</v>
      </c>
    </row>
    <row r="29" spans="1:4">
      <c r="A29" t="s">
        <v>322</v>
      </c>
      <c r="B29" t="s">
        <v>1494</v>
      </c>
      <c r="C29" t="s">
        <v>1495</v>
      </c>
      <c r="D29" t="s">
        <v>517</v>
      </c>
    </row>
    <row r="30" spans="1:4">
      <c r="A30" t="s">
        <v>322</v>
      </c>
      <c r="B30" t="s">
        <v>1494</v>
      </c>
      <c r="C30" t="s">
        <v>1495</v>
      </c>
      <c r="D30" t="s">
        <v>518</v>
      </c>
    </row>
    <row r="31" spans="1:4">
      <c r="A31" t="s">
        <v>322</v>
      </c>
      <c r="B31" t="s">
        <v>1494</v>
      </c>
      <c r="C31" t="s">
        <v>1495</v>
      </c>
      <c r="D31" t="s">
        <v>1403</v>
      </c>
    </row>
    <row r="32" spans="1:4">
      <c r="A32" t="s">
        <v>322</v>
      </c>
      <c r="B32" t="s">
        <v>1494</v>
      </c>
      <c r="C32" t="s">
        <v>1495</v>
      </c>
      <c r="D32" t="s">
        <v>471</v>
      </c>
    </row>
    <row r="33" spans="1:4">
      <c r="A33" t="s">
        <v>322</v>
      </c>
      <c r="B33" t="s">
        <v>1494</v>
      </c>
      <c r="C33" t="s">
        <v>1495</v>
      </c>
      <c r="D33" t="s">
        <v>519</v>
      </c>
    </row>
    <row r="34" spans="1:4">
      <c r="A34" t="s">
        <v>322</v>
      </c>
      <c r="B34" t="s">
        <v>1494</v>
      </c>
      <c r="C34" t="s">
        <v>1495</v>
      </c>
      <c r="D34" t="s">
        <v>912</v>
      </c>
    </row>
    <row r="35" spans="1:4">
      <c r="A35" t="s">
        <v>322</v>
      </c>
      <c r="B35" t="s">
        <v>1494</v>
      </c>
      <c r="C35" t="s">
        <v>1495</v>
      </c>
      <c r="D35" t="s">
        <v>51</v>
      </c>
    </row>
    <row r="36" spans="1:4">
      <c r="A36" t="s">
        <v>520</v>
      </c>
      <c r="B36" t="s">
        <v>1490</v>
      </c>
      <c r="C36" t="s">
        <v>1491</v>
      </c>
      <c r="D36" t="s">
        <v>911</v>
      </c>
    </row>
    <row r="37" spans="1:4">
      <c r="A37" t="s">
        <v>520</v>
      </c>
      <c r="B37" t="s">
        <v>1490</v>
      </c>
      <c r="C37" t="s">
        <v>1491</v>
      </c>
      <c r="D37" t="s">
        <v>517</v>
      </c>
    </row>
    <row r="38" spans="1:4">
      <c r="A38" t="s">
        <v>520</v>
      </c>
      <c r="B38" t="s">
        <v>1490</v>
      </c>
      <c r="C38" t="s">
        <v>1491</v>
      </c>
      <c r="D38" t="s">
        <v>518</v>
      </c>
    </row>
    <row r="39" spans="1:4">
      <c r="A39" t="s">
        <v>520</v>
      </c>
      <c r="B39" t="s">
        <v>1490</v>
      </c>
      <c r="C39" t="s">
        <v>1491</v>
      </c>
      <c r="D39" t="s">
        <v>1403</v>
      </c>
    </row>
    <row r="40" spans="1:4">
      <c r="A40" t="s">
        <v>520</v>
      </c>
      <c r="B40" t="s">
        <v>1490</v>
      </c>
      <c r="C40" t="s">
        <v>1491</v>
      </c>
      <c r="D40" t="s">
        <v>471</v>
      </c>
    </row>
    <row r="41" spans="1:4">
      <c r="A41" t="s">
        <v>520</v>
      </c>
      <c r="B41" t="s">
        <v>1490</v>
      </c>
      <c r="C41" t="s">
        <v>1491</v>
      </c>
      <c r="D41" t="s">
        <v>519</v>
      </c>
    </row>
    <row r="42" spans="1:4">
      <c r="A42" t="s">
        <v>520</v>
      </c>
      <c r="B42" t="s">
        <v>1490</v>
      </c>
      <c r="C42" t="s">
        <v>1491</v>
      </c>
      <c r="D42" t="s">
        <v>912</v>
      </c>
    </row>
    <row r="43" spans="1:4">
      <c r="A43" t="s">
        <v>520</v>
      </c>
      <c r="B43" t="s">
        <v>1490</v>
      </c>
      <c r="C43" t="s">
        <v>1491</v>
      </c>
      <c r="D43" t="s">
        <v>51</v>
      </c>
    </row>
    <row r="44" spans="1:4">
      <c r="A44" t="s">
        <v>516</v>
      </c>
      <c r="B44" t="s">
        <v>1486</v>
      </c>
      <c r="C44" t="s">
        <v>1487</v>
      </c>
      <c r="D44" t="s">
        <v>911</v>
      </c>
    </row>
    <row r="45" spans="1:4">
      <c r="A45" t="s">
        <v>516</v>
      </c>
      <c r="B45" t="s">
        <v>1486</v>
      </c>
      <c r="C45" t="s">
        <v>1487</v>
      </c>
      <c r="D45" t="s">
        <v>517</v>
      </c>
    </row>
    <row r="46" spans="1:4">
      <c r="A46" t="s">
        <v>516</v>
      </c>
      <c r="B46" t="s">
        <v>1486</v>
      </c>
      <c r="C46" t="s">
        <v>1487</v>
      </c>
      <c r="D46" t="s">
        <v>518</v>
      </c>
    </row>
    <row r="47" spans="1:4">
      <c r="A47" t="s">
        <v>516</v>
      </c>
      <c r="B47" t="s">
        <v>1486</v>
      </c>
      <c r="C47" t="s">
        <v>1487</v>
      </c>
      <c r="D47" t="s">
        <v>1403</v>
      </c>
    </row>
    <row r="48" spans="1:4">
      <c r="A48" t="s">
        <v>516</v>
      </c>
      <c r="B48" t="s">
        <v>1486</v>
      </c>
      <c r="C48" t="s">
        <v>1487</v>
      </c>
      <c r="D48" t="s">
        <v>471</v>
      </c>
    </row>
    <row r="49" spans="1:4">
      <c r="A49" t="s">
        <v>516</v>
      </c>
      <c r="B49" t="s">
        <v>1486</v>
      </c>
      <c r="C49" t="s">
        <v>1487</v>
      </c>
      <c r="D49" t="s">
        <v>519</v>
      </c>
    </row>
    <row r="50" spans="1:4">
      <c r="A50" t="s">
        <v>516</v>
      </c>
      <c r="B50" t="s">
        <v>1486</v>
      </c>
      <c r="C50" t="s">
        <v>1487</v>
      </c>
      <c r="D50" t="s">
        <v>912</v>
      </c>
    </row>
    <row r="51" spans="1:4">
      <c r="A51" t="s">
        <v>516</v>
      </c>
      <c r="B51" t="s">
        <v>1486</v>
      </c>
      <c r="C51" t="s">
        <v>1487</v>
      </c>
      <c r="D51" t="s">
        <v>51</v>
      </c>
    </row>
    <row r="52" spans="1:4">
      <c r="A52" t="s">
        <v>521</v>
      </c>
      <c r="B52" t="s">
        <v>1595</v>
      </c>
      <c r="C52" t="s">
        <v>1596</v>
      </c>
      <c r="D52" t="s">
        <v>1386</v>
      </c>
    </row>
    <row r="53" spans="1:4">
      <c r="A53" t="s">
        <v>521</v>
      </c>
      <c r="B53" t="s">
        <v>1595</v>
      </c>
      <c r="C53" t="s">
        <v>1596</v>
      </c>
      <c r="D53" t="s">
        <v>522</v>
      </c>
    </row>
    <row r="54" spans="1:4">
      <c r="A54" t="s">
        <v>521</v>
      </c>
      <c r="B54" t="s">
        <v>1595</v>
      </c>
      <c r="C54" t="s">
        <v>1596</v>
      </c>
      <c r="D54" t="s">
        <v>523</v>
      </c>
    </row>
    <row r="55" spans="1:4">
      <c r="A55" t="s">
        <v>521</v>
      </c>
      <c r="B55" t="s">
        <v>1595</v>
      </c>
      <c r="C55" t="s">
        <v>1596</v>
      </c>
      <c r="D55" t="s">
        <v>914</v>
      </c>
    </row>
    <row r="56" spans="1:4">
      <c r="A56" t="s">
        <v>521</v>
      </c>
      <c r="B56" t="s">
        <v>1595</v>
      </c>
      <c r="C56" t="s">
        <v>1596</v>
      </c>
      <c r="D56" t="s">
        <v>915</v>
      </c>
    </row>
    <row r="57" spans="1:4">
      <c r="A57" t="s">
        <v>521</v>
      </c>
      <c r="B57" t="s">
        <v>1595</v>
      </c>
      <c r="C57" t="s">
        <v>1596</v>
      </c>
      <c r="D57" t="s">
        <v>1387</v>
      </c>
    </row>
    <row r="58" spans="1:4">
      <c r="A58" t="s">
        <v>521</v>
      </c>
      <c r="B58" t="s">
        <v>1595</v>
      </c>
      <c r="C58" t="s">
        <v>1596</v>
      </c>
      <c r="D58" t="s">
        <v>524</v>
      </c>
    </row>
    <row r="59" spans="1:4">
      <c r="A59" t="s">
        <v>521</v>
      </c>
      <c r="B59" t="s">
        <v>1595</v>
      </c>
      <c r="C59" t="s">
        <v>1596</v>
      </c>
      <c r="D59" t="s">
        <v>51</v>
      </c>
    </row>
    <row r="60" spans="1:4">
      <c r="A60" t="s">
        <v>769</v>
      </c>
      <c r="B60" t="s">
        <v>6</v>
      </c>
      <c r="C60" t="s">
        <v>1516</v>
      </c>
      <c r="D60" t="s">
        <v>1379</v>
      </c>
    </row>
    <row r="61" spans="1:4">
      <c r="A61" t="s">
        <v>326</v>
      </c>
      <c r="B61" t="s">
        <v>1514</v>
      </c>
      <c r="C61" t="s">
        <v>1515</v>
      </c>
      <c r="D61" t="s">
        <v>443</v>
      </c>
    </row>
    <row r="62" spans="1:4">
      <c r="A62" t="s">
        <v>326</v>
      </c>
      <c r="B62" t="s">
        <v>1514</v>
      </c>
      <c r="C62" t="s">
        <v>1515</v>
      </c>
      <c r="D62" t="s">
        <v>525</v>
      </c>
    </row>
    <row r="63" spans="1:4">
      <c r="A63" t="s">
        <v>326</v>
      </c>
      <c r="B63" t="s">
        <v>1514</v>
      </c>
      <c r="C63" t="s">
        <v>1515</v>
      </c>
      <c r="D63" t="s">
        <v>16</v>
      </c>
    </row>
    <row r="64" spans="1:4">
      <c r="A64" t="s">
        <v>326</v>
      </c>
      <c r="B64" t="s">
        <v>1514</v>
      </c>
      <c r="C64" t="s">
        <v>1515</v>
      </c>
      <c r="D64" t="s">
        <v>526</v>
      </c>
    </row>
    <row r="65" spans="1:4">
      <c r="A65" t="s">
        <v>326</v>
      </c>
      <c r="B65" t="s">
        <v>1514</v>
      </c>
      <c r="C65" t="s">
        <v>1515</v>
      </c>
      <c r="D65" t="s">
        <v>527</v>
      </c>
    </row>
    <row r="66" spans="1:4">
      <c r="A66" t="s">
        <v>326</v>
      </c>
      <c r="B66" t="s">
        <v>1514</v>
      </c>
      <c r="C66" t="s">
        <v>1515</v>
      </c>
      <c r="D66" t="s">
        <v>916</v>
      </c>
    </row>
    <row r="67" spans="1:4">
      <c r="A67" t="s">
        <v>326</v>
      </c>
      <c r="B67" t="s">
        <v>1514</v>
      </c>
      <c r="C67" t="s">
        <v>1515</v>
      </c>
      <c r="D67" t="s">
        <v>477</v>
      </c>
    </row>
    <row r="68" spans="1:4">
      <c r="A68" t="s">
        <v>326</v>
      </c>
      <c r="B68" t="s">
        <v>1514</v>
      </c>
      <c r="C68" t="s">
        <v>1515</v>
      </c>
      <c r="D68" t="s">
        <v>528</v>
      </c>
    </row>
    <row r="69" spans="1:4">
      <c r="A69" t="s">
        <v>787</v>
      </c>
      <c r="B69" t="s">
        <v>1442</v>
      </c>
      <c r="C69" t="s">
        <v>1443</v>
      </c>
    </row>
    <row r="70" spans="1:4">
      <c r="A70" t="s">
        <v>208</v>
      </c>
      <c r="B70" t="s">
        <v>1448</v>
      </c>
      <c r="C70" t="s">
        <v>1449</v>
      </c>
    </row>
    <row r="71" spans="1:4">
      <c r="A71" t="s">
        <v>308</v>
      </c>
      <c r="C71" t="s">
        <v>1686</v>
      </c>
    </row>
    <row r="72" spans="1:4">
      <c r="A72" t="s">
        <v>1404</v>
      </c>
      <c r="B72" t="s">
        <v>1450</v>
      </c>
      <c r="C72" t="s">
        <v>1451</v>
      </c>
    </row>
    <row r="73" spans="1:4">
      <c r="A73" t="s">
        <v>1922</v>
      </c>
      <c r="C73" t="s">
        <v>1923</v>
      </c>
    </row>
    <row r="74" spans="1:4">
      <c r="A74" t="s">
        <v>310</v>
      </c>
      <c r="C74" t="s">
        <v>1689</v>
      </c>
      <c r="D74" t="s">
        <v>917</v>
      </c>
    </row>
    <row r="75" spans="1:4">
      <c r="A75" t="s">
        <v>310</v>
      </c>
      <c r="C75" t="s">
        <v>1689</v>
      </c>
      <c r="D75" t="s">
        <v>918</v>
      </c>
    </row>
    <row r="76" spans="1:4">
      <c r="A76" t="s">
        <v>310</v>
      </c>
      <c r="C76" t="s">
        <v>1689</v>
      </c>
      <c r="D76" t="s">
        <v>430</v>
      </c>
    </row>
    <row r="77" spans="1:4">
      <c r="A77" t="s">
        <v>310</v>
      </c>
      <c r="C77" t="s">
        <v>1689</v>
      </c>
      <c r="D77" t="s">
        <v>919</v>
      </c>
    </row>
    <row r="78" spans="1:4">
      <c r="A78" t="s">
        <v>311</v>
      </c>
      <c r="C78" t="s">
        <v>1690</v>
      </c>
    </row>
    <row r="79" spans="1:4">
      <c r="A79" t="s">
        <v>313</v>
      </c>
      <c r="C79" t="s">
        <v>1692</v>
      </c>
    </row>
    <row r="80" spans="1:4">
      <c r="A80" t="s">
        <v>339</v>
      </c>
      <c r="C80" t="s">
        <v>1834</v>
      </c>
    </row>
    <row r="81" spans="1:4">
      <c r="A81" t="s">
        <v>312</v>
      </c>
      <c r="B81" t="s">
        <v>1456</v>
      </c>
      <c r="C81" t="s">
        <v>1457</v>
      </c>
    </row>
    <row r="82" spans="1:4">
      <c r="A82" t="s">
        <v>315</v>
      </c>
      <c r="B82" t="s">
        <v>1460</v>
      </c>
      <c r="C82" t="s">
        <v>1461</v>
      </c>
    </row>
    <row r="83" spans="1:4">
      <c r="A83" t="s">
        <v>302</v>
      </c>
      <c r="B83" t="s">
        <v>1464</v>
      </c>
      <c r="C83" t="s">
        <v>1465</v>
      </c>
    </row>
    <row r="84" spans="1:4">
      <c r="A84" t="s">
        <v>1388</v>
      </c>
      <c r="B84" t="s">
        <v>1444</v>
      </c>
      <c r="C84" t="s">
        <v>1445</v>
      </c>
    </row>
    <row r="85" spans="1:4">
      <c r="A85" t="s">
        <v>316</v>
      </c>
      <c r="C85" t="s">
        <v>1712</v>
      </c>
    </row>
    <row r="86" spans="1:4">
      <c r="A86" t="s">
        <v>317</v>
      </c>
      <c r="B86" t="s">
        <v>1472</v>
      </c>
      <c r="C86" t="s">
        <v>1473</v>
      </c>
    </row>
    <row r="87" spans="1:4">
      <c r="A87" t="s">
        <v>318</v>
      </c>
      <c r="B87" t="s">
        <v>1476</v>
      </c>
      <c r="C87" t="s">
        <v>1477</v>
      </c>
    </row>
    <row r="88" spans="1:4">
      <c r="A88" t="s">
        <v>1290</v>
      </c>
      <c r="B88" t="s">
        <v>1474</v>
      </c>
      <c r="C88" t="s">
        <v>1475</v>
      </c>
      <c r="D88" t="s">
        <v>1612</v>
      </c>
    </row>
    <row r="89" spans="1:4">
      <c r="A89" t="s">
        <v>1290</v>
      </c>
      <c r="B89" t="s">
        <v>1474</v>
      </c>
      <c r="C89" t="s">
        <v>1475</v>
      </c>
      <c r="D89" t="s">
        <v>2061</v>
      </c>
    </row>
    <row r="90" spans="1:4">
      <c r="A90" t="s">
        <v>1290</v>
      </c>
      <c r="B90" t="s">
        <v>1474</v>
      </c>
      <c r="C90" t="s">
        <v>1475</v>
      </c>
      <c r="D90" t="s">
        <v>2062</v>
      </c>
    </row>
    <row r="91" spans="1:4">
      <c r="A91" t="s">
        <v>1340</v>
      </c>
      <c r="B91" t="s">
        <v>1468</v>
      </c>
      <c r="C91" t="s">
        <v>1469</v>
      </c>
    </row>
    <row r="92" spans="1:4">
      <c r="A92" t="s">
        <v>319</v>
      </c>
      <c r="B92" t="s">
        <v>1482</v>
      </c>
      <c r="C92" t="s">
        <v>1483</v>
      </c>
    </row>
    <row r="93" spans="1:4">
      <c r="A93" t="s">
        <v>320</v>
      </c>
      <c r="B93" t="s">
        <v>1484</v>
      </c>
      <c r="C93" t="s">
        <v>1485</v>
      </c>
    </row>
    <row r="94" spans="1:4">
      <c r="A94" t="s">
        <v>323</v>
      </c>
      <c r="B94" t="s">
        <v>1496</v>
      </c>
      <c r="C94" t="s">
        <v>1497</v>
      </c>
    </row>
    <row r="95" spans="1:4">
      <c r="A95" t="s">
        <v>2158</v>
      </c>
      <c r="B95" t="s">
        <v>2159</v>
      </c>
      <c r="C95" t="s">
        <v>2160</v>
      </c>
      <c r="D95" t="s">
        <v>2189</v>
      </c>
    </row>
    <row r="96" spans="1:4">
      <c r="A96" t="s">
        <v>324</v>
      </c>
      <c r="B96" t="s">
        <v>1498</v>
      </c>
      <c r="C96" t="s">
        <v>1499</v>
      </c>
    </row>
    <row r="97" spans="1:4">
      <c r="A97" t="s">
        <v>9</v>
      </c>
      <c r="B97" t="s">
        <v>1500</v>
      </c>
      <c r="C97" t="s">
        <v>1501</v>
      </c>
    </row>
    <row r="98" spans="1:4">
      <c r="A98" t="s">
        <v>325</v>
      </c>
      <c r="B98" t="s">
        <v>1504</v>
      </c>
      <c r="C98" t="s">
        <v>1505</v>
      </c>
    </row>
    <row r="99" spans="1:4">
      <c r="A99" t="s">
        <v>2009</v>
      </c>
      <c r="C99" t="s">
        <v>2010</v>
      </c>
    </row>
    <row r="100" spans="1:4">
      <c r="A100" t="s">
        <v>829</v>
      </c>
      <c r="C100" t="s">
        <v>1772</v>
      </c>
    </row>
    <row r="101" spans="1:4">
      <c r="A101" t="s">
        <v>327</v>
      </c>
      <c r="B101" t="s">
        <v>1521</v>
      </c>
      <c r="C101" t="s">
        <v>1522</v>
      </c>
    </row>
    <row r="102" spans="1:4">
      <c r="A102" t="s">
        <v>2019</v>
      </c>
      <c r="B102" t="s">
        <v>2020</v>
      </c>
      <c r="C102" t="s">
        <v>2021</v>
      </c>
    </row>
    <row r="103" spans="1:4">
      <c r="A103" t="s">
        <v>329</v>
      </c>
      <c r="B103" t="s">
        <v>1525</v>
      </c>
      <c r="C103" t="s">
        <v>1526</v>
      </c>
    </row>
    <row r="104" spans="1:4">
      <c r="A104" t="s">
        <v>330</v>
      </c>
      <c r="B104" t="s">
        <v>1527</v>
      </c>
      <c r="C104" t="s">
        <v>1528</v>
      </c>
    </row>
    <row r="105" spans="1:4">
      <c r="A105" t="s">
        <v>1320</v>
      </c>
      <c r="C105" t="s">
        <v>1786</v>
      </c>
    </row>
    <row r="106" spans="1:4">
      <c r="A106" t="s">
        <v>328</v>
      </c>
      <c r="B106" t="s">
        <v>1529</v>
      </c>
      <c r="C106" t="s">
        <v>1530</v>
      </c>
    </row>
    <row r="107" spans="1:4">
      <c r="A107" t="s">
        <v>1930</v>
      </c>
      <c r="C107" t="s">
        <v>1931</v>
      </c>
      <c r="D107" t="s">
        <v>1938</v>
      </c>
    </row>
    <row r="108" spans="1:4">
      <c r="A108" t="s">
        <v>331</v>
      </c>
      <c r="B108" t="s">
        <v>1531</v>
      </c>
      <c r="C108" t="s">
        <v>1532</v>
      </c>
      <c r="D108" t="s">
        <v>1372</v>
      </c>
    </row>
    <row r="109" spans="1:4">
      <c r="A109" t="s">
        <v>331</v>
      </c>
      <c r="B109" t="s">
        <v>1531</v>
      </c>
      <c r="C109" t="s">
        <v>1532</v>
      </c>
      <c r="D109" t="s">
        <v>1939</v>
      </c>
    </row>
    <row r="110" spans="1:4">
      <c r="A110" t="s">
        <v>2024</v>
      </c>
      <c r="C110" t="s">
        <v>2025</v>
      </c>
    </row>
    <row r="111" spans="1:4">
      <c r="A111" t="s">
        <v>2026</v>
      </c>
      <c r="C111" t="s">
        <v>2027</v>
      </c>
    </row>
    <row r="112" spans="1:4">
      <c r="A112" t="s">
        <v>2028</v>
      </c>
      <c r="B112" t="s">
        <v>2029</v>
      </c>
      <c r="C112" t="s">
        <v>2030</v>
      </c>
    </row>
    <row r="113" spans="1:4">
      <c r="A113" t="s">
        <v>333</v>
      </c>
      <c r="B113" t="s">
        <v>1541</v>
      </c>
      <c r="C113" t="s">
        <v>1542</v>
      </c>
    </row>
    <row r="114" spans="1:4">
      <c r="A114" t="s">
        <v>1932</v>
      </c>
      <c r="B114" t="s">
        <v>1933</v>
      </c>
      <c r="C114" t="s">
        <v>1934</v>
      </c>
      <c r="D114" t="s">
        <v>2063</v>
      </c>
    </row>
    <row r="115" spans="1:4">
      <c r="A115" t="s">
        <v>334</v>
      </c>
      <c r="B115" t="s">
        <v>1543</v>
      </c>
      <c r="C115" t="s">
        <v>1544</v>
      </c>
    </row>
    <row r="116" spans="1:4">
      <c r="A116" t="s">
        <v>332</v>
      </c>
      <c r="B116" t="s">
        <v>1545</v>
      </c>
      <c r="C116" t="s">
        <v>1546</v>
      </c>
    </row>
    <row r="117" spans="1:4">
      <c r="A117" t="s">
        <v>1369</v>
      </c>
      <c r="B117" t="s">
        <v>1547</v>
      </c>
      <c r="C117" t="s">
        <v>1548</v>
      </c>
    </row>
    <row r="118" spans="1:4">
      <c r="A118" t="s">
        <v>335</v>
      </c>
      <c r="B118" t="s">
        <v>1549</v>
      </c>
      <c r="C118" t="s">
        <v>1550</v>
      </c>
    </row>
    <row r="119" spans="1:4">
      <c r="A119" t="s">
        <v>336</v>
      </c>
      <c r="B119" t="s">
        <v>1551</v>
      </c>
      <c r="C119" t="s">
        <v>1552</v>
      </c>
    </row>
    <row r="120" spans="1:4">
      <c r="A120" t="s">
        <v>1914</v>
      </c>
      <c r="C120" t="s">
        <v>1915</v>
      </c>
    </row>
    <row r="121" spans="1:4">
      <c r="A121" t="s">
        <v>337</v>
      </c>
      <c r="B121" t="s">
        <v>1563</v>
      </c>
      <c r="C121" t="s">
        <v>1564</v>
      </c>
    </row>
    <row r="122" spans="1:4">
      <c r="A122" t="s">
        <v>338</v>
      </c>
      <c r="B122" t="s">
        <v>1567</v>
      </c>
      <c r="C122" t="s">
        <v>1568</v>
      </c>
    </row>
    <row r="123" spans="1:4">
      <c r="A123" t="s">
        <v>1372</v>
      </c>
      <c r="B123" t="s">
        <v>2086</v>
      </c>
      <c r="C123" t="s">
        <v>2087</v>
      </c>
    </row>
    <row r="124" spans="1:4">
      <c r="A124" t="s">
        <v>340</v>
      </c>
      <c r="B124" t="s">
        <v>1570</v>
      </c>
      <c r="C124" t="s">
        <v>1571</v>
      </c>
    </row>
    <row r="125" spans="1:4">
      <c r="A125" t="s">
        <v>342</v>
      </c>
      <c r="B125" t="s">
        <v>1572</v>
      </c>
      <c r="C125" t="s">
        <v>1573</v>
      </c>
      <c r="D125" t="s">
        <v>920</v>
      </c>
    </row>
    <row r="126" spans="1:4">
      <c r="A126" t="s">
        <v>342</v>
      </c>
      <c r="B126" t="s">
        <v>1572</v>
      </c>
      <c r="C126" t="s">
        <v>1573</v>
      </c>
      <c r="D126" t="s">
        <v>921</v>
      </c>
    </row>
    <row r="127" spans="1:4">
      <c r="A127" t="s">
        <v>342</v>
      </c>
      <c r="B127" t="s">
        <v>1572</v>
      </c>
      <c r="C127" t="s">
        <v>1573</v>
      </c>
      <c r="D127" t="s">
        <v>922</v>
      </c>
    </row>
    <row r="128" spans="1:4">
      <c r="A128" t="s">
        <v>342</v>
      </c>
      <c r="B128" t="s">
        <v>1572</v>
      </c>
      <c r="C128" t="s">
        <v>1573</v>
      </c>
      <c r="D128" t="s">
        <v>923</v>
      </c>
    </row>
    <row r="129" spans="1:4">
      <c r="A129" t="s">
        <v>865</v>
      </c>
      <c r="B129" t="s">
        <v>1574</v>
      </c>
      <c r="C129" t="s">
        <v>1575</v>
      </c>
    </row>
    <row r="130" spans="1:4">
      <c r="A130" t="s">
        <v>866</v>
      </c>
      <c r="B130" t="s">
        <v>1576</v>
      </c>
      <c r="C130" t="s">
        <v>1577</v>
      </c>
    </row>
    <row r="131" spans="1:4">
      <c r="A131" t="s">
        <v>2088</v>
      </c>
      <c r="B131" t="s">
        <v>2089</v>
      </c>
      <c r="C131" t="s">
        <v>2090</v>
      </c>
    </row>
    <row r="132" spans="1:4">
      <c r="A132" t="s">
        <v>2039</v>
      </c>
      <c r="C132" t="s">
        <v>2040</v>
      </c>
    </row>
    <row r="133" spans="1:4">
      <c r="A133" t="s">
        <v>341</v>
      </c>
      <c r="B133" t="s">
        <v>1582</v>
      </c>
      <c r="C133" t="s">
        <v>1583</v>
      </c>
    </row>
    <row r="134" spans="1:4">
      <c r="A134" t="s">
        <v>876</v>
      </c>
      <c r="B134" t="s">
        <v>1588</v>
      </c>
      <c r="C134" t="s">
        <v>1589</v>
      </c>
    </row>
    <row r="135" spans="1:4">
      <c r="A135" t="s">
        <v>1627</v>
      </c>
      <c r="B135" t="s">
        <v>1628</v>
      </c>
      <c r="C135" t="s">
        <v>1634</v>
      </c>
      <c r="D135" t="s">
        <v>1635</v>
      </c>
    </row>
    <row r="136" spans="1:4">
      <c r="A136" t="s">
        <v>1627</v>
      </c>
      <c r="B136" t="s">
        <v>1628</v>
      </c>
      <c r="C136" t="s">
        <v>1634</v>
      </c>
      <c r="D136" t="s">
        <v>2190</v>
      </c>
    </row>
    <row r="137" spans="1:4">
      <c r="A137" t="s">
        <v>2041</v>
      </c>
      <c r="C137" t="s">
        <v>2042</v>
      </c>
    </row>
    <row r="138" spans="1:4">
      <c r="A138" t="s">
        <v>1629</v>
      </c>
      <c r="B138" t="s">
        <v>1590</v>
      </c>
      <c r="C138" t="s">
        <v>1636</v>
      </c>
    </row>
    <row r="139" spans="1:4">
      <c r="A139" t="s">
        <v>343</v>
      </c>
      <c r="B139" t="s">
        <v>1591</v>
      </c>
      <c r="C139" t="s">
        <v>1592</v>
      </c>
    </row>
    <row r="140" spans="1:4">
      <c r="A140" t="s">
        <v>344</v>
      </c>
      <c r="B140" t="s">
        <v>1593</v>
      </c>
      <c r="C140" t="s">
        <v>1594</v>
      </c>
    </row>
    <row r="141" spans="1:4">
      <c r="A141" t="s">
        <v>2181</v>
      </c>
      <c r="C141" t="s">
        <v>2182</v>
      </c>
    </row>
    <row r="142" spans="1:4">
      <c r="A142" t="s">
        <v>345</v>
      </c>
      <c r="B142" t="s">
        <v>1601</v>
      </c>
      <c r="C142" t="s">
        <v>1602</v>
      </c>
      <c r="D142" t="s">
        <v>1389</v>
      </c>
    </row>
    <row r="143" spans="1:4">
      <c r="A143" t="s">
        <v>1948</v>
      </c>
      <c r="B143" t="s">
        <v>1949</v>
      </c>
      <c r="C143" t="s">
        <v>1950</v>
      </c>
    </row>
    <row r="144" spans="1:4">
      <c r="A144" t="s">
        <v>346</v>
      </c>
      <c r="B144" t="s">
        <v>1603</v>
      </c>
      <c r="C144" t="s">
        <v>1604</v>
      </c>
    </row>
    <row r="145" spans="1:4">
      <c r="A145" t="s">
        <v>2051</v>
      </c>
      <c r="C145" t="s">
        <v>2052</v>
      </c>
    </row>
    <row r="146" spans="1:4">
      <c r="A146" t="s">
        <v>903</v>
      </c>
      <c r="B146" t="s">
        <v>903</v>
      </c>
      <c r="C146" t="s">
        <v>1605</v>
      </c>
    </row>
    <row r="147" spans="1:4">
      <c r="A147" t="s">
        <v>905</v>
      </c>
      <c r="C147" t="s">
        <v>1889</v>
      </c>
    </row>
    <row r="148" spans="1:4">
      <c r="A148" t="s">
        <v>907</v>
      </c>
      <c r="B148" t="s">
        <v>1606</v>
      </c>
      <c r="C148" t="s">
        <v>1607</v>
      </c>
    </row>
    <row r="149" spans="1:4">
      <c r="A149" t="s">
        <v>772</v>
      </c>
      <c r="B149" t="s">
        <v>1428</v>
      </c>
      <c r="C149" t="s">
        <v>1429</v>
      </c>
    </row>
    <row r="150" spans="1:4">
      <c r="A150" t="s">
        <v>291</v>
      </c>
      <c r="B150" t="s">
        <v>1426</v>
      </c>
      <c r="C150" t="s">
        <v>1427</v>
      </c>
      <c r="D150" t="s">
        <v>292</v>
      </c>
    </row>
    <row r="151" spans="1:4">
      <c r="A151" t="s">
        <v>291</v>
      </c>
      <c r="B151" t="s">
        <v>1426</v>
      </c>
      <c r="C151" t="s">
        <v>1427</v>
      </c>
      <c r="D151" t="s">
        <v>924</v>
      </c>
    </row>
    <row r="152" spans="1:4">
      <c r="A152" t="s">
        <v>291</v>
      </c>
      <c r="B152" t="s">
        <v>1426</v>
      </c>
      <c r="C152" t="s">
        <v>1427</v>
      </c>
      <c r="D152" t="s">
        <v>293</v>
      </c>
    </row>
    <row r="153" spans="1:4">
      <c r="A153" t="s">
        <v>291</v>
      </c>
      <c r="B153" t="s">
        <v>1426</v>
      </c>
      <c r="C153" t="s">
        <v>1427</v>
      </c>
      <c r="D153" t="s">
        <v>925</v>
      </c>
    </row>
    <row r="154" spans="1:4">
      <c r="A154" t="s">
        <v>291</v>
      </c>
      <c r="B154" t="s">
        <v>1426</v>
      </c>
      <c r="C154" t="s">
        <v>1427</v>
      </c>
      <c r="D154" t="s">
        <v>294</v>
      </c>
    </row>
    <row r="155" spans="1:4">
      <c r="A155" t="s">
        <v>291</v>
      </c>
      <c r="B155" t="s">
        <v>1426</v>
      </c>
      <c r="C155" t="s">
        <v>1427</v>
      </c>
      <c r="D155" t="s">
        <v>295</v>
      </c>
    </row>
    <row r="156" spans="1:4">
      <c r="A156" t="s">
        <v>291</v>
      </c>
      <c r="B156" t="s">
        <v>1426</v>
      </c>
      <c r="C156" t="s">
        <v>1427</v>
      </c>
      <c r="D156" t="s">
        <v>296</v>
      </c>
    </row>
    <row r="157" spans="1:4">
      <c r="A157" t="s">
        <v>291</v>
      </c>
      <c r="B157" t="s">
        <v>1426</v>
      </c>
      <c r="C157" t="s">
        <v>1427</v>
      </c>
      <c r="D157" t="s">
        <v>297</v>
      </c>
    </row>
    <row r="158" spans="1:4">
      <c r="A158" t="s">
        <v>291</v>
      </c>
      <c r="B158" t="s">
        <v>1426</v>
      </c>
      <c r="C158" t="s">
        <v>1427</v>
      </c>
      <c r="D158" t="s">
        <v>298</v>
      </c>
    </row>
    <row r="159" spans="1:4">
      <c r="A159" t="s">
        <v>2091</v>
      </c>
      <c r="C159" t="s">
        <v>2092</v>
      </c>
    </row>
    <row r="160" spans="1:4">
      <c r="A160" t="s">
        <v>1405</v>
      </c>
      <c r="C160" t="s">
        <v>1650</v>
      </c>
    </row>
    <row r="161" spans="1:3">
      <c r="A161" t="s">
        <v>1990</v>
      </c>
      <c r="C161" t="s">
        <v>1991</v>
      </c>
    </row>
    <row r="162" spans="1:3">
      <c r="A162" t="s">
        <v>299</v>
      </c>
      <c r="B162" t="s">
        <v>1422</v>
      </c>
      <c r="C162" t="s">
        <v>1423</v>
      </c>
    </row>
    <row r="163" spans="1:3">
      <c r="A163" t="s">
        <v>307</v>
      </c>
      <c r="B163" t="s">
        <v>1584</v>
      </c>
      <c r="C163" t="s">
        <v>1585</v>
      </c>
    </row>
    <row r="164" spans="1:3">
      <c r="A164" t="s">
        <v>290</v>
      </c>
      <c r="B164" t="s">
        <v>1424</v>
      </c>
      <c r="C164" t="s">
        <v>1425</v>
      </c>
    </row>
    <row r="165" spans="1:3">
      <c r="A165" t="s">
        <v>209</v>
      </c>
      <c r="C165" t="s">
        <v>1640</v>
      </c>
    </row>
    <row r="166" spans="1:3">
      <c r="A166" t="s">
        <v>2057</v>
      </c>
      <c r="C166" t="s">
        <v>2058</v>
      </c>
    </row>
    <row r="167" spans="1:3">
      <c r="A167" t="s">
        <v>378</v>
      </c>
      <c r="C167" t="s">
        <v>1641</v>
      </c>
    </row>
    <row r="168" spans="1:3">
      <c r="A168" t="s">
        <v>379</v>
      </c>
      <c r="B168" t="s">
        <v>1420</v>
      </c>
      <c r="C168" t="s">
        <v>1421</v>
      </c>
    </row>
    <row r="169" spans="1:3">
      <c r="A169" t="s">
        <v>383</v>
      </c>
      <c r="B169" t="s">
        <v>1430</v>
      </c>
      <c r="C169" t="s">
        <v>1431</v>
      </c>
    </row>
    <row r="170" spans="1:3">
      <c r="A170" t="s">
        <v>384</v>
      </c>
      <c r="B170" t="s">
        <v>1432</v>
      </c>
      <c r="C170" t="s">
        <v>1433</v>
      </c>
    </row>
    <row r="171" spans="1:3">
      <c r="A171" t="s">
        <v>1321</v>
      </c>
      <c r="C171" t="s">
        <v>1660</v>
      </c>
    </row>
    <row r="172" spans="1:3">
      <c r="A172" t="s">
        <v>1367</v>
      </c>
      <c r="C172" t="s">
        <v>1662</v>
      </c>
    </row>
    <row r="173" spans="1:3">
      <c r="A173" t="s">
        <v>1612</v>
      </c>
      <c r="C173" t="s">
        <v>1668</v>
      </c>
    </row>
    <row r="174" spans="1:3">
      <c r="A174" t="s">
        <v>1322</v>
      </c>
      <c r="C174" t="s">
        <v>1669</v>
      </c>
    </row>
    <row r="175" spans="1:3">
      <c r="A175" t="s">
        <v>386</v>
      </c>
      <c r="B175" t="s">
        <v>1434</v>
      </c>
      <c r="C175" t="s">
        <v>1435</v>
      </c>
    </row>
    <row r="176" spans="1:3">
      <c r="A176" t="s">
        <v>385</v>
      </c>
      <c r="B176" t="s">
        <v>1436</v>
      </c>
      <c r="C176" t="s">
        <v>1437</v>
      </c>
    </row>
    <row r="177" spans="1:4">
      <c r="A177" t="s">
        <v>387</v>
      </c>
      <c r="C177" t="s">
        <v>1673</v>
      </c>
    </row>
    <row r="178" spans="1:4">
      <c r="A178" t="s">
        <v>200</v>
      </c>
      <c r="B178" t="s">
        <v>1440</v>
      </c>
      <c r="C178" t="s">
        <v>1441</v>
      </c>
      <c r="D178" t="s">
        <v>388</v>
      </c>
    </row>
    <row r="179" spans="1:4">
      <c r="A179" t="s">
        <v>200</v>
      </c>
      <c r="B179" t="s">
        <v>1440</v>
      </c>
      <c r="C179" t="s">
        <v>1441</v>
      </c>
      <c r="D179" t="s">
        <v>389</v>
      </c>
    </row>
    <row r="180" spans="1:4">
      <c r="A180" t="s">
        <v>200</v>
      </c>
      <c r="B180" t="s">
        <v>1440</v>
      </c>
      <c r="C180" t="s">
        <v>1441</v>
      </c>
      <c r="D180" t="s">
        <v>2064</v>
      </c>
    </row>
    <row r="181" spans="1:4">
      <c r="A181" t="s">
        <v>200</v>
      </c>
      <c r="B181" t="s">
        <v>1440</v>
      </c>
      <c r="C181" t="s">
        <v>1441</v>
      </c>
      <c r="D181" t="s">
        <v>390</v>
      </c>
    </row>
    <row r="182" spans="1:4">
      <c r="A182" t="s">
        <v>200</v>
      </c>
      <c r="B182" t="s">
        <v>1440</v>
      </c>
      <c r="C182" t="s">
        <v>1441</v>
      </c>
      <c r="D182" t="s">
        <v>1637</v>
      </c>
    </row>
    <row r="183" spans="1:4">
      <c r="A183" t="s">
        <v>200</v>
      </c>
      <c r="B183" t="s">
        <v>1440</v>
      </c>
      <c r="C183" t="s">
        <v>1441</v>
      </c>
      <c r="D183" t="s">
        <v>391</v>
      </c>
    </row>
    <row r="184" spans="1:4">
      <c r="A184" t="s">
        <v>200</v>
      </c>
      <c r="B184" t="s">
        <v>1440</v>
      </c>
      <c r="C184" t="s">
        <v>1441</v>
      </c>
      <c r="D184" t="s">
        <v>926</v>
      </c>
    </row>
    <row r="185" spans="1:4">
      <c r="A185" t="s">
        <v>200</v>
      </c>
      <c r="B185" t="s">
        <v>1440</v>
      </c>
      <c r="C185" t="s">
        <v>1441</v>
      </c>
      <c r="D185" t="s">
        <v>392</v>
      </c>
    </row>
    <row r="186" spans="1:4">
      <c r="A186" t="s">
        <v>200</v>
      </c>
      <c r="B186" t="s">
        <v>1440</v>
      </c>
      <c r="C186" t="s">
        <v>1441</v>
      </c>
      <c r="D186" t="s">
        <v>393</v>
      </c>
    </row>
    <row r="187" spans="1:4">
      <c r="A187" t="s">
        <v>200</v>
      </c>
      <c r="B187" t="s">
        <v>1440</v>
      </c>
      <c r="C187" t="s">
        <v>1441</v>
      </c>
      <c r="D187" t="s">
        <v>394</v>
      </c>
    </row>
    <row r="188" spans="1:4">
      <c r="A188" t="s">
        <v>200</v>
      </c>
      <c r="B188" t="s">
        <v>1440</v>
      </c>
      <c r="C188" t="s">
        <v>1441</v>
      </c>
      <c r="D188" t="s">
        <v>395</v>
      </c>
    </row>
    <row r="189" spans="1:4">
      <c r="A189" t="s">
        <v>200</v>
      </c>
      <c r="B189" t="s">
        <v>1440</v>
      </c>
      <c r="C189" t="s">
        <v>1441</v>
      </c>
      <c r="D189" t="s">
        <v>396</v>
      </c>
    </row>
    <row r="190" spans="1:4">
      <c r="A190" t="s">
        <v>200</v>
      </c>
      <c r="B190" t="s">
        <v>1440</v>
      </c>
      <c r="C190" t="s">
        <v>1441</v>
      </c>
      <c r="D190" t="s">
        <v>397</v>
      </c>
    </row>
    <row r="191" spans="1:4">
      <c r="A191" t="s">
        <v>200</v>
      </c>
      <c r="B191" t="s">
        <v>1440</v>
      </c>
      <c r="C191" t="s">
        <v>1441</v>
      </c>
      <c r="D191" t="s">
        <v>927</v>
      </c>
    </row>
    <row r="192" spans="1:4">
      <c r="A192" t="s">
        <v>200</v>
      </c>
      <c r="B192" t="s">
        <v>1440</v>
      </c>
      <c r="C192" t="s">
        <v>1441</v>
      </c>
      <c r="D192" t="s">
        <v>928</v>
      </c>
    </row>
    <row r="193" spans="1:3">
      <c r="A193" t="s">
        <v>2093</v>
      </c>
      <c r="C193" t="s">
        <v>2094</v>
      </c>
    </row>
    <row r="194" spans="1:3">
      <c r="A194" t="s">
        <v>398</v>
      </c>
      <c r="C194" t="s">
        <v>1676</v>
      </c>
    </row>
    <row r="195" spans="1:3">
      <c r="A195" t="s">
        <v>399</v>
      </c>
      <c r="B195" t="s">
        <v>1438</v>
      </c>
      <c r="C195" t="s">
        <v>1439</v>
      </c>
    </row>
    <row r="196" spans="1:3">
      <c r="A196" t="s">
        <v>354</v>
      </c>
      <c r="B196" t="s">
        <v>1446</v>
      </c>
      <c r="C196" t="s">
        <v>1447</v>
      </c>
    </row>
    <row r="197" spans="1:3">
      <c r="A197" t="s">
        <v>1908</v>
      </c>
      <c r="C197" t="s">
        <v>1909</v>
      </c>
    </row>
    <row r="198" spans="1:3">
      <c r="A198" t="s">
        <v>1288</v>
      </c>
      <c r="C198" t="s">
        <v>1687</v>
      </c>
    </row>
    <row r="199" spans="1:3">
      <c r="A199" t="s">
        <v>1289</v>
      </c>
      <c r="C199" t="s">
        <v>1688</v>
      </c>
    </row>
    <row r="200" spans="1:3">
      <c r="A200" t="s">
        <v>355</v>
      </c>
      <c r="B200" t="s">
        <v>1454</v>
      </c>
      <c r="C200" t="s">
        <v>1455</v>
      </c>
    </row>
    <row r="201" spans="1:3">
      <c r="A201" t="s">
        <v>791</v>
      </c>
      <c r="C201" t="s">
        <v>1691</v>
      </c>
    </row>
    <row r="202" spans="1:3">
      <c r="A202" t="s">
        <v>2095</v>
      </c>
      <c r="C202" t="s">
        <v>2096</v>
      </c>
    </row>
    <row r="203" spans="1:3">
      <c r="A203" t="s">
        <v>792</v>
      </c>
      <c r="B203" t="s">
        <v>1458</v>
      </c>
      <c r="C203" t="s">
        <v>1459</v>
      </c>
    </row>
    <row r="204" spans="1:3">
      <c r="A204" t="s">
        <v>1992</v>
      </c>
      <c r="B204" t="s">
        <v>1993</v>
      </c>
      <c r="C204" t="s">
        <v>1994</v>
      </c>
    </row>
    <row r="205" spans="1:3">
      <c r="A205" t="s">
        <v>400</v>
      </c>
      <c r="C205" t="s">
        <v>1695</v>
      </c>
    </row>
    <row r="206" spans="1:3">
      <c r="A206" t="s">
        <v>2097</v>
      </c>
      <c r="C206" t="s">
        <v>2098</v>
      </c>
    </row>
    <row r="207" spans="1:3">
      <c r="A207" t="s">
        <v>1624</v>
      </c>
      <c r="C207" t="s">
        <v>1681</v>
      </c>
    </row>
    <row r="208" spans="1:3">
      <c r="A208" t="s">
        <v>794</v>
      </c>
      <c r="C208" t="s">
        <v>1698</v>
      </c>
    </row>
    <row r="209" spans="1:3">
      <c r="A209" t="s">
        <v>1625</v>
      </c>
      <c r="C209" t="s">
        <v>1696</v>
      </c>
    </row>
    <row r="210" spans="1:3">
      <c r="A210" t="s">
        <v>401</v>
      </c>
      <c r="B210" t="s">
        <v>1462</v>
      </c>
      <c r="C210" t="s">
        <v>1463</v>
      </c>
    </row>
    <row r="211" spans="1:3">
      <c r="A211" t="s">
        <v>795</v>
      </c>
      <c r="B211" t="s">
        <v>1466</v>
      </c>
      <c r="C211" t="s">
        <v>1467</v>
      </c>
    </row>
    <row r="212" spans="1:3">
      <c r="A212" t="s">
        <v>402</v>
      </c>
      <c r="C212" t="s">
        <v>1701</v>
      </c>
    </row>
    <row r="213" spans="1:3">
      <c r="A213" t="s">
        <v>403</v>
      </c>
      <c r="C213" t="s">
        <v>1702</v>
      </c>
    </row>
    <row r="214" spans="1:3">
      <c r="A214" t="s">
        <v>797</v>
      </c>
      <c r="C214" t="s">
        <v>1703</v>
      </c>
    </row>
    <row r="215" spans="1:3">
      <c r="A215" t="s">
        <v>404</v>
      </c>
      <c r="C215" t="s">
        <v>1708</v>
      </c>
    </row>
    <row r="216" spans="1:3">
      <c r="A216" t="s">
        <v>405</v>
      </c>
      <c r="B216" t="s">
        <v>1470</v>
      </c>
      <c r="C216" t="s">
        <v>1471</v>
      </c>
    </row>
    <row r="217" spans="1:3">
      <c r="A217" t="s">
        <v>802</v>
      </c>
      <c r="C217" t="s">
        <v>1710</v>
      </c>
    </row>
    <row r="218" spans="1:3">
      <c r="A218" t="s">
        <v>406</v>
      </c>
      <c r="C218" t="s">
        <v>1711</v>
      </c>
    </row>
    <row r="219" spans="1:3">
      <c r="A219" t="s">
        <v>1924</v>
      </c>
      <c r="C219" t="s">
        <v>1925</v>
      </c>
    </row>
    <row r="220" spans="1:3">
      <c r="A220" t="s">
        <v>1999</v>
      </c>
      <c r="C220" t="s">
        <v>2000</v>
      </c>
    </row>
    <row r="221" spans="1:3">
      <c r="A221" t="s">
        <v>1323</v>
      </c>
      <c r="C221" t="s">
        <v>1721</v>
      </c>
    </row>
    <row r="222" spans="1:3">
      <c r="A222" t="s">
        <v>1324</v>
      </c>
      <c r="C222" t="s">
        <v>1713</v>
      </c>
    </row>
    <row r="223" spans="1:3">
      <c r="A223" t="s">
        <v>813</v>
      </c>
      <c r="C223" t="s">
        <v>1729</v>
      </c>
    </row>
    <row r="224" spans="1:3">
      <c r="A224" t="s">
        <v>814</v>
      </c>
      <c r="C224" t="s">
        <v>1730</v>
      </c>
    </row>
    <row r="225" spans="1:3">
      <c r="A225" t="s">
        <v>407</v>
      </c>
      <c r="C225" t="s">
        <v>1731</v>
      </c>
    </row>
    <row r="226" spans="1:3">
      <c r="A226" t="s">
        <v>1390</v>
      </c>
      <c r="C226" t="s">
        <v>1732</v>
      </c>
    </row>
    <row r="227" spans="1:3">
      <c r="A227" t="s">
        <v>1325</v>
      </c>
      <c r="C227" t="s">
        <v>1734</v>
      </c>
    </row>
    <row r="228" spans="1:3">
      <c r="A228" t="s">
        <v>408</v>
      </c>
      <c r="C228" t="s">
        <v>1736</v>
      </c>
    </row>
    <row r="229" spans="1:3">
      <c r="A229" t="s">
        <v>409</v>
      </c>
      <c r="B229" t="s">
        <v>1502</v>
      </c>
      <c r="C229" t="s">
        <v>1503</v>
      </c>
    </row>
    <row r="230" spans="1:3">
      <c r="A230" t="s">
        <v>410</v>
      </c>
      <c r="C230" t="s">
        <v>1741</v>
      </c>
    </row>
    <row r="231" spans="1:3">
      <c r="A231" t="s">
        <v>2161</v>
      </c>
      <c r="C231" t="s">
        <v>2162</v>
      </c>
    </row>
    <row r="232" spans="1:3">
      <c r="A232" t="s">
        <v>1910</v>
      </c>
      <c r="C232" t="s">
        <v>1911</v>
      </c>
    </row>
    <row r="233" spans="1:3">
      <c r="A233" t="s">
        <v>1326</v>
      </c>
      <c r="C233" t="s">
        <v>1745</v>
      </c>
    </row>
    <row r="234" spans="1:3">
      <c r="A234" t="s">
        <v>361</v>
      </c>
      <c r="C234" t="s">
        <v>1746</v>
      </c>
    </row>
    <row r="235" spans="1:3">
      <c r="A235" t="s">
        <v>411</v>
      </c>
      <c r="C235" t="s">
        <v>1750</v>
      </c>
    </row>
    <row r="236" spans="1:3">
      <c r="A236" t="s">
        <v>2005</v>
      </c>
      <c r="C236" t="s">
        <v>2006</v>
      </c>
    </row>
    <row r="237" spans="1:3">
      <c r="A237" t="s">
        <v>412</v>
      </c>
      <c r="C237" t="s">
        <v>1751</v>
      </c>
    </row>
    <row r="238" spans="1:3">
      <c r="A238" t="s">
        <v>413</v>
      </c>
      <c r="C238" t="s">
        <v>1752</v>
      </c>
    </row>
    <row r="239" spans="1:3">
      <c r="A239" t="s">
        <v>414</v>
      </c>
      <c r="C239" t="s">
        <v>1753</v>
      </c>
    </row>
    <row r="240" spans="1:3">
      <c r="A240" t="s">
        <v>2007</v>
      </c>
      <c r="C240" t="s">
        <v>2008</v>
      </c>
    </row>
    <row r="241" spans="1:4">
      <c r="A241" t="s">
        <v>1384</v>
      </c>
      <c r="C241" t="s">
        <v>1926</v>
      </c>
    </row>
    <row r="242" spans="1:4">
      <c r="A242" t="s">
        <v>821</v>
      </c>
      <c r="C242" t="s">
        <v>1755</v>
      </c>
    </row>
    <row r="243" spans="1:4">
      <c r="A243" t="s">
        <v>415</v>
      </c>
      <c r="B243" t="s">
        <v>1506</v>
      </c>
      <c r="C243" t="s">
        <v>1507</v>
      </c>
      <c r="D243" t="s">
        <v>929</v>
      </c>
    </row>
    <row r="244" spans="1:4">
      <c r="A244" t="s">
        <v>415</v>
      </c>
      <c r="B244" t="s">
        <v>1506</v>
      </c>
      <c r="C244" t="s">
        <v>1507</v>
      </c>
      <c r="D244" t="s">
        <v>930</v>
      </c>
    </row>
    <row r="245" spans="1:4">
      <c r="A245" t="s">
        <v>415</v>
      </c>
      <c r="B245" t="s">
        <v>1506</v>
      </c>
      <c r="C245" t="s">
        <v>1507</v>
      </c>
      <c r="D245" t="s">
        <v>931</v>
      </c>
    </row>
    <row r="246" spans="1:4">
      <c r="A246" t="s">
        <v>415</v>
      </c>
      <c r="B246" t="s">
        <v>1506</v>
      </c>
      <c r="C246" t="s">
        <v>1507</v>
      </c>
      <c r="D246" t="s">
        <v>932</v>
      </c>
    </row>
    <row r="247" spans="1:4">
      <c r="A247" t="s">
        <v>415</v>
      </c>
      <c r="B247" t="s">
        <v>1506</v>
      </c>
      <c r="C247" t="s">
        <v>1507</v>
      </c>
      <c r="D247" t="s">
        <v>923</v>
      </c>
    </row>
    <row r="248" spans="1:4">
      <c r="A248" t="s">
        <v>416</v>
      </c>
      <c r="B248" t="s">
        <v>1512</v>
      </c>
      <c r="C248" t="s">
        <v>1513</v>
      </c>
    </row>
    <row r="249" spans="1:4">
      <c r="A249" t="s">
        <v>2163</v>
      </c>
      <c r="C249" t="s">
        <v>2164</v>
      </c>
    </row>
    <row r="250" spans="1:4">
      <c r="A250" t="s">
        <v>1626</v>
      </c>
      <c r="C250" t="s">
        <v>1767</v>
      </c>
    </row>
    <row r="251" spans="1:4">
      <c r="A251" t="s">
        <v>830</v>
      </c>
      <c r="C251" t="s">
        <v>1773</v>
      </c>
    </row>
    <row r="252" spans="1:4">
      <c r="A252" t="s">
        <v>2165</v>
      </c>
      <c r="C252" t="s">
        <v>2166</v>
      </c>
    </row>
    <row r="253" spans="1:4">
      <c r="A253" t="s">
        <v>2017</v>
      </c>
      <c r="C253" t="s">
        <v>2018</v>
      </c>
    </row>
    <row r="254" spans="1:4">
      <c r="A254" t="s">
        <v>2099</v>
      </c>
      <c r="C254" t="s">
        <v>2100</v>
      </c>
    </row>
    <row r="255" spans="1:4">
      <c r="A255" t="s">
        <v>417</v>
      </c>
      <c r="C255" t="s">
        <v>1776</v>
      </c>
    </row>
    <row r="256" spans="1:4">
      <c r="A256" t="s">
        <v>833</v>
      </c>
      <c r="C256" t="s">
        <v>1778</v>
      </c>
    </row>
    <row r="257" spans="1:4">
      <c r="A257" t="s">
        <v>418</v>
      </c>
      <c r="C257" t="s">
        <v>1780</v>
      </c>
    </row>
    <row r="258" spans="1:4">
      <c r="A258" t="s">
        <v>419</v>
      </c>
      <c r="C258" t="s">
        <v>1781</v>
      </c>
    </row>
    <row r="259" spans="1:4">
      <c r="A259" t="s">
        <v>835</v>
      </c>
      <c r="C259" t="s">
        <v>1784</v>
      </c>
    </row>
    <row r="260" spans="1:4">
      <c r="A260" t="s">
        <v>420</v>
      </c>
      <c r="B260" t="s">
        <v>1523</v>
      </c>
      <c r="C260" t="s">
        <v>1524</v>
      </c>
      <c r="D260" t="s">
        <v>421</v>
      </c>
    </row>
    <row r="261" spans="1:4">
      <c r="A261" t="s">
        <v>420</v>
      </c>
      <c r="B261" t="s">
        <v>1523</v>
      </c>
      <c r="C261" t="s">
        <v>1524</v>
      </c>
      <c r="D261" t="s">
        <v>933</v>
      </c>
    </row>
    <row r="262" spans="1:4">
      <c r="A262" t="s">
        <v>420</v>
      </c>
      <c r="B262" t="s">
        <v>1523</v>
      </c>
      <c r="C262" t="s">
        <v>1524</v>
      </c>
      <c r="D262" t="s">
        <v>934</v>
      </c>
    </row>
    <row r="263" spans="1:4">
      <c r="A263" t="s">
        <v>420</v>
      </c>
      <c r="B263" t="s">
        <v>1523</v>
      </c>
      <c r="C263" t="s">
        <v>1524</v>
      </c>
      <c r="D263" t="s">
        <v>935</v>
      </c>
    </row>
    <row r="264" spans="1:4">
      <c r="A264" t="s">
        <v>420</v>
      </c>
      <c r="B264" t="s">
        <v>1523</v>
      </c>
      <c r="C264" t="s">
        <v>1524</v>
      </c>
      <c r="D264" t="s">
        <v>936</v>
      </c>
    </row>
    <row r="265" spans="1:4">
      <c r="A265" t="s">
        <v>420</v>
      </c>
      <c r="B265" t="s">
        <v>1523</v>
      </c>
      <c r="C265" t="s">
        <v>1524</v>
      </c>
      <c r="D265" t="s">
        <v>937</v>
      </c>
    </row>
    <row r="266" spans="1:4">
      <c r="A266" t="s">
        <v>420</v>
      </c>
      <c r="B266" t="s">
        <v>1523</v>
      </c>
      <c r="C266" t="s">
        <v>1524</v>
      </c>
      <c r="D266" t="s">
        <v>938</v>
      </c>
    </row>
    <row r="267" spans="1:4">
      <c r="A267" t="s">
        <v>2022</v>
      </c>
      <c r="C267" t="s">
        <v>2023</v>
      </c>
    </row>
    <row r="268" spans="1:4">
      <c r="A268" t="s">
        <v>422</v>
      </c>
      <c r="C268" t="s">
        <v>1790</v>
      </c>
    </row>
    <row r="269" spans="1:4">
      <c r="A269" t="s">
        <v>423</v>
      </c>
      <c r="B269" t="s">
        <v>1533</v>
      </c>
      <c r="C269" t="s">
        <v>1534</v>
      </c>
    </row>
    <row r="270" spans="1:4">
      <c r="A270" t="s">
        <v>304</v>
      </c>
      <c r="B270" t="s">
        <v>1535</v>
      </c>
      <c r="C270" t="s">
        <v>1536</v>
      </c>
      <c r="D270" t="s">
        <v>2101</v>
      </c>
    </row>
    <row r="271" spans="1:4">
      <c r="A271" t="s">
        <v>304</v>
      </c>
      <c r="B271" t="s">
        <v>1535</v>
      </c>
      <c r="C271" t="s">
        <v>1536</v>
      </c>
      <c r="D271" t="s">
        <v>939</v>
      </c>
    </row>
    <row r="272" spans="1:4">
      <c r="A272" t="s">
        <v>304</v>
      </c>
      <c r="B272" t="s">
        <v>1535</v>
      </c>
      <c r="C272" t="s">
        <v>1536</v>
      </c>
      <c r="D272" t="s">
        <v>426</v>
      </c>
    </row>
    <row r="273" spans="1:4">
      <c r="A273" t="s">
        <v>304</v>
      </c>
      <c r="B273" t="s">
        <v>1535</v>
      </c>
      <c r="C273" t="s">
        <v>1536</v>
      </c>
      <c r="D273" t="s">
        <v>424</v>
      </c>
    </row>
    <row r="274" spans="1:4">
      <c r="A274" t="s">
        <v>304</v>
      </c>
      <c r="B274" t="s">
        <v>1535</v>
      </c>
      <c r="C274" t="s">
        <v>1536</v>
      </c>
      <c r="D274" t="s">
        <v>427</v>
      </c>
    </row>
    <row r="275" spans="1:4">
      <c r="A275" t="s">
        <v>304</v>
      </c>
      <c r="B275" t="s">
        <v>1535</v>
      </c>
      <c r="C275" t="s">
        <v>1536</v>
      </c>
      <c r="D275" t="s">
        <v>428</v>
      </c>
    </row>
    <row r="276" spans="1:4">
      <c r="A276" t="s">
        <v>304</v>
      </c>
      <c r="B276" t="s">
        <v>1535</v>
      </c>
      <c r="C276" t="s">
        <v>1536</v>
      </c>
      <c r="D276" t="s">
        <v>305</v>
      </c>
    </row>
    <row r="277" spans="1:4">
      <c r="A277" t="s">
        <v>304</v>
      </c>
      <c r="B277" t="s">
        <v>1535</v>
      </c>
      <c r="C277" t="s">
        <v>1536</v>
      </c>
      <c r="D277" t="s">
        <v>940</v>
      </c>
    </row>
    <row r="278" spans="1:4">
      <c r="A278" t="s">
        <v>304</v>
      </c>
      <c r="B278" t="s">
        <v>1535</v>
      </c>
      <c r="C278" t="s">
        <v>1536</v>
      </c>
      <c r="D278" t="s">
        <v>429</v>
      </c>
    </row>
    <row r="279" spans="1:4">
      <c r="A279" t="s">
        <v>304</v>
      </c>
      <c r="B279" t="s">
        <v>1535</v>
      </c>
      <c r="C279" t="s">
        <v>1536</v>
      </c>
      <c r="D279" t="s">
        <v>425</v>
      </c>
    </row>
    <row r="280" spans="1:4">
      <c r="A280" t="s">
        <v>304</v>
      </c>
      <c r="B280" t="s">
        <v>1535</v>
      </c>
      <c r="C280" t="s">
        <v>1536</v>
      </c>
      <c r="D280" t="s">
        <v>2191</v>
      </c>
    </row>
    <row r="281" spans="1:4">
      <c r="A281" t="s">
        <v>304</v>
      </c>
      <c r="B281" t="s">
        <v>1535</v>
      </c>
      <c r="C281" t="s">
        <v>1536</v>
      </c>
      <c r="D281" t="s">
        <v>941</v>
      </c>
    </row>
    <row r="282" spans="1:4">
      <c r="A282" t="s">
        <v>304</v>
      </c>
      <c r="B282" t="s">
        <v>1535</v>
      </c>
      <c r="C282" t="s">
        <v>1536</v>
      </c>
      <c r="D282" t="s">
        <v>942</v>
      </c>
    </row>
    <row r="283" spans="1:4">
      <c r="A283" t="s">
        <v>304</v>
      </c>
      <c r="B283" t="s">
        <v>1535</v>
      </c>
      <c r="C283" t="s">
        <v>1536</v>
      </c>
      <c r="D283" t="s">
        <v>430</v>
      </c>
    </row>
    <row r="284" spans="1:4">
      <c r="A284" t="s">
        <v>841</v>
      </c>
      <c r="C284" t="s">
        <v>1795</v>
      </c>
    </row>
    <row r="285" spans="1:4">
      <c r="A285" t="s">
        <v>842</v>
      </c>
      <c r="C285" t="s">
        <v>1796</v>
      </c>
    </row>
    <row r="286" spans="1:4">
      <c r="A286" t="s">
        <v>843</v>
      </c>
      <c r="B286" t="s">
        <v>1537</v>
      </c>
      <c r="C286" t="s">
        <v>1538</v>
      </c>
    </row>
    <row r="287" spans="1:4">
      <c r="A287" t="s">
        <v>844</v>
      </c>
      <c r="C287" t="s">
        <v>1797</v>
      </c>
    </row>
    <row r="288" spans="1:4">
      <c r="A288" t="s">
        <v>847</v>
      </c>
      <c r="C288" t="s">
        <v>1800</v>
      </c>
    </row>
    <row r="289" spans="1:4">
      <c r="A289" t="s">
        <v>848</v>
      </c>
      <c r="C289" t="s">
        <v>1801</v>
      </c>
    </row>
    <row r="290" spans="1:4">
      <c r="A290" t="s">
        <v>431</v>
      </c>
      <c r="B290" t="s">
        <v>1539</v>
      </c>
      <c r="C290" t="s">
        <v>1540</v>
      </c>
    </row>
    <row r="291" spans="1:4">
      <c r="A291" t="s">
        <v>2102</v>
      </c>
      <c r="C291" t="s">
        <v>2103</v>
      </c>
    </row>
    <row r="292" spans="1:4">
      <c r="A292" t="s">
        <v>369</v>
      </c>
      <c r="C292" t="s">
        <v>1809</v>
      </c>
    </row>
    <row r="293" spans="1:4">
      <c r="A293" t="s">
        <v>432</v>
      </c>
      <c r="B293" t="s">
        <v>1553</v>
      </c>
      <c r="C293" t="s">
        <v>1554</v>
      </c>
    </row>
    <row r="294" spans="1:4">
      <c r="A294" t="s">
        <v>372</v>
      </c>
      <c r="B294" t="s">
        <v>1561</v>
      </c>
      <c r="C294" t="s">
        <v>1562</v>
      </c>
      <c r="D294" t="s">
        <v>1391</v>
      </c>
    </row>
    <row r="295" spans="1:4">
      <c r="A295" t="s">
        <v>372</v>
      </c>
      <c r="B295" t="s">
        <v>1561</v>
      </c>
      <c r="C295" t="s">
        <v>1562</v>
      </c>
      <c r="D295" t="s">
        <v>1327</v>
      </c>
    </row>
    <row r="296" spans="1:4">
      <c r="A296" t="s">
        <v>372</v>
      </c>
      <c r="B296" t="s">
        <v>1561</v>
      </c>
      <c r="C296" t="s">
        <v>1562</v>
      </c>
      <c r="D296" t="s">
        <v>1328</v>
      </c>
    </row>
    <row r="297" spans="1:4">
      <c r="A297" t="s">
        <v>372</v>
      </c>
      <c r="B297" t="s">
        <v>1561</v>
      </c>
      <c r="C297" t="s">
        <v>1562</v>
      </c>
      <c r="D297" t="s">
        <v>433</v>
      </c>
    </row>
    <row r="298" spans="1:4">
      <c r="A298" t="s">
        <v>372</v>
      </c>
      <c r="B298" t="s">
        <v>1561</v>
      </c>
      <c r="C298" t="s">
        <v>1562</v>
      </c>
      <c r="D298" t="s">
        <v>943</v>
      </c>
    </row>
    <row r="299" spans="1:4">
      <c r="A299" t="s">
        <v>372</v>
      </c>
      <c r="B299" t="s">
        <v>1561</v>
      </c>
      <c r="C299" t="s">
        <v>1562</v>
      </c>
      <c r="D299" t="s">
        <v>434</v>
      </c>
    </row>
    <row r="300" spans="1:4">
      <c r="A300" t="s">
        <v>372</v>
      </c>
      <c r="B300" t="s">
        <v>1561</v>
      </c>
      <c r="C300" t="s">
        <v>1562</v>
      </c>
      <c r="D300" t="s">
        <v>944</v>
      </c>
    </row>
    <row r="301" spans="1:4">
      <c r="A301" t="s">
        <v>372</v>
      </c>
      <c r="B301" t="s">
        <v>1561</v>
      </c>
      <c r="C301" t="s">
        <v>1562</v>
      </c>
      <c r="D301" t="s">
        <v>945</v>
      </c>
    </row>
    <row r="302" spans="1:4">
      <c r="A302" t="s">
        <v>372</v>
      </c>
      <c r="B302" t="s">
        <v>1561</v>
      </c>
      <c r="C302" t="s">
        <v>1562</v>
      </c>
      <c r="D302" t="s">
        <v>435</v>
      </c>
    </row>
    <row r="303" spans="1:4">
      <c r="A303" t="s">
        <v>372</v>
      </c>
      <c r="B303" t="s">
        <v>1561</v>
      </c>
      <c r="C303" t="s">
        <v>1562</v>
      </c>
      <c r="D303" t="s">
        <v>436</v>
      </c>
    </row>
    <row r="304" spans="1:4">
      <c r="A304" t="s">
        <v>372</v>
      </c>
      <c r="B304" t="s">
        <v>1561</v>
      </c>
      <c r="C304" t="s">
        <v>1562</v>
      </c>
      <c r="D304" t="s">
        <v>437</v>
      </c>
    </row>
    <row r="305" spans="1:4">
      <c r="A305" t="s">
        <v>372</v>
      </c>
      <c r="B305" t="s">
        <v>1561</v>
      </c>
      <c r="C305" t="s">
        <v>1562</v>
      </c>
      <c r="D305" t="s">
        <v>946</v>
      </c>
    </row>
    <row r="306" spans="1:4">
      <c r="A306" t="s">
        <v>372</v>
      </c>
      <c r="B306" t="s">
        <v>1561</v>
      </c>
      <c r="C306" t="s">
        <v>1562</v>
      </c>
      <c r="D306" t="s">
        <v>1392</v>
      </c>
    </row>
    <row r="307" spans="1:4">
      <c r="A307" t="s">
        <v>372</v>
      </c>
      <c r="B307" t="s">
        <v>1561</v>
      </c>
      <c r="C307" t="s">
        <v>1562</v>
      </c>
      <c r="D307" t="s">
        <v>438</v>
      </c>
    </row>
    <row r="308" spans="1:4">
      <c r="A308" t="s">
        <v>372</v>
      </c>
      <c r="B308" t="s">
        <v>1561</v>
      </c>
      <c r="C308" t="s">
        <v>1562</v>
      </c>
      <c r="D308" t="s">
        <v>439</v>
      </c>
    </row>
    <row r="309" spans="1:4">
      <c r="A309" t="s">
        <v>372</v>
      </c>
      <c r="B309" t="s">
        <v>1561</v>
      </c>
      <c r="C309" t="s">
        <v>1562</v>
      </c>
      <c r="D309" t="s">
        <v>440</v>
      </c>
    </row>
    <row r="310" spans="1:4">
      <c r="A310" t="s">
        <v>372</v>
      </c>
      <c r="B310" t="s">
        <v>1561</v>
      </c>
      <c r="C310" t="s">
        <v>1562</v>
      </c>
      <c r="D310" t="s">
        <v>1264</v>
      </c>
    </row>
    <row r="311" spans="1:4">
      <c r="A311" t="s">
        <v>372</v>
      </c>
      <c r="B311" t="s">
        <v>1561</v>
      </c>
      <c r="C311" t="s">
        <v>1562</v>
      </c>
      <c r="D311" t="s">
        <v>441</v>
      </c>
    </row>
    <row r="312" spans="1:4">
      <c r="A312" t="s">
        <v>372</v>
      </c>
      <c r="B312" t="s">
        <v>1561</v>
      </c>
      <c r="C312" t="s">
        <v>1562</v>
      </c>
      <c r="D312" t="s">
        <v>442</v>
      </c>
    </row>
    <row r="313" spans="1:4">
      <c r="A313" t="s">
        <v>372</v>
      </c>
      <c r="B313" t="s">
        <v>1561</v>
      </c>
      <c r="C313" t="s">
        <v>1562</v>
      </c>
      <c r="D313" t="s">
        <v>2192</v>
      </c>
    </row>
    <row r="314" spans="1:4">
      <c r="A314" t="s">
        <v>372</v>
      </c>
      <c r="B314" t="s">
        <v>1561</v>
      </c>
      <c r="C314" t="s">
        <v>1562</v>
      </c>
      <c r="D314" t="s">
        <v>1380</v>
      </c>
    </row>
    <row r="315" spans="1:4">
      <c r="A315" t="s">
        <v>372</v>
      </c>
      <c r="B315" t="s">
        <v>1561</v>
      </c>
      <c r="C315" t="s">
        <v>1562</v>
      </c>
      <c r="D315" t="s">
        <v>444</v>
      </c>
    </row>
    <row r="316" spans="1:4">
      <c r="A316" t="s">
        <v>372</v>
      </c>
      <c r="B316" t="s">
        <v>1561</v>
      </c>
      <c r="C316" t="s">
        <v>1562</v>
      </c>
      <c r="D316" t="s">
        <v>947</v>
      </c>
    </row>
    <row r="317" spans="1:4">
      <c r="A317" t="s">
        <v>372</v>
      </c>
      <c r="B317" t="s">
        <v>1561</v>
      </c>
      <c r="C317" t="s">
        <v>1562</v>
      </c>
      <c r="D317" t="s">
        <v>445</v>
      </c>
    </row>
    <row r="318" spans="1:4">
      <c r="A318" t="s">
        <v>372</v>
      </c>
      <c r="B318" t="s">
        <v>1561</v>
      </c>
      <c r="C318" t="s">
        <v>1562</v>
      </c>
      <c r="D318" t="s">
        <v>446</v>
      </c>
    </row>
    <row r="319" spans="1:4">
      <c r="A319" t="s">
        <v>372</v>
      </c>
      <c r="B319" t="s">
        <v>1561</v>
      </c>
      <c r="C319" t="s">
        <v>1562</v>
      </c>
      <c r="D319" t="s">
        <v>447</v>
      </c>
    </row>
    <row r="320" spans="1:4">
      <c r="A320" t="s">
        <v>372</v>
      </c>
      <c r="B320" t="s">
        <v>1561</v>
      </c>
      <c r="C320" t="s">
        <v>1562</v>
      </c>
      <c r="D320" t="s">
        <v>948</v>
      </c>
    </row>
    <row r="321" spans="1:4">
      <c r="A321" t="s">
        <v>372</v>
      </c>
      <c r="B321" t="s">
        <v>1561</v>
      </c>
      <c r="C321" t="s">
        <v>1562</v>
      </c>
      <c r="D321" t="s">
        <v>448</v>
      </c>
    </row>
    <row r="322" spans="1:4">
      <c r="A322" t="s">
        <v>372</v>
      </c>
      <c r="B322" t="s">
        <v>1561</v>
      </c>
      <c r="C322" t="s">
        <v>1562</v>
      </c>
      <c r="D322" t="s">
        <v>449</v>
      </c>
    </row>
    <row r="323" spans="1:4">
      <c r="A323" t="s">
        <v>372</v>
      </c>
      <c r="B323" t="s">
        <v>1561</v>
      </c>
      <c r="C323" t="s">
        <v>1562</v>
      </c>
      <c r="D323" t="s">
        <v>1638</v>
      </c>
    </row>
    <row r="324" spans="1:4">
      <c r="A324" t="s">
        <v>372</v>
      </c>
      <c r="B324" t="s">
        <v>1561</v>
      </c>
      <c r="C324" t="s">
        <v>1562</v>
      </c>
      <c r="D324" t="s">
        <v>450</v>
      </c>
    </row>
    <row r="325" spans="1:4">
      <c r="A325" t="s">
        <v>372</v>
      </c>
      <c r="B325" t="s">
        <v>1561</v>
      </c>
      <c r="C325" t="s">
        <v>1562</v>
      </c>
      <c r="D325" t="s">
        <v>949</v>
      </c>
    </row>
    <row r="326" spans="1:4">
      <c r="A326" t="s">
        <v>372</v>
      </c>
      <c r="B326" t="s">
        <v>1561</v>
      </c>
      <c r="C326" t="s">
        <v>1562</v>
      </c>
      <c r="D326" t="s">
        <v>2065</v>
      </c>
    </row>
    <row r="327" spans="1:4">
      <c r="A327" t="s">
        <v>372</v>
      </c>
      <c r="B327" t="s">
        <v>1561</v>
      </c>
      <c r="C327" t="s">
        <v>1562</v>
      </c>
      <c r="D327" t="s">
        <v>2104</v>
      </c>
    </row>
    <row r="328" spans="1:4">
      <c r="A328" t="s">
        <v>372</v>
      </c>
      <c r="B328" t="s">
        <v>1561</v>
      </c>
      <c r="C328" t="s">
        <v>1562</v>
      </c>
      <c r="D328" t="s">
        <v>950</v>
      </c>
    </row>
    <row r="329" spans="1:4">
      <c r="A329" t="s">
        <v>372</v>
      </c>
      <c r="B329" t="s">
        <v>1561</v>
      </c>
      <c r="C329" t="s">
        <v>1562</v>
      </c>
      <c r="D329" t="s">
        <v>451</v>
      </c>
    </row>
    <row r="330" spans="1:4">
      <c r="A330" t="s">
        <v>372</v>
      </c>
      <c r="B330" t="s">
        <v>1561</v>
      </c>
      <c r="C330" t="s">
        <v>1562</v>
      </c>
      <c r="D330" t="s">
        <v>452</v>
      </c>
    </row>
    <row r="331" spans="1:4">
      <c r="A331" t="s">
        <v>372</v>
      </c>
      <c r="B331" t="s">
        <v>1561</v>
      </c>
      <c r="C331" t="s">
        <v>1562</v>
      </c>
      <c r="D331" t="s">
        <v>453</v>
      </c>
    </row>
    <row r="332" spans="1:4">
      <c r="A332" t="s">
        <v>372</v>
      </c>
      <c r="B332" t="s">
        <v>1561</v>
      </c>
      <c r="C332" t="s">
        <v>1562</v>
      </c>
      <c r="D332" t="s">
        <v>454</v>
      </c>
    </row>
    <row r="333" spans="1:4">
      <c r="A333" t="s">
        <v>372</v>
      </c>
      <c r="B333" t="s">
        <v>1561</v>
      </c>
      <c r="C333" t="s">
        <v>1562</v>
      </c>
      <c r="D333" t="s">
        <v>455</v>
      </c>
    </row>
    <row r="334" spans="1:4">
      <c r="A334" t="s">
        <v>372</v>
      </c>
      <c r="B334" t="s">
        <v>1561</v>
      </c>
      <c r="C334" t="s">
        <v>1562</v>
      </c>
      <c r="D334" t="s">
        <v>456</v>
      </c>
    </row>
    <row r="335" spans="1:4">
      <c r="A335" t="s">
        <v>372</v>
      </c>
      <c r="B335" t="s">
        <v>1561</v>
      </c>
      <c r="C335" t="s">
        <v>1562</v>
      </c>
      <c r="D335" t="s">
        <v>1329</v>
      </c>
    </row>
    <row r="336" spans="1:4">
      <c r="A336" t="s">
        <v>372</v>
      </c>
      <c r="B336" t="s">
        <v>1561</v>
      </c>
      <c r="C336" t="s">
        <v>1562</v>
      </c>
      <c r="D336" t="s">
        <v>457</v>
      </c>
    </row>
    <row r="337" spans="1:4">
      <c r="A337" t="s">
        <v>372</v>
      </c>
      <c r="B337" t="s">
        <v>1561</v>
      </c>
      <c r="C337" t="s">
        <v>1562</v>
      </c>
      <c r="D337" t="s">
        <v>951</v>
      </c>
    </row>
    <row r="338" spans="1:4">
      <c r="A338" t="s">
        <v>372</v>
      </c>
      <c r="B338" t="s">
        <v>1561</v>
      </c>
      <c r="C338" t="s">
        <v>1562</v>
      </c>
      <c r="D338" t="s">
        <v>464</v>
      </c>
    </row>
    <row r="339" spans="1:4">
      <c r="A339" t="s">
        <v>372</v>
      </c>
      <c r="B339" t="s">
        <v>1561</v>
      </c>
      <c r="C339" t="s">
        <v>1562</v>
      </c>
      <c r="D339" t="s">
        <v>952</v>
      </c>
    </row>
    <row r="340" spans="1:4">
      <c r="A340" t="s">
        <v>372</v>
      </c>
      <c r="B340" t="s">
        <v>1561</v>
      </c>
      <c r="C340" t="s">
        <v>1562</v>
      </c>
      <c r="D340" t="s">
        <v>394</v>
      </c>
    </row>
    <row r="341" spans="1:4">
      <c r="A341" t="s">
        <v>372</v>
      </c>
      <c r="B341" t="s">
        <v>1561</v>
      </c>
      <c r="C341" t="s">
        <v>1562</v>
      </c>
      <c r="D341" t="s">
        <v>953</v>
      </c>
    </row>
    <row r="342" spans="1:4">
      <c r="A342" t="s">
        <v>372</v>
      </c>
      <c r="B342" t="s">
        <v>1561</v>
      </c>
      <c r="C342" t="s">
        <v>1562</v>
      </c>
      <c r="D342" t="s">
        <v>954</v>
      </c>
    </row>
    <row r="343" spans="1:4">
      <c r="A343" t="s">
        <v>372</v>
      </c>
      <c r="B343" t="s">
        <v>1561</v>
      </c>
      <c r="C343" t="s">
        <v>1562</v>
      </c>
      <c r="D343" t="s">
        <v>2066</v>
      </c>
    </row>
    <row r="344" spans="1:4">
      <c r="A344" t="s">
        <v>372</v>
      </c>
      <c r="B344" t="s">
        <v>1561</v>
      </c>
      <c r="C344" t="s">
        <v>1562</v>
      </c>
      <c r="D344" t="s">
        <v>1341</v>
      </c>
    </row>
    <row r="345" spans="1:4">
      <c r="A345" t="s">
        <v>1330</v>
      </c>
      <c r="C345" t="s">
        <v>1822</v>
      </c>
    </row>
    <row r="346" spans="1:4">
      <c r="A346" t="s">
        <v>2035</v>
      </c>
      <c r="C346" t="s">
        <v>2036</v>
      </c>
    </row>
    <row r="347" spans="1:4">
      <c r="A347" t="s">
        <v>458</v>
      </c>
      <c r="B347" t="s">
        <v>1565</v>
      </c>
      <c r="C347" t="s">
        <v>1566</v>
      </c>
    </row>
    <row r="348" spans="1:4">
      <c r="A348" t="s">
        <v>1331</v>
      </c>
      <c r="C348" t="s">
        <v>1827</v>
      </c>
    </row>
    <row r="349" spans="1:4">
      <c r="A349" t="s">
        <v>459</v>
      </c>
      <c r="C349" t="s">
        <v>1828</v>
      </c>
    </row>
    <row r="350" spans="1:4">
      <c r="A350" t="s">
        <v>863</v>
      </c>
      <c r="C350" t="s">
        <v>1833</v>
      </c>
    </row>
    <row r="351" spans="1:4">
      <c r="A351" t="s">
        <v>2105</v>
      </c>
      <c r="B351" t="s">
        <v>1569</v>
      </c>
      <c r="C351" t="s">
        <v>2106</v>
      </c>
    </row>
    <row r="352" spans="1:4">
      <c r="A352" t="s">
        <v>864</v>
      </c>
      <c r="C352" t="s">
        <v>1835</v>
      </c>
    </row>
    <row r="353" spans="1:4">
      <c r="A353" t="s">
        <v>1935</v>
      </c>
      <c r="C353" t="s">
        <v>1936</v>
      </c>
    </row>
    <row r="354" spans="1:4">
      <c r="A354" t="s">
        <v>460</v>
      </c>
      <c r="C354" t="s">
        <v>1838</v>
      </c>
    </row>
    <row r="355" spans="1:4">
      <c r="A355" t="s">
        <v>461</v>
      </c>
      <c r="B355" t="s">
        <v>1578</v>
      </c>
      <c r="C355" t="s">
        <v>1579</v>
      </c>
    </row>
    <row r="356" spans="1:4">
      <c r="A356" t="s">
        <v>868</v>
      </c>
      <c r="B356" t="s">
        <v>1580</v>
      </c>
      <c r="C356" t="s">
        <v>1581</v>
      </c>
    </row>
    <row r="357" spans="1:4">
      <c r="A357" t="s">
        <v>462</v>
      </c>
      <c r="B357" t="s">
        <v>1586</v>
      </c>
      <c r="C357" t="s">
        <v>1587</v>
      </c>
    </row>
    <row r="358" spans="1:4">
      <c r="A358" t="s">
        <v>2107</v>
      </c>
      <c r="C358" t="s">
        <v>2108</v>
      </c>
    </row>
    <row r="359" spans="1:4">
      <c r="A359" t="s">
        <v>463</v>
      </c>
      <c r="C359" t="s">
        <v>1848</v>
      </c>
    </row>
    <row r="360" spans="1:4">
      <c r="A360" t="s">
        <v>882</v>
      </c>
      <c r="C360" t="s">
        <v>1859</v>
      </c>
    </row>
    <row r="361" spans="1:4">
      <c r="A361" t="s">
        <v>896</v>
      </c>
      <c r="C361" t="s">
        <v>1875</v>
      </c>
    </row>
    <row r="362" spans="1:4">
      <c r="A362" t="s">
        <v>1332</v>
      </c>
      <c r="C362" t="s">
        <v>1857</v>
      </c>
    </row>
    <row r="363" spans="1:4">
      <c r="A363" t="s">
        <v>1631</v>
      </c>
      <c r="C363" t="s">
        <v>1877</v>
      </c>
    </row>
    <row r="364" spans="1:4">
      <c r="A364" t="s">
        <v>465</v>
      </c>
      <c r="C364" t="s">
        <v>1876</v>
      </c>
    </row>
    <row r="365" spans="1:4">
      <c r="A365" t="s">
        <v>466</v>
      </c>
      <c r="B365" t="s">
        <v>1597</v>
      </c>
      <c r="C365" t="s">
        <v>1598</v>
      </c>
    </row>
    <row r="366" spans="1:4">
      <c r="A366" t="s">
        <v>467</v>
      </c>
      <c r="B366" t="s">
        <v>1599</v>
      </c>
      <c r="C366" t="s">
        <v>1600</v>
      </c>
    </row>
    <row r="367" spans="1:4">
      <c r="A367" t="s">
        <v>1294</v>
      </c>
      <c r="C367" t="s">
        <v>1858</v>
      </c>
    </row>
    <row r="368" spans="1:4">
      <c r="A368" t="s">
        <v>219</v>
      </c>
      <c r="C368" t="s">
        <v>1886</v>
      </c>
      <c r="D368" t="s">
        <v>468</v>
      </c>
    </row>
    <row r="369" spans="1:4">
      <c r="A369" t="s">
        <v>219</v>
      </c>
      <c r="C369" t="s">
        <v>1886</v>
      </c>
      <c r="D369" t="s">
        <v>955</v>
      </c>
    </row>
    <row r="370" spans="1:4">
      <c r="A370" t="s">
        <v>219</v>
      </c>
      <c r="C370" t="s">
        <v>1886</v>
      </c>
      <c r="D370" t="s">
        <v>956</v>
      </c>
    </row>
    <row r="371" spans="1:4">
      <c r="A371" t="s">
        <v>219</v>
      </c>
      <c r="C371" t="s">
        <v>1886</v>
      </c>
      <c r="D371" t="s">
        <v>469</v>
      </c>
    </row>
    <row r="372" spans="1:4">
      <c r="A372" t="s">
        <v>2186</v>
      </c>
      <c r="C372" t="s">
        <v>2187</v>
      </c>
    </row>
    <row r="373" spans="1:4">
      <c r="A373" t="s">
        <v>906</v>
      </c>
      <c r="C373" t="s">
        <v>1891</v>
      </c>
    </row>
    <row r="374" spans="1:4">
      <c r="A374" t="s">
        <v>203</v>
      </c>
      <c r="C374" t="s">
        <v>1892</v>
      </c>
      <c r="D374" t="s">
        <v>1295</v>
      </c>
    </row>
    <row r="375" spans="1:4">
      <c r="A375" t="s">
        <v>203</v>
      </c>
      <c r="C375" t="s">
        <v>1892</v>
      </c>
      <c r="D375" t="s">
        <v>2067</v>
      </c>
    </row>
    <row r="376" spans="1:4">
      <c r="A376" t="s">
        <v>203</v>
      </c>
      <c r="C376" t="s">
        <v>1892</v>
      </c>
      <c r="D376" t="s">
        <v>471</v>
      </c>
    </row>
    <row r="377" spans="1:4">
      <c r="A377" t="s">
        <v>203</v>
      </c>
      <c r="C377" t="s">
        <v>1892</v>
      </c>
      <c r="D377" t="s">
        <v>1296</v>
      </c>
    </row>
    <row r="378" spans="1:4">
      <c r="A378" t="s">
        <v>203</v>
      </c>
      <c r="C378" t="s">
        <v>1892</v>
      </c>
      <c r="D378" t="s">
        <v>472</v>
      </c>
    </row>
    <row r="379" spans="1:4">
      <c r="A379" t="s">
        <v>203</v>
      </c>
      <c r="C379" t="s">
        <v>1892</v>
      </c>
      <c r="D379" t="s">
        <v>1639</v>
      </c>
    </row>
    <row r="380" spans="1:4">
      <c r="A380" t="s">
        <v>203</v>
      </c>
      <c r="C380" t="s">
        <v>1892</v>
      </c>
      <c r="D380" t="s">
        <v>1297</v>
      </c>
    </row>
    <row r="381" spans="1:4">
      <c r="A381" t="s">
        <v>203</v>
      </c>
      <c r="C381" t="s">
        <v>1892</v>
      </c>
      <c r="D381" t="s">
        <v>1298</v>
      </c>
    </row>
    <row r="382" spans="1:4">
      <c r="A382" t="s">
        <v>203</v>
      </c>
      <c r="C382" t="s">
        <v>1892</v>
      </c>
      <c r="D382" t="s">
        <v>1940</v>
      </c>
    </row>
    <row r="383" spans="1:4">
      <c r="A383" t="s">
        <v>203</v>
      </c>
      <c r="C383" t="s">
        <v>1892</v>
      </c>
      <c r="D383" t="s">
        <v>470</v>
      </c>
    </row>
    <row r="384" spans="1:4">
      <c r="A384" t="s">
        <v>473</v>
      </c>
      <c r="C384" t="s">
        <v>1893</v>
      </c>
    </row>
    <row r="385" spans="1:3">
      <c r="A385" t="s">
        <v>1265</v>
      </c>
      <c r="C385" t="s">
        <v>1896</v>
      </c>
    </row>
    <row r="386" spans="1:3">
      <c r="A386" t="s">
        <v>380</v>
      </c>
      <c r="C386" t="s">
        <v>1644</v>
      </c>
    </row>
    <row r="387" spans="1:3">
      <c r="A387" t="s">
        <v>1903</v>
      </c>
      <c r="C387" t="s">
        <v>1907</v>
      </c>
    </row>
    <row r="388" spans="1:3">
      <c r="A388" t="s">
        <v>381</v>
      </c>
      <c r="C388" t="s">
        <v>1643</v>
      </c>
    </row>
    <row r="389" spans="1:3">
      <c r="A389" t="s">
        <v>382</v>
      </c>
      <c r="C389" t="s">
        <v>1645</v>
      </c>
    </row>
    <row r="390" spans="1:3">
      <c r="A390" t="s">
        <v>350</v>
      </c>
      <c r="C390" t="s">
        <v>1648</v>
      </c>
    </row>
    <row r="391" spans="1:3">
      <c r="A391" t="s">
        <v>778</v>
      </c>
      <c r="C391" t="s">
        <v>1656</v>
      </c>
    </row>
    <row r="392" spans="1:3">
      <c r="A392" t="s">
        <v>351</v>
      </c>
      <c r="C392" t="s">
        <v>1657</v>
      </c>
    </row>
    <row r="393" spans="1:3">
      <c r="A393" t="s">
        <v>352</v>
      </c>
      <c r="C393" t="s">
        <v>1661</v>
      </c>
    </row>
    <row r="394" spans="1:3">
      <c r="A394" t="s">
        <v>353</v>
      </c>
      <c r="C394" t="s">
        <v>1665</v>
      </c>
    </row>
    <row r="395" spans="1:3">
      <c r="A395" t="s">
        <v>785</v>
      </c>
      <c r="C395" t="s">
        <v>1674</v>
      </c>
    </row>
    <row r="396" spans="1:3">
      <c r="A396" t="s">
        <v>789</v>
      </c>
      <c r="C396" t="s">
        <v>1680</v>
      </c>
    </row>
    <row r="397" spans="1:3">
      <c r="A397" t="s">
        <v>314</v>
      </c>
      <c r="C397" t="s">
        <v>1693</v>
      </c>
    </row>
    <row r="398" spans="1:3">
      <c r="A398" t="s">
        <v>356</v>
      </c>
      <c r="C398" t="s">
        <v>1694</v>
      </c>
    </row>
    <row r="399" spans="1:3">
      <c r="A399" t="s">
        <v>796</v>
      </c>
      <c r="C399" t="s">
        <v>1699</v>
      </c>
    </row>
    <row r="400" spans="1:3">
      <c r="A400" t="s">
        <v>357</v>
      </c>
      <c r="C400" t="s">
        <v>1683</v>
      </c>
    </row>
    <row r="401" spans="1:3">
      <c r="A401" t="s">
        <v>358</v>
      </c>
      <c r="C401" t="s">
        <v>1684</v>
      </c>
    </row>
    <row r="402" spans="1:3">
      <c r="A402" t="s">
        <v>359</v>
      </c>
      <c r="C402" t="s">
        <v>1685</v>
      </c>
    </row>
    <row r="403" spans="1:3">
      <c r="A403" t="s">
        <v>360</v>
      </c>
      <c r="C403" t="s">
        <v>1704</v>
      </c>
    </row>
    <row r="404" spans="1:3">
      <c r="A404" t="s">
        <v>810</v>
      </c>
      <c r="C404" t="s">
        <v>1725</v>
      </c>
    </row>
    <row r="405" spans="1:3">
      <c r="A405" t="s">
        <v>815</v>
      </c>
      <c r="C405" t="s">
        <v>1733</v>
      </c>
    </row>
    <row r="406" spans="1:3">
      <c r="A406" t="s">
        <v>817</v>
      </c>
      <c r="C406" t="s">
        <v>1738</v>
      </c>
    </row>
    <row r="407" spans="1:3">
      <c r="A407" t="s">
        <v>362</v>
      </c>
      <c r="C407" t="s">
        <v>1747</v>
      </c>
    </row>
    <row r="408" spans="1:3">
      <c r="A408" t="s">
        <v>363</v>
      </c>
      <c r="C408" t="s">
        <v>1749</v>
      </c>
    </row>
    <row r="409" spans="1:3">
      <c r="A409" t="s">
        <v>364</v>
      </c>
      <c r="C409" t="s">
        <v>1762</v>
      </c>
    </row>
    <row r="410" spans="1:3">
      <c r="A410" t="s">
        <v>832</v>
      </c>
      <c r="C410" t="s">
        <v>1777</v>
      </c>
    </row>
    <row r="411" spans="1:3">
      <c r="A411" t="s">
        <v>834</v>
      </c>
      <c r="C411" t="s">
        <v>1779</v>
      </c>
    </row>
    <row r="412" spans="1:3">
      <c r="A412" t="s">
        <v>366</v>
      </c>
      <c r="C412" t="s">
        <v>1782</v>
      </c>
    </row>
    <row r="413" spans="1:3">
      <c r="A413" t="s">
        <v>367</v>
      </c>
      <c r="C413" t="s">
        <v>1783</v>
      </c>
    </row>
    <row r="414" spans="1:3">
      <c r="A414" t="s">
        <v>840</v>
      </c>
      <c r="C414" t="s">
        <v>1793</v>
      </c>
    </row>
    <row r="415" spans="1:3">
      <c r="A415" t="s">
        <v>368</v>
      </c>
      <c r="C415" t="s">
        <v>1805</v>
      </c>
    </row>
    <row r="416" spans="1:3">
      <c r="A416" t="s">
        <v>371</v>
      </c>
      <c r="C416" t="s">
        <v>1819</v>
      </c>
    </row>
    <row r="417" spans="1:4">
      <c r="A417" t="s">
        <v>373</v>
      </c>
      <c r="C417" t="s">
        <v>1821</v>
      </c>
    </row>
    <row r="418" spans="1:4">
      <c r="A418" t="s">
        <v>374</v>
      </c>
      <c r="C418" t="s">
        <v>1837</v>
      </c>
    </row>
    <row r="419" spans="1:4">
      <c r="A419" t="s">
        <v>375</v>
      </c>
      <c r="C419" t="s">
        <v>1843</v>
      </c>
    </row>
    <row r="420" spans="1:4">
      <c r="A420" t="s">
        <v>1946</v>
      </c>
      <c r="C420" t="s">
        <v>1947</v>
      </c>
    </row>
    <row r="421" spans="1:4">
      <c r="A421" t="s">
        <v>883</v>
      </c>
      <c r="C421" t="s">
        <v>1860</v>
      </c>
    </row>
    <row r="422" spans="1:4">
      <c r="A422" t="s">
        <v>898</v>
      </c>
      <c r="C422" t="s">
        <v>1879</v>
      </c>
    </row>
    <row r="423" spans="1:4">
      <c r="A423" t="s">
        <v>376</v>
      </c>
      <c r="C423" t="s">
        <v>1885</v>
      </c>
    </row>
    <row r="424" spans="1:4">
      <c r="A424" t="s">
        <v>904</v>
      </c>
      <c r="C424" t="s">
        <v>1887</v>
      </c>
    </row>
    <row r="425" spans="1:4">
      <c r="A425" t="s">
        <v>347</v>
      </c>
      <c r="C425" t="s">
        <v>1888</v>
      </c>
    </row>
    <row r="426" spans="1:4">
      <c r="A426" t="s">
        <v>377</v>
      </c>
      <c r="C426" t="s">
        <v>1890</v>
      </c>
    </row>
    <row r="427" spans="1:4">
      <c r="A427" t="s">
        <v>1342</v>
      </c>
      <c r="C427" t="s">
        <v>1884</v>
      </c>
    </row>
    <row r="428" spans="1:4">
      <c r="A428" t="s">
        <v>1393</v>
      </c>
      <c r="C428" t="s">
        <v>1700</v>
      </c>
      <c r="D428" t="s">
        <v>1394</v>
      </c>
    </row>
    <row r="429" spans="1:4">
      <c r="A429" t="s">
        <v>2109</v>
      </c>
      <c r="C429" t="s">
        <v>2110</v>
      </c>
      <c r="D429" t="s">
        <v>2111</v>
      </c>
    </row>
    <row r="430" spans="1:4">
      <c r="A430" t="s">
        <v>1291</v>
      </c>
      <c r="C430" t="s">
        <v>1758</v>
      </c>
      <c r="D430" t="s">
        <v>1299</v>
      </c>
    </row>
    <row r="431" spans="1:4">
      <c r="A431" t="s">
        <v>1291</v>
      </c>
      <c r="C431" t="s">
        <v>1758</v>
      </c>
      <c r="D431" t="s">
        <v>1300</v>
      </c>
    </row>
    <row r="432" spans="1:4">
      <c r="A432" t="s">
        <v>1291</v>
      </c>
      <c r="C432" t="s">
        <v>1758</v>
      </c>
      <c r="D432" t="s">
        <v>1301</v>
      </c>
    </row>
    <row r="433" spans="1:4">
      <c r="A433" t="s">
        <v>478</v>
      </c>
      <c r="C433" t="s">
        <v>1759</v>
      </c>
      <c r="D433" t="s">
        <v>957</v>
      </c>
    </row>
    <row r="434" spans="1:4">
      <c r="A434" t="s">
        <v>478</v>
      </c>
      <c r="C434" t="s">
        <v>1759</v>
      </c>
      <c r="D434" t="s">
        <v>479</v>
      </c>
    </row>
    <row r="435" spans="1:4">
      <c r="A435" t="s">
        <v>478</v>
      </c>
      <c r="C435" t="s">
        <v>1759</v>
      </c>
      <c r="D435" t="s">
        <v>480</v>
      </c>
    </row>
    <row r="436" spans="1:4">
      <c r="A436" t="s">
        <v>478</v>
      </c>
      <c r="C436" t="s">
        <v>1759</v>
      </c>
      <c r="D436" t="s">
        <v>481</v>
      </c>
    </row>
    <row r="437" spans="1:4">
      <c r="A437" t="s">
        <v>478</v>
      </c>
      <c r="C437" t="s">
        <v>1759</v>
      </c>
      <c r="D437" t="s">
        <v>482</v>
      </c>
    </row>
    <row r="438" spans="1:4">
      <c r="A438" t="s">
        <v>483</v>
      </c>
      <c r="B438" t="s">
        <v>1508</v>
      </c>
      <c r="C438" t="s">
        <v>1509</v>
      </c>
    </row>
    <row r="439" spans="1:4">
      <c r="A439" t="s">
        <v>484</v>
      </c>
      <c r="B439" t="s">
        <v>1510</v>
      </c>
      <c r="C439" t="s">
        <v>1511</v>
      </c>
    </row>
    <row r="440" spans="1:4">
      <c r="A440" t="s">
        <v>485</v>
      </c>
      <c r="C440" t="s">
        <v>1760</v>
      </c>
      <c r="D440" t="s">
        <v>1302</v>
      </c>
    </row>
    <row r="441" spans="1:4">
      <c r="A441" t="s">
        <v>485</v>
      </c>
      <c r="C441" t="s">
        <v>1760</v>
      </c>
      <c r="D441" t="s">
        <v>1303</v>
      </c>
    </row>
    <row r="442" spans="1:4">
      <c r="A442" t="s">
        <v>486</v>
      </c>
      <c r="C442" t="s">
        <v>1761</v>
      </c>
    </row>
    <row r="443" spans="1:4">
      <c r="A443" t="s">
        <v>102</v>
      </c>
      <c r="C443" t="s">
        <v>1756</v>
      </c>
      <c r="D443" t="s">
        <v>1304</v>
      </c>
    </row>
    <row r="444" spans="1:4">
      <c r="A444" t="s">
        <v>476</v>
      </c>
      <c r="C444" t="s">
        <v>1757</v>
      </c>
    </row>
    <row r="445" spans="1:4">
      <c r="A445" t="s">
        <v>2013</v>
      </c>
      <c r="C445" t="s">
        <v>2014</v>
      </c>
    </row>
    <row r="446" spans="1:4">
      <c r="A446" t="s">
        <v>2011</v>
      </c>
      <c r="C446" t="s">
        <v>2012</v>
      </c>
    </row>
    <row r="447" spans="1:4">
      <c r="A447" t="s">
        <v>1995</v>
      </c>
      <c r="C447" t="s">
        <v>1996</v>
      </c>
    </row>
    <row r="448" spans="1:4">
      <c r="A448" t="s">
        <v>1997</v>
      </c>
      <c r="C448" t="s">
        <v>1998</v>
      </c>
    </row>
    <row r="449" spans="1:4">
      <c r="A449" t="s">
        <v>475</v>
      </c>
      <c r="C449" t="s">
        <v>1714</v>
      </c>
    </row>
    <row r="450" spans="1:4">
      <c r="A450" t="s">
        <v>17</v>
      </c>
      <c r="C450" t="s">
        <v>1927</v>
      </c>
    </row>
    <row r="451" spans="1:4">
      <c r="A451" t="s">
        <v>2049</v>
      </c>
      <c r="C451" t="s">
        <v>2050</v>
      </c>
    </row>
    <row r="452" spans="1:4">
      <c r="A452" t="s">
        <v>837</v>
      </c>
      <c r="C452" t="s">
        <v>1787</v>
      </c>
      <c r="D452" t="s">
        <v>958</v>
      </c>
    </row>
    <row r="453" spans="1:4">
      <c r="A453" t="s">
        <v>837</v>
      </c>
      <c r="C453" t="s">
        <v>1787</v>
      </c>
      <c r="D453" t="s">
        <v>959</v>
      </c>
    </row>
    <row r="454" spans="1:4">
      <c r="A454" t="s">
        <v>837</v>
      </c>
      <c r="C454" t="s">
        <v>1787</v>
      </c>
      <c r="D454" t="s">
        <v>960</v>
      </c>
    </row>
    <row r="455" spans="1:4">
      <c r="A455" t="s">
        <v>837</v>
      </c>
      <c r="C455" t="s">
        <v>1787</v>
      </c>
      <c r="D455" t="s">
        <v>961</v>
      </c>
    </row>
    <row r="456" spans="1:4">
      <c r="A456" t="s">
        <v>2078</v>
      </c>
      <c r="C456" t="s">
        <v>2079</v>
      </c>
    </row>
    <row r="457" spans="1:4">
      <c r="A457" t="s">
        <v>1987</v>
      </c>
      <c r="B457" t="s">
        <v>1988</v>
      </c>
      <c r="C457" t="s">
        <v>1989</v>
      </c>
    </row>
    <row r="458" spans="1:4">
      <c r="A458" t="s">
        <v>774</v>
      </c>
      <c r="C458" t="s">
        <v>1649</v>
      </c>
    </row>
    <row r="459" spans="1:4">
      <c r="A459" t="s">
        <v>1623</v>
      </c>
      <c r="C459" t="s">
        <v>1654</v>
      </c>
    </row>
    <row r="460" spans="1:4">
      <c r="A460" t="s">
        <v>509</v>
      </c>
      <c r="C460" t="s">
        <v>1642</v>
      </c>
    </row>
    <row r="461" spans="1:4">
      <c r="A461" t="s">
        <v>474</v>
      </c>
      <c r="C461" t="s">
        <v>1663</v>
      </c>
    </row>
    <row r="462" spans="1:4">
      <c r="A462" t="s">
        <v>2112</v>
      </c>
      <c r="C462" t="s">
        <v>2113</v>
      </c>
    </row>
    <row r="463" spans="1:4">
      <c r="A463" t="s">
        <v>1266</v>
      </c>
      <c r="C463" t="s">
        <v>1677</v>
      </c>
    </row>
    <row r="464" spans="1:4">
      <c r="A464" t="s">
        <v>2148</v>
      </c>
      <c r="B464" t="s">
        <v>2149</v>
      </c>
      <c r="C464" t="s">
        <v>2150</v>
      </c>
    </row>
    <row r="465" spans="1:4">
      <c r="A465" t="s">
        <v>2151</v>
      </c>
      <c r="C465" t="s">
        <v>2152</v>
      </c>
    </row>
    <row r="466" spans="1:4">
      <c r="A466" t="s">
        <v>2153</v>
      </c>
      <c r="C466" t="s">
        <v>2154</v>
      </c>
    </row>
    <row r="467" spans="1:4">
      <c r="A467" t="s">
        <v>2155</v>
      </c>
      <c r="B467" t="s">
        <v>2156</v>
      </c>
      <c r="C467" t="s">
        <v>2157</v>
      </c>
    </row>
    <row r="468" spans="1:4">
      <c r="A468" t="s">
        <v>799</v>
      </c>
      <c r="C468" t="s">
        <v>1706</v>
      </c>
    </row>
    <row r="469" spans="1:4">
      <c r="A469" t="s">
        <v>2114</v>
      </c>
      <c r="B469" t="s">
        <v>2115</v>
      </c>
      <c r="C469" t="s">
        <v>2116</v>
      </c>
    </row>
    <row r="470" spans="1:4">
      <c r="A470" t="s">
        <v>510</v>
      </c>
      <c r="B470" t="s">
        <v>1478</v>
      </c>
      <c r="C470" t="s">
        <v>1479</v>
      </c>
    </row>
    <row r="471" spans="1:4">
      <c r="A471" t="s">
        <v>1395</v>
      </c>
      <c r="C471" t="s">
        <v>1722</v>
      </c>
    </row>
    <row r="472" spans="1:4">
      <c r="A472" t="s">
        <v>1406</v>
      </c>
      <c r="B472" t="s">
        <v>1480</v>
      </c>
      <c r="C472" t="s">
        <v>1481</v>
      </c>
    </row>
    <row r="473" spans="1:4">
      <c r="A473" t="s">
        <v>2001</v>
      </c>
      <c r="C473" t="s">
        <v>2002</v>
      </c>
    </row>
    <row r="474" spans="1:4">
      <c r="A474" t="s">
        <v>2003</v>
      </c>
      <c r="C474" t="s">
        <v>2004</v>
      </c>
    </row>
    <row r="475" spans="1:4">
      <c r="A475" t="s">
        <v>818</v>
      </c>
      <c r="C475" t="s">
        <v>1739</v>
      </c>
    </row>
    <row r="476" spans="1:4">
      <c r="A476" t="s">
        <v>2117</v>
      </c>
      <c r="C476" t="s">
        <v>2118</v>
      </c>
    </row>
    <row r="477" spans="1:4">
      <c r="A477" t="s">
        <v>1267</v>
      </c>
      <c r="C477" t="s">
        <v>1744</v>
      </c>
      <c r="D477" t="s">
        <v>1269</v>
      </c>
    </row>
    <row r="478" spans="1:4">
      <c r="A478" t="s">
        <v>828</v>
      </c>
      <c r="C478" t="s">
        <v>1771</v>
      </c>
    </row>
    <row r="479" spans="1:4">
      <c r="A479" t="s">
        <v>1343</v>
      </c>
      <c r="C479" t="s">
        <v>1794</v>
      </c>
    </row>
    <row r="480" spans="1:4">
      <c r="A480" t="s">
        <v>1912</v>
      </c>
      <c r="C480" t="s">
        <v>1913</v>
      </c>
    </row>
    <row r="481" spans="1:3">
      <c r="A481" t="s">
        <v>487</v>
      </c>
      <c r="C481" t="s">
        <v>1792</v>
      </c>
    </row>
    <row r="482" spans="1:3">
      <c r="A482" t="s">
        <v>1292</v>
      </c>
      <c r="C482" t="s">
        <v>1802</v>
      </c>
    </row>
    <row r="483" spans="1:3">
      <c r="A483" t="s">
        <v>1943</v>
      </c>
      <c r="B483" t="s">
        <v>1944</v>
      </c>
      <c r="C483" t="s">
        <v>1945</v>
      </c>
    </row>
    <row r="484" spans="1:3">
      <c r="A484" t="s">
        <v>2167</v>
      </c>
      <c r="B484" t="s">
        <v>2168</v>
      </c>
      <c r="C484" t="s">
        <v>2169</v>
      </c>
    </row>
    <row r="485" spans="1:3">
      <c r="A485" t="s">
        <v>851</v>
      </c>
      <c r="C485" t="s">
        <v>1808</v>
      </c>
    </row>
    <row r="486" spans="1:3">
      <c r="A486" t="s">
        <v>2170</v>
      </c>
      <c r="C486" t="s">
        <v>2171</v>
      </c>
    </row>
    <row r="487" spans="1:3">
      <c r="A487" t="s">
        <v>511</v>
      </c>
      <c r="C487" t="s">
        <v>1811</v>
      </c>
    </row>
    <row r="488" spans="1:3">
      <c r="A488" t="s">
        <v>2172</v>
      </c>
      <c r="C488" t="s">
        <v>2173</v>
      </c>
    </row>
    <row r="489" spans="1:3">
      <c r="A489" t="s">
        <v>513</v>
      </c>
      <c r="B489" t="s">
        <v>1555</v>
      </c>
      <c r="C489" t="s">
        <v>1556</v>
      </c>
    </row>
    <row r="490" spans="1:3">
      <c r="A490" t="s">
        <v>514</v>
      </c>
      <c r="C490" t="s">
        <v>1816</v>
      </c>
    </row>
    <row r="491" spans="1:3">
      <c r="A491" t="s">
        <v>306</v>
      </c>
      <c r="B491" t="s">
        <v>1557</v>
      </c>
      <c r="C491" t="s">
        <v>1558</v>
      </c>
    </row>
    <row r="492" spans="1:3">
      <c r="A492" t="s">
        <v>854</v>
      </c>
      <c r="B492" t="s">
        <v>1559</v>
      </c>
      <c r="C492" t="s">
        <v>1560</v>
      </c>
    </row>
    <row r="493" spans="1:3">
      <c r="A493" t="s">
        <v>2174</v>
      </c>
      <c r="B493" t="s">
        <v>2175</v>
      </c>
      <c r="C493" t="s">
        <v>2176</v>
      </c>
    </row>
    <row r="494" spans="1:3">
      <c r="A494" t="s">
        <v>856</v>
      </c>
      <c r="C494" t="s">
        <v>1818</v>
      </c>
    </row>
    <row r="495" spans="1:3">
      <c r="A495" t="s">
        <v>515</v>
      </c>
      <c r="C495" t="s">
        <v>1823</v>
      </c>
    </row>
    <row r="496" spans="1:3">
      <c r="A496" t="s">
        <v>892</v>
      </c>
      <c r="C496" t="s">
        <v>1871</v>
      </c>
    </row>
    <row r="497" spans="1:3">
      <c r="A497" t="s">
        <v>899</v>
      </c>
      <c r="C497" t="s">
        <v>1880</v>
      </c>
    </row>
    <row r="498" spans="1:3">
      <c r="A498" t="s">
        <v>497</v>
      </c>
      <c r="C498" t="s">
        <v>1646</v>
      </c>
    </row>
    <row r="499" spans="1:3">
      <c r="A499" t="s">
        <v>773</v>
      </c>
      <c r="C499" t="s">
        <v>1647</v>
      </c>
    </row>
    <row r="500" spans="1:3">
      <c r="A500" t="s">
        <v>776</v>
      </c>
      <c r="C500" t="s">
        <v>1653</v>
      </c>
    </row>
    <row r="501" spans="1:3">
      <c r="A501" t="s">
        <v>908</v>
      </c>
      <c r="C501" t="s">
        <v>1897</v>
      </c>
    </row>
    <row r="502" spans="1:3">
      <c r="A502" t="s">
        <v>779</v>
      </c>
      <c r="C502" t="s">
        <v>1658</v>
      </c>
    </row>
    <row r="503" spans="1:3">
      <c r="A503" t="s">
        <v>780</v>
      </c>
      <c r="C503" t="s">
        <v>1659</v>
      </c>
    </row>
    <row r="504" spans="1:3">
      <c r="A504" t="s">
        <v>782</v>
      </c>
      <c r="C504" t="s">
        <v>1667</v>
      </c>
    </row>
    <row r="505" spans="1:3">
      <c r="A505" t="s">
        <v>783</v>
      </c>
      <c r="C505" t="s">
        <v>1670</v>
      </c>
    </row>
    <row r="506" spans="1:3">
      <c r="A506" t="s">
        <v>781</v>
      </c>
      <c r="C506" t="s">
        <v>1664</v>
      </c>
    </row>
    <row r="507" spans="1:3">
      <c r="A507" t="s">
        <v>1368</v>
      </c>
      <c r="C507" t="s">
        <v>1671</v>
      </c>
    </row>
    <row r="508" spans="1:3">
      <c r="A508" t="s">
        <v>786</v>
      </c>
      <c r="C508" t="s">
        <v>1675</v>
      </c>
    </row>
    <row r="509" spans="1:3">
      <c r="A509" t="s">
        <v>784</v>
      </c>
      <c r="C509" t="s">
        <v>1672</v>
      </c>
    </row>
    <row r="510" spans="1:3">
      <c r="A510" t="s">
        <v>788</v>
      </c>
      <c r="C510" t="s">
        <v>1678</v>
      </c>
    </row>
    <row r="511" spans="1:3">
      <c r="A511" t="s">
        <v>793</v>
      </c>
      <c r="C511" t="s">
        <v>1697</v>
      </c>
    </row>
    <row r="512" spans="1:3">
      <c r="A512" t="s">
        <v>790</v>
      </c>
      <c r="C512" t="s">
        <v>1682</v>
      </c>
    </row>
    <row r="513" spans="1:3">
      <c r="A513" t="s">
        <v>801</v>
      </c>
      <c r="C513" t="s">
        <v>1709</v>
      </c>
    </row>
    <row r="514" spans="1:3">
      <c r="A514" t="s">
        <v>798</v>
      </c>
      <c r="C514" t="s">
        <v>1705</v>
      </c>
    </row>
    <row r="515" spans="1:3">
      <c r="A515" t="s">
        <v>800</v>
      </c>
      <c r="C515" t="s">
        <v>1707</v>
      </c>
    </row>
    <row r="516" spans="1:3">
      <c r="A516" t="s">
        <v>803</v>
      </c>
      <c r="C516" t="s">
        <v>1715</v>
      </c>
    </row>
    <row r="517" spans="1:3">
      <c r="A517" t="s">
        <v>804</v>
      </c>
      <c r="C517" t="s">
        <v>1716</v>
      </c>
    </row>
    <row r="518" spans="1:3">
      <c r="A518" t="s">
        <v>805</v>
      </c>
      <c r="C518" t="s">
        <v>1717</v>
      </c>
    </row>
    <row r="519" spans="1:3">
      <c r="A519" t="s">
        <v>806</v>
      </c>
      <c r="C519" t="s">
        <v>1718</v>
      </c>
    </row>
    <row r="520" spans="1:3">
      <c r="A520" t="s">
        <v>808</v>
      </c>
      <c r="C520" t="s">
        <v>1720</v>
      </c>
    </row>
    <row r="521" spans="1:3">
      <c r="A521" t="s">
        <v>1293</v>
      </c>
      <c r="C521" t="s">
        <v>1839</v>
      </c>
    </row>
    <row r="522" spans="1:3">
      <c r="A522" t="s">
        <v>498</v>
      </c>
      <c r="C522" t="s">
        <v>1723</v>
      </c>
    </row>
    <row r="523" spans="1:3">
      <c r="A523" t="s">
        <v>809</v>
      </c>
      <c r="C523" t="s">
        <v>1724</v>
      </c>
    </row>
    <row r="524" spans="1:3">
      <c r="A524" t="s">
        <v>811</v>
      </c>
      <c r="C524" t="s">
        <v>1726</v>
      </c>
    </row>
    <row r="525" spans="1:3">
      <c r="A525" t="s">
        <v>499</v>
      </c>
      <c r="C525" t="s">
        <v>1727</v>
      </c>
    </row>
    <row r="526" spans="1:3">
      <c r="A526" t="s">
        <v>812</v>
      </c>
      <c r="C526" t="s">
        <v>1728</v>
      </c>
    </row>
    <row r="527" spans="1:3">
      <c r="A527" t="s">
        <v>816</v>
      </c>
      <c r="C527" t="s">
        <v>1735</v>
      </c>
    </row>
    <row r="528" spans="1:3">
      <c r="A528" t="s">
        <v>491</v>
      </c>
      <c r="C528" t="s">
        <v>1737</v>
      </c>
    </row>
    <row r="529" spans="1:3">
      <c r="A529" t="s">
        <v>819</v>
      </c>
      <c r="C529" t="s">
        <v>1740</v>
      </c>
    </row>
    <row r="530" spans="1:3">
      <c r="A530" t="s">
        <v>1396</v>
      </c>
      <c r="C530" t="s">
        <v>1742</v>
      </c>
    </row>
    <row r="531" spans="1:3">
      <c r="A531" t="s">
        <v>820</v>
      </c>
      <c r="C531" t="s">
        <v>1754</v>
      </c>
    </row>
    <row r="532" spans="1:3">
      <c r="A532" t="s">
        <v>500</v>
      </c>
      <c r="C532" t="s">
        <v>1748</v>
      </c>
    </row>
    <row r="533" spans="1:3">
      <c r="A533" t="s">
        <v>2119</v>
      </c>
      <c r="C533" t="s">
        <v>2120</v>
      </c>
    </row>
    <row r="534" spans="1:3">
      <c r="A534" t="s">
        <v>501</v>
      </c>
      <c r="C534" t="s">
        <v>1763</v>
      </c>
    </row>
    <row r="535" spans="1:3">
      <c r="A535" t="s">
        <v>824</v>
      </c>
      <c r="C535" t="s">
        <v>1769</v>
      </c>
    </row>
    <row r="536" spans="1:3">
      <c r="A536" t="s">
        <v>825</v>
      </c>
      <c r="B536" t="s">
        <v>1517</v>
      </c>
      <c r="C536" t="s">
        <v>1518</v>
      </c>
    </row>
    <row r="537" spans="1:3">
      <c r="A537" t="s">
        <v>826</v>
      </c>
      <c r="B537" t="s">
        <v>1519</v>
      </c>
      <c r="C537" t="s">
        <v>1520</v>
      </c>
    </row>
    <row r="538" spans="1:3">
      <c r="A538" t="s">
        <v>827</v>
      </c>
      <c r="C538" t="s">
        <v>1770</v>
      </c>
    </row>
    <row r="539" spans="1:3">
      <c r="A539" t="s">
        <v>2015</v>
      </c>
      <c r="C539" t="s">
        <v>2016</v>
      </c>
    </row>
    <row r="540" spans="1:3">
      <c r="A540" t="s">
        <v>502</v>
      </c>
      <c r="C540" t="s">
        <v>1764</v>
      </c>
    </row>
    <row r="541" spans="1:3">
      <c r="A541" t="s">
        <v>2043</v>
      </c>
      <c r="C541" t="s">
        <v>2044</v>
      </c>
    </row>
    <row r="542" spans="1:3">
      <c r="A542" t="s">
        <v>831</v>
      </c>
      <c r="C542" t="s">
        <v>1774</v>
      </c>
    </row>
    <row r="543" spans="1:3">
      <c r="A543" t="s">
        <v>503</v>
      </c>
      <c r="C543" t="s">
        <v>1775</v>
      </c>
    </row>
    <row r="544" spans="1:3">
      <c r="A544" t="s">
        <v>836</v>
      </c>
      <c r="C544" t="s">
        <v>1785</v>
      </c>
    </row>
    <row r="545" spans="1:3">
      <c r="A545" t="s">
        <v>838</v>
      </c>
      <c r="C545" t="s">
        <v>1788</v>
      </c>
    </row>
    <row r="546" spans="1:3">
      <c r="A546" t="s">
        <v>839</v>
      </c>
      <c r="C546" t="s">
        <v>1791</v>
      </c>
    </row>
    <row r="547" spans="1:3">
      <c r="A547" t="s">
        <v>845</v>
      </c>
      <c r="C547" t="s">
        <v>1798</v>
      </c>
    </row>
    <row r="548" spans="1:3">
      <c r="A548" t="s">
        <v>846</v>
      </c>
      <c r="C548" t="s">
        <v>1799</v>
      </c>
    </row>
    <row r="549" spans="1:3">
      <c r="A549" t="s">
        <v>849</v>
      </c>
      <c r="C549" t="s">
        <v>1804</v>
      </c>
    </row>
    <row r="550" spans="1:3">
      <c r="A550" t="s">
        <v>1928</v>
      </c>
      <c r="C550" t="s">
        <v>1929</v>
      </c>
    </row>
    <row r="551" spans="1:3">
      <c r="A551" t="s">
        <v>2031</v>
      </c>
      <c r="C551" t="s">
        <v>2032</v>
      </c>
    </row>
    <row r="552" spans="1:3">
      <c r="A552" t="s">
        <v>850</v>
      </c>
      <c r="C552" t="s">
        <v>1806</v>
      </c>
    </row>
    <row r="553" spans="1:3">
      <c r="A553" t="s">
        <v>852</v>
      </c>
      <c r="C553" t="s">
        <v>1810</v>
      </c>
    </row>
    <row r="554" spans="1:3">
      <c r="A554" t="s">
        <v>504</v>
      </c>
      <c r="C554" t="s">
        <v>1812</v>
      </c>
    </row>
    <row r="555" spans="1:3">
      <c r="A555" t="s">
        <v>853</v>
      </c>
      <c r="C555" t="s">
        <v>1813</v>
      </c>
    </row>
    <row r="556" spans="1:3">
      <c r="A556" t="s">
        <v>2033</v>
      </c>
      <c r="C556" t="s">
        <v>2034</v>
      </c>
    </row>
    <row r="557" spans="1:3">
      <c r="A557" t="s">
        <v>512</v>
      </c>
      <c r="C557" t="s">
        <v>1815</v>
      </c>
    </row>
    <row r="558" spans="1:3">
      <c r="A558" t="s">
        <v>855</v>
      </c>
      <c r="C558" t="s">
        <v>1817</v>
      </c>
    </row>
    <row r="559" spans="1:3">
      <c r="A559" t="s">
        <v>505</v>
      </c>
      <c r="C559" t="s">
        <v>1807</v>
      </c>
    </row>
    <row r="560" spans="1:3">
      <c r="A560" t="s">
        <v>1370</v>
      </c>
      <c r="C560" t="s">
        <v>1824</v>
      </c>
    </row>
    <row r="561" spans="1:3">
      <c r="A561" t="s">
        <v>857</v>
      </c>
      <c r="C561" t="s">
        <v>1825</v>
      </c>
    </row>
    <row r="562" spans="1:3">
      <c r="A562" t="s">
        <v>858</v>
      </c>
      <c r="C562" t="s">
        <v>1826</v>
      </c>
    </row>
    <row r="563" spans="1:3">
      <c r="A563" t="s">
        <v>859</v>
      </c>
      <c r="C563" t="s">
        <v>1829</v>
      </c>
    </row>
    <row r="564" spans="1:3">
      <c r="A564" t="s">
        <v>860</v>
      </c>
      <c r="C564" t="s">
        <v>1830</v>
      </c>
    </row>
    <row r="565" spans="1:3">
      <c r="A565" t="s">
        <v>2121</v>
      </c>
      <c r="C565" t="s">
        <v>2122</v>
      </c>
    </row>
    <row r="566" spans="1:3">
      <c r="A566" t="s">
        <v>862</v>
      </c>
      <c r="C566" t="s">
        <v>1832</v>
      </c>
    </row>
    <row r="567" spans="1:3">
      <c r="A567" t="s">
        <v>506</v>
      </c>
      <c r="C567" t="s">
        <v>1836</v>
      </c>
    </row>
    <row r="568" spans="1:3">
      <c r="A568" t="s">
        <v>2037</v>
      </c>
      <c r="C568" t="s">
        <v>2038</v>
      </c>
    </row>
    <row r="569" spans="1:3">
      <c r="A569" t="s">
        <v>867</v>
      </c>
      <c r="C569" t="s">
        <v>1840</v>
      </c>
    </row>
    <row r="570" spans="1:3">
      <c r="A570" t="s">
        <v>869</v>
      </c>
      <c r="C570" t="s">
        <v>1841</v>
      </c>
    </row>
    <row r="571" spans="1:3">
      <c r="A571" t="s">
        <v>870</v>
      </c>
      <c r="C571" t="s">
        <v>1842</v>
      </c>
    </row>
    <row r="572" spans="1:3">
      <c r="A572" t="s">
        <v>1371</v>
      </c>
      <c r="C572" t="s">
        <v>1846</v>
      </c>
    </row>
    <row r="573" spans="1:3">
      <c r="A573" t="s">
        <v>873</v>
      </c>
      <c r="C573" t="s">
        <v>1849</v>
      </c>
    </row>
    <row r="574" spans="1:3">
      <c r="A574" t="s">
        <v>874</v>
      </c>
      <c r="C574" t="s">
        <v>1850</v>
      </c>
    </row>
    <row r="575" spans="1:3">
      <c r="A575" t="s">
        <v>1397</v>
      </c>
      <c r="C575" t="s">
        <v>1844</v>
      </c>
    </row>
    <row r="576" spans="1:3">
      <c r="A576" t="s">
        <v>875</v>
      </c>
      <c r="C576" t="s">
        <v>1851</v>
      </c>
    </row>
    <row r="577" spans="1:3">
      <c r="A577" t="s">
        <v>877</v>
      </c>
      <c r="C577" t="s">
        <v>1852</v>
      </c>
    </row>
    <row r="578" spans="1:3">
      <c r="A578" t="s">
        <v>878</v>
      </c>
      <c r="C578" t="s">
        <v>1853</v>
      </c>
    </row>
    <row r="579" spans="1:3">
      <c r="A579" t="s">
        <v>879</v>
      </c>
      <c r="C579" t="s">
        <v>1854</v>
      </c>
    </row>
    <row r="580" spans="1:3">
      <c r="A580" t="s">
        <v>880</v>
      </c>
      <c r="C580" t="s">
        <v>1855</v>
      </c>
    </row>
    <row r="581" spans="1:3">
      <c r="A581" t="s">
        <v>2177</v>
      </c>
      <c r="C581" t="s">
        <v>2178</v>
      </c>
    </row>
    <row r="582" spans="1:3">
      <c r="A582" t="s">
        <v>2179</v>
      </c>
      <c r="C582" t="s">
        <v>2180</v>
      </c>
    </row>
    <row r="583" spans="1:3">
      <c r="A583" t="s">
        <v>884</v>
      </c>
      <c r="C583" t="s">
        <v>1861</v>
      </c>
    </row>
    <row r="584" spans="1:3">
      <c r="A584" t="s">
        <v>885</v>
      </c>
      <c r="C584" t="s">
        <v>1862</v>
      </c>
    </row>
    <row r="585" spans="1:3">
      <c r="A585" t="s">
        <v>886</v>
      </c>
      <c r="C585" t="s">
        <v>1863</v>
      </c>
    </row>
    <row r="586" spans="1:3">
      <c r="A586" t="s">
        <v>887</v>
      </c>
      <c r="C586" t="s">
        <v>1864</v>
      </c>
    </row>
    <row r="587" spans="1:3">
      <c r="A587" t="s">
        <v>1268</v>
      </c>
      <c r="C587" t="s">
        <v>1865</v>
      </c>
    </row>
    <row r="588" spans="1:3">
      <c r="A588" t="s">
        <v>888</v>
      </c>
      <c r="C588" t="s">
        <v>1866</v>
      </c>
    </row>
    <row r="589" spans="1:3">
      <c r="A589" t="s">
        <v>889</v>
      </c>
      <c r="C589" t="s">
        <v>1867</v>
      </c>
    </row>
    <row r="590" spans="1:3">
      <c r="A590" t="s">
        <v>890</v>
      </c>
      <c r="C590" t="s">
        <v>1868</v>
      </c>
    </row>
    <row r="591" spans="1:3">
      <c r="A591" t="s">
        <v>2045</v>
      </c>
      <c r="C591" t="s">
        <v>2046</v>
      </c>
    </row>
    <row r="592" spans="1:3">
      <c r="A592" t="s">
        <v>1630</v>
      </c>
      <c r="C592" t="s">
        <v>1869</v>
      </c>
    </row>
    <row r="593" spans="1:3">
      <c r="A593" t="s">
        <v>2123</v>
      </c>
      <c r="C593" t="s">
        <v>2124</v>
      </c>
    </row>
    <row r="594" spans="1:3">
      <c r="A594" t="s">
        <v>891</v>
      </c>
      <c r="C594" t="s">
        <v>1870</v>
      </c>
    </row>
    <row r="595" spans="1:3">
      <c r="A595" t="s">
        <v>2047</v>
      </c>
      <c r="C595" t="s">
        <v>2048</v>
      </c>
    </row>
    <row r="596" spans="1:3">
      <c r="A596" t="s">
        <v>893</v>
      </c>
      <c r="C596" t="s">
        <v>1872</v>
      </c>
    </row>
    <row r="597" spans="1:3">
      <c r="A597" t="s">
        <v>894</v>
      </c>
      <c r="C597" t="s">
        <v>1873</v>
      </c>
    </row>
    <row r="598" spans="1:3">
      <c r="A598" t="s">
        <v>2183</v>
      </c>
      <c r="B598" t="s">
        <v>2184</v>
      </c>
      <c r="C598" t="s">
        <v>2185</v>
      </c>
    </row>
    <row r="599" spans="1:3">
      <c r="A599" t="s">
        <v>900</v>
      </c>
      <c r="C599" t="s">
        <v>1881</v>
      </c>
    </row>
    <row r="600" spans="1:3">
      <c r="A600" t="s">
        <v>507</v>
      </c>
      <c r="C600" t="s">
        <v>1894</v>
      </c>
    </row>
    <row r="601" spans="1:3">
      <c r="A601" t="s">
        <v>901</v>
      </c>
      <c r="C601" t="s">
        <v>1882</v>
      </c>
    </row>
    <row r="602" spans="1:3">
      <c r="A602" t="s">
        <v>902</v>
      </c>
      <c r="C602" t="s">
        <v>1883</v>
      </c>
    </row>
    <row r="603" spans="1:3">
      <c r="A603" t="s">
        <v>508</v>
      </c>
      <c r="C603" t="s">
        <v>1895</v>
      </c>
    </row>
    <row r="604" spans="1:3">
      <c r="A604" t="s">
        <v>2053</v>
      </c>
      <c r="C604" t="s">
        <v>2054</v>
      </c>
    </row>
    <row r="605" spans="1:3">
      <c r="A605" t="s">
        <v>488</v>
      </c>
      <c r="C605" t="s">
        <v>1651</v>
      </c>
    </row>
    <row r="606" spans="1:3">
      <c r="A606" t="s">
        <v>775</v>
      </c>
      <c r="C606" t="s">
        <v>1652</v>
      </c>
    </row>
    <row r="607" spans="1:3">
      <c r="A607" t="s">
        <v>777</v>
      </c>
      <c r="C607" t="s">
        <v>1655</v>
      </c>
    </row>
    <row r="608" spans="1:3">
      <c r="A608" t="s">
        <v>489</v>
      </c>
      <c r="C608" t="s">
        <v>1666</v>
      </c>
    </row>
    <row r="609" spans="1:3">
      <c r="A609" t="s">
        <v>490</v>
      </c>
      <c r="C609" t="s">
        <v>1679</v>
      </c>
    </row>
    <row r="610" spans="1:3">
      <c r="A610" t="s">
        <v>807</v>
      </c>
      <c r="C610" t="s">
        <v>1719</v>
      </c>
    </row>
    <row r="611" spans="1:3">
      <c r="A611" t="s">
        <v>492</v>
      </c>
      <c r="C611" t="s">
        <v>1743</v>
      </c>
    </row>
    <row r="612" spans="1:3">
      <c r="A612" t="s">
        <v>822</v>
      </c>
      <c r="C612" t="s">
        <v>1765</v>
      </c>
    </row>
    <row r="613" spans="1:3">
      <c r="A613" t="s">
        <v>823</v>
      </c>
      <c r="C613" t="s">
        <v>1766</v>
      </c>
    </row>
    <row r="614" spans="1:3">
      <c r="A614" t="s">
        <v>493</v>
      </c>
      <c r="C614" t="s">
        <v>1768</v>
      </c>
    </row>
    <row r="615" spans="1:3">
      <c r="A615" t="s">
        <v>494</v>
      </c>
      <c r="C615" t="s">
        <v>1789</v>
      </c>
    </row>
    <row r="616" spans="1:3">
      <c r="A616" t="s">
        <v>495</v>
      </c>
      <c r="C616" t="s">
        <v>1803</v>
      </c>
    </row>
    <row r="617" spans="1:3">
      <c r="A617" t="s">
        <v>370</v>
      </c>
      <c r="C617" t="s">
        <v>1814</v>
      </c>
    </row>
    <row r="618" spans="1:3">
      <c r="A618" t="s">
        <v>496</v>
      </c>
      <c r="C618" t="s">
        <v>1820</v>
      </c>
    </row>
    <row r="619" spans="1:3">
      <c r="A619" t="s">
        <v>861</v>
      </c>
      <c r="C619" t="s">
        <v>1831</v>
      </c>
    </row>
    <row r="620" spans="1:3">
      <c r="A620" t="s">
        <v>871</v>
      </c>
      <c r="C620" t="s">
        <v>1845</v>
      </c>
    </row>
    <row r="621" spans="1:3">
      <c r="A621" t="s">
        <v>872</v>
      </c>
      <c r="C621" t="s">
        <v>1847</v>
      </c>
    </row>
    <row r="622" spans="1:3">
      <c r="A622" t="s">
        <v>881</v>
      </c>
      <c r="C622" t="s">
        <v>1856</v>
      </c>
    </row>
    <row r="623" spans="1:3">
      <c r="A623" t="s">
        <v>895</v>
      </c>
      <c r="C623" t="s">
        <v>1874</v>
      </c>
    </row>
    <row r="624" spans="1:3">
      <c r="A624" t="s">
        <v>897</v>
      </c>
      <c r="C624" t="s">
        <v>1878</v>
      </c>
    </row>
    <row r="625" spans="1:3">
      <c r="A625" t="s">
        <v>2055</v>
      </c>
      <c r="C625" t="s">
        <v>2056</v>
      </c>
    </row>
  </sheetData>
  <phoneticPr fontId="6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6ED35-5E7D-45A0-8ACD-41746EF90FA0}">
  <dimension ref="A1:F85"/>
  <sheetViews>
    <sheetView workbookViewId="0">
      <selection activeCell="E3" sqref="E3"/>
    </sheetView>
  </sheetViews>
  <sheetFormatPr defaultRowHeight="14"/>
  <cols>
    <col min="1" max="1" width="12.75" bestFit="1" customWidth="1"/>
    <col min="2" max="2" width="38.58203125" bestFit="1" customWidth="1"/>
    <col min="3" max="3" width="10.58203125" bestFit="1" customWidth="1"/>
  </cols>
  <sheetData>
    <row r="1" spans="1:6">
      <c r="A1" t="s">
        <v>156</v>
      </c>
      <c r="B1" t="s">
        <v>124</v>
      </c>
    </row>
    <row r="2" spans="1:6">
      <c r="A2" t="s">
        <v>254</v>
      </c>
      <c r="B2" t="s">
        <v>1613</v>
      </c>
      <c r="E2" cm="1">
        <f t="array" ref="E2">_xlfn.UNIQUE(_xlfn._xlws.FILTER(B:B,A:A='Cover letter ECE_MPE'!E5))</f>
        <v>0</v>
      </c>
      <c r="F2" t="s">
        <v>1060</v>
      </c>
    </row>
    <row r="3" spans="1:6">
      <c r="A3" t="s">
        <v>254</v>
      </c>
      <c r="B3" t="s">
        <v>1614</v>
      </c>
    </row>
    <row r="4" spans="1:6">
      <c r="A4" t="s">
        <v>254</v>
      </c>
      <c r="B4" t="s">
        <v>1615</v>
      </c>
    </row>
    <row r="5" spans="1:6">
      <c r="A5" t="s">
        <v>254</v>
      </c>
      <c r="B5" t="s">
        <v>1616</v>
      </c>
    </row>
    <row r="6" spans="1:6">
      <c r="A6" t="s">
        <v>279</v>
      </c>
      <c r="B6" t="s">
        <v>283</v>
      </c>
    </row>
    <row r="7" spans="1:6">
      <c r="A7" t="s">
        <v>279</v>
      </c>
      <c r="B7" t="s">
        <v>284</v>
      </c>
    </row>
    <row r="8" spans="1:6">
      <c r="A8" t="s">
        <v>279</v>
      </c>
      <c r="B8" t="s">
        <v>282</v>
      </c>
    </row>
    <row r="9" spans="1:6">
      <c r="A9" t="s">
        <v>279</v>
      </c>
      <c r="B9" t="s">
        <v>281</v>
      </c>
    </row>
    <row r="10" spans="1:6">
      <c r="A10" t="s">
        <v>279</v>
      </c>
      <c r="B10" t="s">
        <v>2125</v>
      </c>
    </row>
    <row r="11" spans="1:6">
      <c r="A11" t="s">
        <v>279</v>
      </c>
      <c r="B11" t="s">
        <v>280</v>
      </c>
    </row>
    <row r="12" spans="1:6">
      <c r="A12" t="s">
        <v>21</v>
      </c>
      <c r="B12" t="s">
        <v>962</v>
      </c>
    </row>
    <row r="13" spans="1:6">
      <c r="A13" t="s">
        <v>21</v>
      </c>
      <c r="B13" t="s">
        <v>2080</v>
      </c>
    </row>
    <row r="14" spans="1:6">
      <c r="A14" t="s">
        <v>21</v>
      </c>
      <c r="B14" t="s">
        <v>964</v>
      </c>
    </row>
    <row r="15" spans="1:6">
      <c r="A15" t="s">
        <v>21</v>
      </c>
      <c r="B15" t="s">
        <v>2081</v>
      </c>
    </row>
    <row r="16" spans="1:6">
      <c r="A16" t="s">
        <v>21</v>
      </c>
      <c r="B16" t="s">
        <v>2082</v>
      </c>
    </row>
    <row r="17" spans="1:2">
      <c r="A17" t="s">
        <v>21</v>
      </c>
      <c r="B17" t="s">
        <v>2126</v>
      </c>
    </row>
    <row r="18" spans="1:2">
      <c r="A18" t="s">
        <v>21</v>
      </c>
      <c r="B18" t="s">
        <v>2083</v>
      </c>
    </row>
    <row r="19" spans="1:2">
      <c r="A19" t="s">
        <v>21</v>
      </c>
      <c r="B19" t="s">
        <v>963</v>
      </c>
    </row>
    <row r="20" spans="1:2">
      <c r="A20" t="s">
        <v>21</v>
      </c>
      <c r="B20" t="s">
        <v>2084</v>
      </c>
    </row>
    <row r="21" spans="1:2">
      <c r="A21" t="s">
        <v>276</v>
      </c>
    </row>
    <row r="22" spans="1:2">
      <c r="A22" t="s">
        <v>248</v>
      </c>
    </row>
    <row r="23" spans="1:2">
      <c r="A23" t="s">
        <v>289</v>
      </c>
    </row>
    <row r="24" spans="1:2">
      <c r="A24" t="s">
        <v>253</v>
      </c>
    </row>
    <row r="25" spans="1:2">
      <c r="A25" t="s">
        <v>278</v>
      </c>
    </row>
    <row r="26" spans="1:2">
      <c r="A26" t="s">
        <v>277</v>
      </c>
    </row>
    <row r="27" spans="1:2">
      <c r="A27" t="s">
        <v>3</v>
      </c>
      <c r="B27" t="s">
        <v>965</v>
      </c>
    </row>
    <row r="28" spans="1:2">
      <c r="A28" t="s">
        <v>3</v>
      </c>
      <c r="B28" t="s">
        <v>234</v>
      </c>
    </row>
    <row r="29" spans="1:2">
      <c r="A29" t="s">
        <v>3</v>
      </c>
      <c r="B29" t="s">
        <v>235</v>
      </c>
    </row>
    <row r="30" spans="1:2">
      <c r="A30" t="s">
        <v>3</v>
      </c>
      <c r="B30" t="s">
        <v>236</v>
      </c>
    </row>
    <row r="31" spans="1:2">
      <c r="A31" t="s">
        <v>3</v>
      </c>
      <c r="B31" t="s">
        <v>237</v>
      </c>
    </row>
    <row r="32" spans="1:2">
      <c r="A32" t="s">
        <v>3</v>
      </c>
      <c r="B32" t="s">
        <v>238</v>
      </c>
    </row>
    <row r="33" spans="1:2">
      <c r="A33" t="s">
        <v>3</v>
      </c>
      <c r="B33" t="s">
        <v>239</v>
      </c>
    </row>
    <row r="34" spans="1:2">
      <c r="A34" t="s">
        <v>3</v>
      </c>
      <c r="B34" t="s">
        <v>966</v>
      </c>
    </row>
    <row r="35" spans="1:2">
      <c r="A35" t="s">
        <v>3</v>
      </c>
      <c r="B35" t="s">
        <v>241</v>
      </c>
    </row>
    <row r="36" spans="1:2">
      <c r="A36" t="s">
        <v>3</v>
      </c>
      <c r="B36" t="s">
        <v>240</v>
      </c>
    </row>
    <row r="37" spans="1:2">
      <c r="A37" t="s">
        <v>116</v>
      </c>
      <c r="B37" t="s">
        <v>272</v>
      </c>
    </row>
    <row r="38" spans="1:2">
      <c r="A38" t="s">
        <v>116</v>
      </c>
      <c r="B38" t="s">
        <v>1270</v>
      </c>
    </row>
    <row r="39" spans="1:2">
      <c r="A39" t="s">
        <v>116</v>
      </c>
      <c r="B39" t="s">
        <v>273</v>
      </c>
    </row>
    <row r="40" spans="1:2">
      <c r="A40" t="s">
        <v>116</v>
      </c>
      <c r="B40" t="s">
        <v>274</v>
      </c>
    </row>
    <row r="41" spans="1:2">
      <c r="A41" t="s">
        <v>116</v>
      </c>
      <c r="B41" t="s">
        <v>275</v>
      </c>
    </row>
    <row r="42" spans="1:2">
      <c r="A42" t="s">
        <v>100</v>
      </c>
      <c r="B42" t="s">
        <v>247</v>
      </c>
    </row>
    <row r="43" spans="1:2">
      <c r="A43" t="s">
        <v>100</v>
      </c>
      <c r="B43" t="s">
        <v>246</v>
      </c>
    </row>
    <row r="44" spans="1:2">
      <c r="A44" t="s">
        <v>100</v>
      </c>
      <c r="B44" t="s">
        <v>244</v>
      </c>
    </row>
    <row r="45" spans="1:2">
      <c r="A45" t="s">
        <v>100</v>
      </c>
      <c r="B45" t="s">
        <v>242</v>
      </c>
    </row>
    <row r="46" spans="1:2">
      <c r="A46" t="s">
        <v>100</v>
      </c>
      <c r="B46" t="s">
        <v>245</v>
      </c>
    </row>
    <row r="47" spans="1:2">
      <c r="A47" t="s">
        <v>100</v>
      </c>
      <c r="B47" t="s">
        <v>243</v>
      </c>
    </row>
    <row r="48" spans="1:2">
      <c r="A48" t="s">
        <v>4</v>
      </c>
    </row>
    <row r="49" spans="1:2">
      <c r="A49" t="s">
        <v>115</v>
      </c>
      <c r="B49" t="s">
        <v>271</v>
      </c>
    </row>
    <row r="50" spans="1:2">
      <c r="A50" t="s">
        <v>115</v>
      </c>
      <c r="B50" t="s">
        <v>269</v>
      </c>
    </row>
    <row r="51" spans="1:2">
      <c r="A51" t="s">
        <v>115</v>
      </c>
      <c r="B51" t="s">
        <v>263</v>
      </c>
    </row>
    <row r="52" spans="1:2">
      <c r="A52" t="s">
        <v>115</v>
      </c>
      <c r="B52" t="s">
        <v>264</v>
      </c>
    </row>
    <row r="53" spans="1:2">
      <c r="A53" t="s">
        <v>115</v>
      </c>
      <c r="B53" t="s">
        <v>265</v>
      </c>
    </row>
    <row r="54" spans="1:2">
      <c r="A54" t="s">
        <v>115</v>
      </c>
      <c r="B54" t="s">
        <v>270</v>
      </c>
    </row>
    <row r="55" spans="1:2">
      <c r="A55" t="s">
        <v>115</v>
      </c>
      <c r="B55" t="s">
        <v>268</v>
      </c>
    </row>
    <row r="56" spans="1:2">
      <c r="A56" t="s">
        <v>115</v>
      </c>
      <c r="B56" t="s">
        <v>261</v>
      </c>
    </row>
    <row r="57" spans="1:2">
      <c r="A57" t="s">
        <v>115</v>
      </c>
      <c r="B57" t="s">
        <v>266</v>
      </c>
    </row>
    <row r="58" spans="1:2">
      <c r="A58" t="s">
        <v>115</v>
      </c>
      <c r="B58" t="s">
        <v>262</v>
      </c>
    </row>
    <row r="59" spans="1:2">
      <c r="A59" t="s">
        <v>115</v>
      </c>
      <c r="B59" t="s">
        <v>267</v>
      </c>
    </row>
    <row r="60" spans="1:2">
      <c r="A60" t="s">
        <v>117</v>
      </c>
    </row>
    <row r="61" spans="1:2">
      <c r="A61" t="s">
        <v>5</v>
      </c>
    </row>
    <row r="62" spans="1:2">
      <c r="A62" t="s">
        <v>6</v>
      </c>
    </row>
    <row r="63" spans="1:2">
      <c r="A63" t="s">
        <v>92</v>
      </c>
      <c r="B63" t="s">
        <v>2068</v>
      </c>
    </row>
    <row r="64" spans="1:2">
      <c r="A64" t="s">
        <v>92</v>
      </c>
      <c r="B64" t="s">
        <v>2069</v>
      </c>
    </row>
    <row r="65" spans="1:2">
      <c r="A65" t="s">
        <v>92</v>
      </c>
      <c r="B65" t="s">
        <v>2070</v>
      </c>
    </row>
    <row r="66" spans="1:2">
      <c r="A66" t="s">
        <v>92</v>
      </c>
      <c r="B66" t="s">
        <v>2071</v>
      </c>
    </row>
    <row r="67" spans="1:2">
      <c r="A67" t="s">
        <v>92</v>
      </c>
      <c r="B67" t="s">
        <v>2072</v>
      </c>
    </row>
    <row r="68" spans="1:2">
      <c r="A68" t="s">
        <v>92</v>
      </c>
      <c r="B68" t="s">
        <v>2073</v>
      </c>
    </row>
    <row r="69" spans="1:2">
      <c r="A69" t="s">
        <v>92</v>
      </c>
      <c r="B69" t="s">
        <v>2127</v>
      </c>
    </row>
    <row r="70" spans="1:2">
      <c r="A70" t="s">
        <v>92</v>
      </c>
      <c r="B70" t="s">
        <v>2074</v>
      </c>
    </row>
    <row r="71" spans="1:2">
      <c r="A71" t="s">
        <v>94</v>
      </c>
      <c r="B71" t="s">
        <v>258</v>
      </c>
    </row>
    <row r="72" spans="1:2">
      <c r="A72" t="s">
        <v>94</v>
      </c>
      <c r="B72" t="s">
        <v>260</v>
      </c>
    </row>
    <row r="73" spans="1:2">
      <c r="A73" t="s">
        <v>94</v>
      </c>
      <c r="B73" t="s">
        <v>256</v>
      </c>
    </row>
    <row r="74" spans="1:2">
      <c r="A74" t="s">
        <v>94</v>
      </c>
      <c r="B74" t="s">
        <v>259</v>
      </c>
    </row>
    <row r="75" spans="1:2">
      <c r="A75" t="s">
        <v>94</v>
      </c>
      <c r="B75" t="s">
        <v>257</v>
      </c>
    </row>
    <row r="76" spans="1:2">
      <c r="A76" t="s">
        <v>94</v>
      </c>
      <c r="B76" t="s">
        <v>255</v>
      </c>
    </row>
    <row r="77" spans="1:2">
      <c r="A77" t="s">
        <v>93</v>
      </c>
      <c r="B77" t="s">
        <v>249</v>
      </c>
    </row>
    <row r="78" spans="1:2">
      <c r="A78" t="s">
        <v>93</v>
      </c>
      <c r="B78" t="s">
        <v>250</v>
      </c>
    </row>
    <row r="79" spans="1:2">
      <c r="A79" t="s">
        <v>93</v>
      </c>
      <c r="B79" t="s">
        <v>251</v>
      </c>
    </row>
    <row r="80" spans="1:2">
      <c r="A80" t="s">
        <v>93</v>
      </c>
      <c r="B80" t="s">
        <v>252</v>
      </c>
    </row>
    <row r="81" spans="1:2">
      <c r="A81" t="s">
        <v>95</v>
      </c>
      <c r="B81" t="s">
        <v>285</v>
      </c>
    </row>
    <row r="82" spans="1:2">
      <c r="A82" t="s">
        <v>95</v>
      </c>
      <c r="B82" t="s">
        <v>287</v>
      </c>
    </row>
    <row r="83" spans="1:2">
      <c r="A83" t="s">
        <v>95</v>
      </c>
      <c r="B83" t="s">
        <v>2075</v>
      </c>
    </row>
    <row r="84" spans="1:2">
      <c r="A84" t="s">
        <v>95</v>
      </c>
      <c r="B84" t="s">
        <v>288</v>
      </c>
    </row>
    <row r="85" spans="1:2">
      <c r="A85" t="s">
        <v>95</v>
      </c>
      <c r="B85" t="s">
        <v>286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5E236-C118-4685-856C-74ED67692AF7}">
  <dimension ref="A1:F85"/>
  <sheetViews>
    <sheetView workbookViewId="0">
      <selection activeCell="F31" sqref="F31"/>
    </sheetView>
  </sheetViews>
  <sheetFormatPr defaultRowHeight="14"/>
  <cols>
    <col min="1" max="1" width="12.75" bestFit="1" customWidth="1"/>
    <col min="2" max="2" width="38.58203125" bestFit="1" customWidth="1"/>
    <col min="3" max="3" width="10.58203125" bestFit="1" customWidth="1"/>
  </cols>
  <sheetData>
    <row r="1" spans="1:6">
      <c r="A1" t="s">
        <v>156</v>
      </c>
      <c r="B1" t="s">
        <v>124</v>
      </c>
    </row>
    <row r="2" spans="1:6">
      <c r="A2" t="s">
        <v>254</v>
      </c>
      <c r="B2" t="s">
        <v>1613</v>
      </c>
      <c r="E2" cm="1">
        <f t="array" ref="E2">_xlfn.UNIQUE(_xlfn._xlws.FILTER(B:B,A:A='Cover letter'!E5))</f>
        <v>0</v>
      </c>
      <c r="F2" t="s">
        <v>1060</v>
      </c>
    </row>
    <row r="3" spans="1:6">
      <c r="A3" t="s">
        <v>254</v>
      </c>
      <c r="B3" t="s">
        <v>1614</v>
      </c>
    </row>
    <row r="4" spans="1:6">
      <c r="A4" t="s">
        <v>254</v>
      </c>
      <c r="B4" t="s">
        <v>1615</v>
      </c>
    </row>
    <row r="5" spans="1:6">
      <c r="A5" t="s">
        <v>254</v>
      </c>
      <c r="B5" t="s">
        <v>1616</v>
      </c>
    </row>
    <row r="6" spans="1:6">
      <c r="A6" t="s">
        <v>279</v>
      </c>
      <c r="B6" t="s">
        <v>283</v>
      </c>
    </row>
    <row r="7" spans="1:6">
      <c r="A7" t="s">
        <v>279</v>
      </c>
      <c r="B7" t="s">
        <v>284</v>
      </c>
    </row>
    <row r="8" spans="1:6">
      <c r="A8" t="s">
        <v>279</v>
      </c>
      <c r="B8" t="s">
        <v>282</v>
      </c>
    </row>
    <row r="9" spans="1:6">
      <c r="A9" t="s">
        <v>279</v>
      </c>
      <c r="B9" t="s">
        <v>281</v>
      </c>
    </row>
    <row r="10" spans="1:6">
      <c r="A10" t="s">
        <v>279</v>
      </c>
      <c r="B10" t="s">
        <v>2125</v>
      </c>
    </row>
    <row r="11" spans="1:6">
      <c r="A11" t="s">
        <v>279</v>
      </c>
      <c r="B11" t="s">
        <v>280</v>
      </c>
    </row>
    <row r="12" spans="1:6">
      <c r="A12" t="s">
        <v>21</v>
      </c>
      <c r="B12" t="s">
        <v>962</v>
      </c>
    </row>
    <row r="13" spans="1:6">
      <c r="A13" t="s">
        <v>21</v>
      </c>
      <c r="B13" t="s">
        <v>2080</v>
      </c>
    </row>
    <row r="14" spans="1:6">
      <c r="A14" t="s">
        <v>21</v>
      </c>
      <c r="B14" t="s">
        <v>964</v>
      </c>
    </row>
    <row r="15" spans="1:6">
      <c r="A15" t="s">
        <v>21</v>
      </c>
      <c r="B15" t="s">
        <v>2081</v>
      </c>
    </row>
    <row r="16" spans="1:6">
      <c r="A16" t="s">
        <v>21</v>
      </c>
      <c r="B16" t="s">
        <v>2082</v>
      </c>
    </row>
    <row r="17" spans="1:2">
      <c r="A17" t="s">
        <v>21</v>
      </c>
      <c r="B17" t="s">
        <v>2126</v>
      </c>
    </row>
    <row r="18" spans="1:2">
      <c r="A18" t="s">
        <v>21</v>
      </c>
      <c r="B18" t="s">
        <v>2083</v>
      </c>
    </row>
    <row r="19" spans="1:2">
      <c r="A19" t="s">
        <v>21</v>
      </c>
      <c r="B19" t="s">
        <v>963</v>
      </c>
    </row>
    <row r="20" spans="1:2">
      <c r="A20" t="s">
        <v>21</v>
      </c>
      <c r="B20" t="s">
        <v>2084</v>
      </c>
    </row>
    <row r="21" spans="1:2">
      <c r="A21" t="s">
        <v>276</v>
      </c>
    </row>
    <row r="22" spans="1:2">
      <c r="A22" t="s">
        <v>248</v>
      </c>
    </row>
    <row r="23" spans="1:2">
      <c r="A23" t="s">
        <v>289</v>
      </c>
    </row>
    <row r="24" spans="1:2">
      <c r="A24" t="s">
        <v>253</v>
      </c>
    </row>
    <row r="25" spans="1:2">
      <c r="A25" t="s">
        <v>278</v>
      </c>
    </row>
    <row r="26" spans="1:2">
      <c r="A26" t="s">
        <v>277</v>
      </c>
    </row>
    <row r="27" spans="1:2">
      <c r="A27" t="s">
        <v>3</v>
      </c>
      <c r="B27" t="s">
        <v>965</v>
      </c>
    </row>
    <row r="28" spans="1:2">
      <c r="A28" t="s">
        <v>3</v>
      </c>
      <c r="B28" t="s">
        <v>234</v>
      </c>
    </row>
    <row r="29" spans="1:2">
      <c r="A29" t="s">
        <v>3</v>
      </c>
      <c r="B29" t="s">
        <v>235</v>
      </c>
    </row>
    <row r="30" spans="1:2">
      <c r="A30" t="s">
        <v>3</v>
      </c>
      <c r="B30" t="s">
        <v>236</v>
      </c>
    </row>
    <row r="31" spans="1:2">
      <c r="A31" t="s">
        <v>3</v>
      </c>
      <c r="B31" t="s">
        <v>237</v>
      </c>
    </row>
    <row r="32" spans="1:2">
      <c r="A32" t="s">
        <v>3</v>
      </c>
      <c r="B32" t="s">
        <v>238</v>
      </c>
    </row>
    <row r="33" spans="1:2">
      <c r="A33" t="s">
        <v>3</v>
      </c>
      <c r="B33" t="s">
        <v>239</v>
      </c>
    </row>
    <row r="34" spans="1:2">
      <c r="A34" t="s">
        <v>3</v>
      </c>
      <c r="B34" t="s">
        <v>966</v>
      </c>
    </row>
    <row r="35" spans="1:2">
      <c r="A35" t="s">
        <v>3</v>
      </c>
      <c r="B35" t="s">
        <v>241</v>
      </c>
    </row>
    <row r="36" spans="1:2">
      <c r="A36" t="s">
        <v>3</v>
      </c>
      <c r="B36" t="s">
        <v>240</v>
      </c>
    </row>
    <row r="37" spans="1:2">
      <c r="A37" t="s">
        <v>116</v>
      </c>
      <c r="B37" t="s">
        <v>272</v>
      </c>
    </row>
    <row r="38" spans="1:2">
      <c r="A38" t="s">
        <v>116</v>
      </c>
      <c r="B38" t="s">
        <v>1270</v>
      </c>
    </row>
    <row r="39" spans="1:2">
      <c r="A39" t="s">
        <v>116</v>
      </c>
      <c r="B39" t="s">
        <v>273</v>
      </c>
    </row>
    <row r="40" spans="1:2">
      <c r="A40" t="s">
        <v>116</v>
      </c>
      <c r="B40" t="s">
        <v>274</v>
      </c>
    </row>
    <row r="41" spans="1:2">
      <c r="A41" t="s">
        <v>116</v>
      </c>
      <c r="B41" t="s">
        <v>275</v>
      </c>
    </row>
    <row r="42" spans="1:2">
      <c r="A42" t="s">
        <v>100</v>
      </c>
      <c r="B42" t="s">
        <v>247</v>
      </c>
    </row>
    <row r="43" spans="1:2">
      <c r="A43" t="s">
        <v>100</v>
      </c>
      <c r="B43" t="s">
        <v>246</v>
      </c>
    </row>
    <row r="44" spans="1:2">
      <c r="A44" t="s">
        <v>100</v>
      </c>
      <c r="B44" t="s">
        <v>244</v>
      </c>
    </row>
    <row r="45" spans="1:2">
      <c r="A45" t="s">
        <v>100</v>
      </c>
      <c r="B45" t="s">
        <v>242</v>
      </c>
    </row>
    <row r="46" spans="1:2">
      <c r="A46" t="s">
        <v>100</v>
      </c>
      <c r="B46" t="s">
        <v>245</v>
      </c>
    </row>
    <row r="47" spans="1:2">
      <c r="A47" t="s">
        <v>100</v>
      </c>
      <c r="B47" t="s">
        <v>243</v>
      </c>
    </row>
    <row r="48" spans="1:2">
      <c r="A48" t="s">
        <v>4</v>
      </c>
    </row>
    <row r="49" spans="1:2">
      <c r="A49" t="s">
        <v>115</v>
      </c>
      <c r="B49" t="s">
        <v>271</v>
      </c>
    </row>
    <row r="50" spans="1:2">
      <c r="A50" t="s">
        <v>115</v>
      </c>
      <c r="B50" t="s">
        <v>269</v>
      </c>
    </row>
    <row r="51" spans="1:2">
      <c r="A51" t="s">
        <v>115</v>
      </c>
      <c r="B51" t="s">
        <v>263</v>
      </c>
    </row>
    <row r="52" spans="1:2">
      <c r="A52" t="s">
        <v>115</v>
      </c>
      <c r="B52" t="s">
        <v>264</v>
      </c>
    </row>
    <row r="53" spans="1:2">
      <c r="A53" t="s">
        <v>115</v>
      </c>
      <c r="B53" t="s">
        <v>265</v>
      </c>
    </row>
    <row r="54" spans="1:2">
      <c r="A54" t="s">
        <v>115</v>
      </c>
      <c r="B54" t="s">
        <v>270</v>
      </c>
    </row>
    <row r="55" spans="1:2">
      <c r="A55" t="s">
        <v>115</v>
      </c>
      <c r="B55" t="s">
        <v>268</v>
      </c>
    </row>
    <row r="56" spans="1:2">
      <c r="A56" t="s">
        <v>115</v>
      </c>
      <c r="B56" t="s">
        <v>261</v>
      </c>
    </row>
    <row r="57" spans="1:2">
      <c r="A57" t="s">
        <v>115</v>
      </c>
      <c r="B57" t="s">
        <v>266</v>
      </c>
    </row>
    <row r="58" spans="1:2">
      <c r="A58" t="s">
        <v>115</v>
      </c>
      <c r="B58" t="s">
        <v>262</v>
      </c>
    </row>
    <row r="59" spans="1:2">
      <c r="A59" t="s">
        <v>115</v>
      </c>
      <c r="B59" t="s">
        <v>267</v>
      </c>
    </row>
    <row r="60" spans="1:2">
      <c r="A60" t="s">
        <v>117</v>
      </c>
    </row>
    <row r="61" spans="1:2">
      <c r="A61" t="s">
        <v>5</v>
      </c>
    </row>
    <row r="62" spans="1:2">
      <c r="A62" t="s">
        <v>6</v>
      </c>
    </row>
    <row r="63" spans="1:2">
      <c r="A63" t="s">
        <v>92</v>
      </c>
      <c r="B63" t="s">
        <v>2068</v>
      </c>
    </row>
    <row r="64" spans="1:2">
      <c r="A64" t="s">
        <v>92</v>
      </c>
      <c r="B64" t="s">
        <v>2069</v>
      </c>
    </row>
    <row r="65" spans="1:2">
      <c r="A65" t="s">
        <v>92</v>
      </c>
      <c r="B65" t="s">
        <v>2070</v>
      </c>
    </row>
    <row r="66" spans="1:2">
      <c r="A66" t="s">
        <v>92</v>
      </c>
      <c r="B66" t="s">
        <v>2071</v>
      </c>
    </row>
    <row r="67" spans="1:2">
      <c r="A67" t="s">
        <v>92</v>
      </c>
      <c r="B67" t="s">
        <v>2072</v>
      </c>
    </row>
    <row r="68" spans="1:2">
      <c r="A68" t="s">
        <v>92</v>
      </c>
      <c r="B68" t="s">
        <v>2073</v>
      </c>
    </row>
    <row r="69" spans="1:2">
      <c r="A69" t="s">
        <v>92</v>
      </c>
      <c r="B69" t="s">
        <v>2127</v>
      </c>
    </row>
    <row r="70" spans="1:2">
      <c r="A70" t="s">
        <v>92</v>
      </c>
      <c r="B70" t="s">
        <v>2074</v>
      </c>
    </row>
    <row r="71" spans="1:2">
      <c r="A71" t="s">
        <v>94</v>
      </c>
      <c r="B71" t="s">
        <v>258</v>
      </c>
    </row>
    <row r="72" spans="1:2">
      <c r="A72" t="s">
        <v>94</v>
      </c>
      <c r="B72" t="s">
        <v>260</v>
      </c>
    </row>
    <row r="73" spans="1:2">
      <c r="A73" t="s">
        <v>94</v>
      </c>
      <c r="B73" t="s">
        <v>256</v>
      </c>
    </row>
    <row r="74" spans="1:2">
      <c r="A74" t="s">
        <v>94</v>
      </c>
      <c r="B74" t="s">
        <v>259</v>
      </c>
    </row>
    <row r="75" spans="1:2">
      <c r="A75" t="s">
        <v>94</v>
      </c>
      <c r="B75" t="s">
        <v>257</v>
      </c>
    </row>
    <row r="76" spans="1:2">
      <c r="A76" t="s">
        <v>94</v>
      </c>
      <c r="B76" t="s">
        <v>255</v>
      </c>
    </row>
    <row r="77" spans="1:2">
      <c r="A77" t="s">
        <v>93</v>
      </c>
      <c r="B77" t="s">
        <v>249</v>
      </c>
    </row>
    <row r="78" spans="1:2">
      <c r="A78" t="s">
        <v>93</v>
      </c>
      <c r="B78" t="s">
        <v>250</v>
      </c>
    </row>
    <row r="79" spans="1:2">
      <c r="A79" t="s">
        <v>93</v>
      </c>
      <c r="B79" t="s">
        <v>251</v>
      </c>
    </row>
    <row r="80" spans="1:2">
      <c r="A80" t="s">
        <v>93</v>
      </c>
      <c r="B80" t="s">
        <v>252</v>
      </c>
    </row>
    <row r="81" spans="1:2">
      <c r="A81" t="s">
        <v>95</v>
      </c>
      <c r="B81" t="s">
        <v>285</v>
      </c>
    </row>
    <row r="82" spans="1:2">
      <c r="A82" t="s">
        <v>95</v>
      </c>
      <c r="B82" t="s">
        <v>287</v>
      </c>
    </row>
    <row r="83" spans="1:2">
      <c r="A83" t="s">
        <v>95</v>
      </c>
      <c r="B83" t="s">
        <v>2075</v>
      </c>
    </row>
    <row r="84" spans="1:2">
      <c r="A84" t="s">
        <v>95</v>
      </c>
      <c r="B84" t="s">
        <v>288</v>
      </c>
    </row>
    <row r="85" spans="1:2">
      <c r="A85" t="s">
        <v>95</v>
      </c>
      <c r="B85" t="s">
        <v>286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F988C-FF03-4026-84F5-485A4393DAD8}">
  <dimension ref="A1:B83"/>
  <sheetViews>
    <sheetView workbookViewId="0">
      <selection activeCell="I71" sqref="I71"/>
    </sheetView>
  </sheetViews>
  <sheetFormatPr defaultRowHeight="14"/>
  <cols>
    <col min="1" max="1" width="8.6640625" bestFit="1" customWidth="1"/>
    <col min="2" max="2" width="25.58203125" bestFit="1" customWidth="1"/>
  </cols>
  <sheetData>
    <row r="1" spans="1:2">
      <c r="A1" t="s">
        <v>529</v>
      </c>
      <c r="B1" t="s">
        <v>143</v>
      </c>
    </row>
    <row r="2" spans="1:2">
      <c r="A2" t="s">
        <v>967</v>
      </c>
      <c r="B2" t="s">
        <v>968</v>
      </c>
    </row>
    <row r="3" spans="1:2">
      <c r="A3" t="s">
        <v>969</v>
      </c>
      <c r="B3" t="s">
        <v>970</v>
      </c>
    </row>
    <row r="4" spans="1:2">
      <c r="A4" t="s">
        <v>2128</v>
      </c>
      <c r="B4" t="s">
        <v>2129</v>
      </c>
    </row>
    <row r="5" spans="1:2">
      <c r="A5" t="s">
        <v>971</v>
      </c>
      <c r="B5" t="s">
        <v>535</v>
      </c>
    </row>
    <row r="6" spans="1:2">
      <c r="A6" t="s">
        <v>972</v>
      </c>
      <c r="B6" t="s">
        <v>973</v>
      </c>
    </row>
    <row r="7" spans="1:2">
      <c r="A7" t="s">
        <v>974</v>
      </c>
      <c r="B7" t="s">
        <v>975</v>
      </c>
    </row>
    <row r="8" spans="1:2">
      <c r="A8" t="s">
        <v>1398</v>
      </c>
      <c r="B8" t="s">
        <v>1399</v>
      </c>
    </row>
    <row r="9" spans="1:2">
      <c r="A9" t="s">
        <v>976</v>
      </c>
      <c r="B9" t="s">
        <v>977</v>
      </c>
    </row>
    <row r="10" spans="1:2">
      <c r="A10" t="s">
        <v>978</v>
      </c>
      <c r="B10" t="s">
        <v>536</v>
      </c>
    </row>
    <row r="11" spans="1:2">
      <c r="A11" t="s">
        <v>979</v>
      </c>
      <c r="B11" t="s">
        <v>537</v>
      </c>
    </row>
    <row r="12" spans="1:2">
      <c r="A12" t="s">
        <v>980</v>
      </c>
      <c r="B12" t="s">
        <v>538</v>
      </c>
    </row>
    <row r="13" spans="1:2">
      <c r="A13" t="s">
        <v>981</v>
      </c>
      <c r="B13" t="s">
        <v>539</v>
      </c>
    </row>
    <row r="14" spans="1:2">
      <c r="A14" t="s">
        <v>982</v>
      </c>
      <c r="B14" t="s">
        <v>540</v>
      </c>
    </row>
    <row r="15" spans="1:2">
      <c r="A15" t="s">
        <v>1271</v>
      </c>
      <c r="B15" t="s">
        <v>1272</v>
      </c>
    </row>
    <row r="16" spans="1:2">
      <c r="A16" t="s">
        <v>983</v>
      </c>
      <c r="B16" t="s">
        <v>541</v>
      </c>
    </row>
    <row r="17" spans="1:2">
      <c r="A17" t="s">
        <v>984</v>
      </c>
      <c r="B17" t="s">
        <v>542</v>
      </c>
    </row>
    <row r="18" spans="1:2">
      <c r="A18" t="s">
        <v>985</v>
      </c>
      <c r="B18" t="s">
        <v>543</v>
      </c>
    </row>
    <row r="19" spans="1:2">
      <c r="A19" t="s">
        <v>986</v>
      </c>
      <c r="B19" t="s">
        <v>987</v>
      </c>
    </row>
    <row r="20" spans="1:2">
      <c r="A20" t="s">
        <v>988</v>
      </c>
      <c r="B20" t="s">
        <v>544</v>
      </c>
    </row>
    <row r="21" spans="1:2">
      <c r="A21" t="s">
        <v>989</v>
      </c>
      <c r="B21" t="s">
        <v>990</v>
      </c>
    </row>
    <row r="22" spans="1:2">
      <c r="A22" t="s">
        <v>991</v>
      </c>
      <c r="B22" t="s">
        <v>545</v>
      </c>
    </row>
    <row r="23" spans="1:2">
      <c r="A23" t="s">
        <v>992</v>
      </c>
      <c r="B23" t="s">
        <v>548</v>
      </c>
    </row>
    <row r="24" spans="1:2">
      <c r="A24" t="s">
        <v>993</v>
      </c>
      <c r="B24" t="s">
        <v>546</v>
      </c>
    </row>
    <row r="25" spans="1:2">
      <c r="A25" t="s">
        <v>994</v>
      </c>
      <c r="B25" t="s">
        <v>547</v>
      </c>
    </row>
    <row r="26" spans="1:2">
      <c r="A26" t="s">
        <v>995</v>
      </c>
      <c r="B26" t="s">
        <v>549</v>
      </c>
    </row>
    <row r="27" spans="1:2">
      <c r="A27" t="s">
        <v>996</v>
      </c>
      <c r="B27" t="s">
        <v>997</v>
      </c>
    </row>
    <row r="28" spans="1:2">
      <c r="A28" t="s">
        <v>998</v>
      </c>
      <c r="B28" t="s">
        <v>999</v>
      </c>
    </row>
    <row r="29" spans="1:2">
      <c r="A29" t="s">
        <v>1000</v>
      </c>
      <c r="B29" t="s">
        <v>550</v>
      </c>
    </row>
    <row r="30" spans="1:2">
      <c r="A30" t="s">
        <v>1001</v>
      </c>
      <c r="B30" t="s">
        <v>551</v>
      </c>
    </row>
    <row r="31" spans="1:2">
      <c r="A31" t="s">
        <v>1002</v>
      </c>
      <c r="B31" t="s">
        <v>552</v>
      </c>
    </row>
    <row r="32" spans="1:2">
      <c r="A32" t="s">
        <v>1003</v>
      </c>
      <c r="B32" t="s">
        <v>553</v>
      </c>
    </row>
    <row r="33" spans="1:2">
      <c r="A33" t="s">
        <v>1004</v>
      </c>
      <c r="B33" t="s">
        <v>554</v>
      </c>
    </row>
    <row r="34" spans="1:2">
      <c r="A34" t="s">
        <v>1005</v>
      </c>
      <c r="B34" t="s">
        <v>1006</v>
      </c>
    </row>
    <row r="35" spans="1:2">
      <c r="A35" t="s">
        <v>1007</v>
      </c>
      <c r="B35" t="s">
        <v>555</v>
      </c>
    </row>
    <row r="36" spans="1:2">
      <c r="A36" t="s">
        <v>1008</v>
      </c>
      <c r="B36" t="s">
        <v>1009</v>
      </c>
    </row>
    <row r="37" spans="1:2">
      <c r="A37" t="s">
        <v>1010</v>
      </c>
      <c r="B37" t="s">
        <v>556</v>
      </c>
    </row>
    <row r="38" spans="1:2">
      <c r="A38" t="s">
        <v>1011</v>
      </c>
      <c r="B38" t="s">
        <v>558</v>
      </c>
    </row>
    <row r="39" spans="1:2">
      <c r="A39" t="s">
        <v>1012</v>
      </c>
      <c r="B39" t="s">
        <v>1013</v>
      </c>
    </row>
    <row r="40" spans="1:2">
      <c r="A40" t="s">
        <v>1014</v>
      </c>
      <c r="B40" t="s">
        <v>559</v>
      </c>
    </row>
    <row r="41" spans="1:2">
      <c r="A41" t="s">
        <v>1015</v>
      </c>
      <c r="B41" t="s">
        <v>557</v>
      </c>
    </row>
    <row r="42" spans="1:2">
      <c r="A42" t="s">
        <v>1016</v>
      </c>
      <c r="B42" t="s">
        <v>1017</v>
      </c>
    </row>
    <row r="43" spans="1:2">
      <c r="A43" t="s">
        <v>1018</v>
      </c>
      <c r="B43" t="s">
        <v>1273</v>
      </c>
    </row>
    <row r="44" spans="1:2">
      <c r="A44" t="s">
        <v>1019</v>
      </c>
      <c r="B44" t="s">
        <v>561</v>
      </c>
    </row>
    <row r="45" spans="1:2">
      <c r="A45" t="s">
        <v>1020</v>
      </c>
      <c r="B45" t="s">
        <v>560</v>
      </c>
    </row>
    <row r="46" spans="1:2">
      <c r="A46" t="s">
        <v>1021</v>
      </c>
      <c r="B46" t="s">
        <v>1022</v>
      </c>
    </row>
    <row r="47" spans="1:2">
      <c r="A47" t="s">
        <v>1023</v>
      </c>
      <c r="B47" t="s">
        <v>1024</v>
      </c>
    </row>
    <row r="48" spans="1:2">
      <c r="A48" t="s">
        <v>1025</v>
      </c>
      <c r="B48" t="s">
        <v>562</v>
      </c>
    </row>
    <row r="49" spans="1:2">
      <c r="A49" t="s">
        <v>1026</v>
      </c>
      <c r="B49" t="s">
        <v>563</v>
      </c>
    </row>
    <row r="50" spans="1:2">
      <c r="A50" t="s">
        <v>1027</v>
      </c>
      <c r="B50" t="s">
        <v>2130</v>
      </c>
    </row>
    <row r="51" spans="1:2">
      <c r="A51" t="s">
        <v>1028</v>
      </c>
      <c r="B51" t="s">
        <v>564</v>
      </c>
    </row>
    <row r="52" spans="1:2">
      <c r="A52" t="s">
        <v>1029</v>
      </c>
      <c r="B52" t="s">
        <v>565</v>
      </c>
    </row>
    <row r="53" spans="1:2">
      <c r="A53" t="s">
        <v>2131</v>
      </c>
      <c r="B53" t="s">
        <v>2132</v>
      </c>
    </row>
    <row r="54" spans="1:2">
      <c r="A54" t="s">
        <v>1030</v>
      </c>
      <c r="B54" t="s">
        <v>1031</v>
      </c>
    </row>
    <row r="55" spans="1:2">
      <c r="A55" t="s">
        <v>2133</v>
      </c>
      <c r="B55" t="s">
        <v>2134</v>
      </c>
    </row>
    <row r="56" spans="1:2">
      <c r="A56" t="s">
        <v>1032</v>
      </c>
      <c r="B56" t="s">
        <v>567</v>
      </c>
    </row>
    <row r="57" spans="1:2">
      <c r="A57" t="s">
        <v>1033</v>
      </c>
      <c r="B57" t="s">
        <v>568</v>
      </c>
    </row>
    <row r="58" spans="1:2">
      <c r="A58" t="s">
        <v>1034</v>
      </c>
      <c r="B58" t="s">
        <v>2076</v>
      </c>
    </row>
    <row r="59" spans="1:2">
      <c r="A59" t="s">
        <v>1035</v>
      </c>
      <c r="B59" t="s">
        <v>1036</v>
      </c>
    </row>
    <row r="60" spans="1:2">
      <c r="A60" t="s">
        <v>1037</v>
      </c>
      <c r="B60" t="s">
        <v>566</v>
      </c>
    </row>
    <row r="61" spans="1:2">
      <c r="A61" t="s">
        <v>1038</v>
      </c>
      <c r="B61" t="s">
        <v>1617</v>
      </c>
    </row>
    <row r="62" spans="1:2">
      <c r="A62" t="s">
        <v>1039</v>
      </c>
      <c r="B62" t="s">
        <v>570</v>
      </c>
    </row>
    <row r="63" spans="1:2">
      <c r="A63" t="s">
        <v>1040</v>
      </c>
      <c r="B63" t="s">
        <v>571</v>
      </c>
    </row>
    <row r="64" spans="1:2">
      <c r="A64" t="s">
        <v>1041</v>
      </c>
      <c r="B64" t="s">
        <v>572</v>
      </c>
    </row>
    <row r="65" spans="1:2">
      <c r="A65" t="s">
        <v>1042</v>
      </c>
      <c r="B65" t="s">
        <v>569</v>
      </c>
    </row>
    <row r="66" spans="1:2">
      <c r="A66" t="s">
        <v>1043</v>
      </c>
      <c r="B66" t="s">
        <v>573</v>
      </c>
    </row>
    <row r="67" spans="1:2">
      <c r="A67" t="s">
        <v>1400</v>
      </c>
      <c r="B67" t="s">
        <v>1401</v>
      </c>
    </row>
    <row r="68" spans="1:2">
      <c r="A68" t="s">
        <v>1044</v>
      </c>
      <c r="B68" t="s">
        <v>574</v>
      </c>
    </row>
    <row r="69" spans="1:2">
      <c r="A69" t="s">
        <v>1045</v>
      </c>
      <c r="B69" t="s">
        <v>2138</v>
      </c>
    </row>
    <row r="70" spans="1:2">
      <c r="A70" t="s">
        <v>1046</v>
      </c>
      <c r="B70" t="s">
        <v>575</v>
      </c>
    </row>
    <row r="71" spans="1:2">
      <c r="A71" t="s">
        <v>1047</v>
      </c>
      <c r="B71" t="s">
        <v>576</v>
      </c>
    </row>
    <row r="72" spans="1:2">
      <c r="A72" t="s">
        <v>1048</v>
      </c>
      <c r="B72" t="s">
        <v>1049</v>
      </c>
    </row>
    <row r="73" spans="1:2">
      <c r="A73" t="s">
        <v>1050</v>
      </c>
      <c r="B73" t="s">
        <v>577</v>
      </c>
    </row>
    <row r="74" spans="1:2">
      <c r="A74" t="s">
        <v>2135</v>
      </c>
      <c r="B74" t="s">
        <v>2136</v>
      </c>
    </row>
    <row r="75" spans="1:2">
      <c r="A75" t="s">
        <v>1305</v>
      </c>
      <c r="B75" t="s">
        <v>1306</v>
      </c>
    </row>
    <row r="76" spans="1:2">
      <c r="A76" t="s">
        <v>1051</v>
      </c>
      <c r="B76" t="s">
        <v>578</v>
      </c>
    </row>
    <row r="77" spans="1:2">
      <c r="A77" t="s">
        <v>1052</v>
      </c>
      <c r="B77" t="s">
        <v>579</v>
      </c>
    </row>
    <row r="78" spans="1:2">
      <c r="A78" t="s">
        <v>1053</v>
      </c>
      <c r="B78" t="s">
        <v>580</v>
      </c>
    </row>
    <row r="79" spans="1:2">
      <c r="A79" t="s">
        <v>1054</v>
      </c>
      <c r="B79" t="s">
        <v>581</v>
      </c>
    </row>
    <row r="80" spans="1:2">
      <c r="A80" t="s">
        <v>1055</v>
      </c>
      <c r="B80" t="s">
        <v>583</v>
      </c>
    </row>
    <row r="81" spans="1:2">
      <c r="A81" t="s">
        <v>1056</v>
      </c>
      <c r="B81" t="s">
        <v>1057</v>
      </c>
    </row>
    <row r="82" spans="1:2">
      <c r="A82" t="s">
        <v>1058</v>
      </c>
      <c r="B82" t="s">
        <v>582</v>
      </c>
    </row>
    <row r="83" spans="1:2">
      <c r="A83" t="s">
        <v>1059</v>
      </c>
      <c r="B83" t="s">
        <v>584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Ark13"/>
  <dimension ref="A1:S70"/>
  <sheetViews>
    <sheetView zoomScale="85" zoomScaleNormal="85" workbookViewId="0">
      <selection activeCell="D7" sqref="D7"/>
    </sheetView>
  </sheetViews>
  <sheetFormatPr defaultRowHeight="14"/>
  <cols>
    <col min="1" max="1" width="14.08203125" customWidth="1"/>
    <col min="2" max="2" width="14.58203125" customWidth="1"/>
    <col min="3" max="3" width="1.58203125" customWidth="1"/>
    <col min="4" max="4" width="40.08203125" bestFit="1" customWidth="1"/>
    <col min="5" max="5" width="2" customWidth="1"/>
    <col min="6" max="6" width="11.5" customWidth="1"/>
    <col min="7" max="7" width="45.25" customWidth="1"/>
    <col min="8" max="8" width="1.75" customWidth="1"/>
    <col min="9" max="9" width="36.08203125" customWidth="1"/>
    <col min="10" max="10" width="2" customWidth="1"/>
    <col min="12" max="12" width="2" customWidth="1"/>
    <col min="13" max="13" width="41.08203125" customWidth="1"/>
    <col min="14" max="14" width="2.5" customWidth="1"/>
    <col min="15" max="15" width="28.75" bestFit="1" customWidth="1"/>
    <col min="16" max="16" width="2.08203125" customWidth="1"/>
    <col min="17" max="17" width="26.5" customWidth="1"/>
    <col min="18" max="18" width="2.58203125" customWidth="1"/>
    <col min="19" max="19" width="28.58203125" bestFit="1" customWidth="1"/>
  </cols>
  <sheetData>
    <row r="1" spans="1:15" ht="18">
      <c r="A1" s="40" t="s">
        <v>18</v>
      </c>
    </row>
    <row r="3" spans="1:15" s="2" customFormat="1">
      <c r="A3" s="2" t="s">
        <v>61</v>
      </c>
      <c r="B3" s="263" t="s">
        <v>760</v>
      </c>
      <c r="D3" s="2" t="s">
        <v>63</v>
      </c>
      <c r="F3" s="2" t="s">
        <v>64</v>
      </c>
      <c r="G3" s="2" t="s">
        <v>65</v>
      </c>
      <c r="I3" s="2" t="s">
        <v>66</v>
      </c>
      <c r="K3" s="2" t="s">
        <v>67</v>
      </c>
      <c r="M3" s="55" t="s">
        <v>44</v>
      </c>
      <c r="O3" s="55" t="s">
        <v>106</v>
      </c>
    </row>
    <row r="4" spans="1:15">
      <c r="A4" s="1" t="s">
        <v>3</v>
      </c>
      <c r="B4" t="s">
        <v>761</v>
      </c>
      <c r="D4" s="1" t="s">
        <v>42</v>
      </c>
      <c r="E4" s="1"/>
      <c r="F4" s="3">
        <v>1300</v>
      </c>
      <c r="G4" s="3"/>
      <c r="H4" s="3"/>
      <c r="I4" s="3" t="s">
        <v>42</v>
      </c>
      <c r="J4" s="3"/>
      <c r="K4" s="1" t="s">
        <v>22</v>
      </c>
      <c r="L4" s="1"/>
      <c r="M4" s="56" t="s">
        <v>114</v>
      </c>
      <c r="O4" s="83" t="s">
        <v>107</v>
      </c>
    </row>
    <row r="5" spans="1:15">
      <c r="A5" s="1" t="s">
        <v>100</v>
      </c>
      <c r="B5" t="s">
        <v>762</v>
      </c>
      <c r="D5" s="1" t="s">
        <v>43</v>
      </c>
      <c r="E5" s="1"/>
      <c r="F5" s="3">
        <v>1460</v>
      </c>
      <c r="G5" s="3" t="s">
        <v>70</v>
      </c>
      <c r="H5" s="3"/>
      <c r="I5" s="3" t="s">
        <v>44</v>
      </c>
      <c r="J5" s="3"/>
      <c r="K5" s="1" t="s">
        <v>23</v>
      </c>
      <c r="L5" s="1"/>
      <c r="M5" s="56" t="s">
        <v>123</v>
      </c>
      <c r="O5" s="84" t="s">
        <v>103</v>
      </c>
    </row>
    <row r="6" spans="1:15">
      <c r="A6" s="1" t="s">
        <v>92</v>
      </c>
      <c r="B6" t="s">
        <v>763</v>
      </c>
      <c r="D6" s="1" t="s">
        <v>590</v>
      </c>
      <c r="E6" s="1"/>
      <c r="F6" s="3">
        <v>1485</v>
      </c>
      <c r="G6" s="3" t="s">
        <v>14</v>
      </c>
      <c r="H6" s="3"/>
      <c r="I6" s="3" t="s">
        <v>43</v>
      </c>
      <c r="J6" s="3"/>
      <c r="K6" s="1"/>
      <c r="L6" s="1"/>
      <c r="M6" s="56" t="s">
        <v>46</v>
      </c>
      <c r="O6" t="s">
        <v>45</v>
      </c>
    </row>
    <row r="7" spans="1:15">
      <c r="A7" t="s">
        <v>93</v>
      </c>
      <c r="B7" t="s">
        <v>764</v>
      </c>
      <c r="C7" s="1"/>
      <c r="D7" s="1" t="s">
        <v>2143</v>
      </c>
      <c r="E7" s="1"/>
      <c r="F7" s="3">
        <v>1642</v>
      </c>
      <c r="G7" s="3" t="s">
        <v>9</v>
      </c>
      <c r="H7" s="3"/>
      <c r="I7" s="3" t="s">
        <v>45</v>
      </c>
      <c r="J7" s="3"/>
      <c r="K7" s="3"/>
      <c r="L7" s="1"/>
      <c r="M7" s="56" t="s">
        <v>159</v>
      </c>
    </row>
    <row r="8" spans="1:15">
      <c r="A8" s="1" t="s">
        <v>5</v>
      </c>
      <c r="B8" t="s">
        <v>765</v>
      </c>
      <c r="C8" s="1"/>
      <c r="D8" t="s">
        <v>2137</v>
      </c>
      <c r="E8" s="1"/>
      <c r="F8" s="3" t="s">
        <v>15</v>
      </c>
      <c r="G8" s="3" t="s">
        <v>17</v>
      </c>
      <c r="H8" s="3"/>
      <c r="I8" s="3"/>
      <c r="J8" s="3"/>
      <c r="K8" s="3"/>
      <c r="L8" s="1"/>
      <c r="M8" s="56" t="s">
        <v>158</v>
      </c>
    </row>
    <row r="9" spans="1:15">
      <c r="A9" t="s">
        <v>117</v>
      </c>
      <c r="B9" t="s">
        <v>309</v>
      </c>
      <c r="C9" s="1"/>
      <c r="D9" t="s">
        <v>44</v>
      </c>
      <c r="E9" s="1"/>
      <c r="F9" s="3">
        <v>1460</v>
      </c>
      <c r="G9" s="3" t="s">
        <v>16</v>
      </c>
      <c r="H9" s="3"/>
      <c r="I9" s="3"/>
      <c r="J9" s="3"/>
      <c r="K9" s="3"/>
      <c r="L9" s="1"/>
      <c r="M9" s="56" t="s">
        <v>83</v>
      </c>
    </row>
    <row r="10" spans="1:15">
      <c r="A10" t="s">
        <v>94</v>
      </c>
      <c r="B10" t="s">
        <v>766</v>
      </c>
      <c r="C10" s="1"/>
      <c r="D10" s="1"/>
      <c r="E10" s="1"/>
      <c r="F10" s="3">
        <v>1642</v>
      </c>
      <c r="G10" s="3" t="s">
        <v>13</v>
      </c>
      <c r="H10" s="3"/>
      <c r="I10" s="3"/>
      <c r="J10" s="3"/>
      <c r="K10" s="3"/>
      <c r="L10" s="1"/>
      <c r="M10" s="56" t="s">
        <v>47</v>
      </c>
    </row>
    <row r="11" spans="1:15">
      <c r="A11" t="s">
        <v>115</v>
      </c>
      <c r="B11" t="s">
        <v>767</v>
      </c>
      <c r="C11" s="1"/>
      <c r="D11" s="1"/>
      <c r="E11" s="1"/>
      <c r="F11" s="1"/>
      <c r="G11" s="1"/>
      <c r="H11" s="1"/>
      <c r="I11" s="3"/>
      <c r="J11" s="3"/>
      <c r="K11" s="3"/>
      <c r="L11" s="1"/>
      <c r="M11" s="61" t="s">
        <v>121</v>
      </c>
    </row>
    <row r="12" spans="1:15">
      <c r="A12" t="s">
        <v>116</v>
      </c>
      <c r="B12" t="s">
        <v>301</v>
      </c>
      <c r="C12" s="1"/>
      <c r="D12" s="1"/>
      <c r="E12" s="1"/>
      <c r="F12" s="1"/>
      <c r="G12" s="1"/>
      <c r="H12" s="1"/>
      <c r="I12" s="3"/>
      <c r="J12" s="3"/>
      <c r="K12" s="3"/>
      <c r="L12" s="1"/>
      <c r="M12" s="56" t="s">
        <v>122</v>
      </c>
    </row>
    <row r="13" spans="1:15">
      <c r="A13" s="1" t="s">
        <v>4</v>
      </c>
      <c r="B13" t="s">
        <v>768</v>
      </c>
      <c r="C13" s="1"/>
      <c r="D13" s="1"/>
      <c r="E13" s="1"/>
      <c r="F13" s="1"/>
      <c r="G13" s="1"/>
      <c r="H13" s="1"/>
      <c r="I13" s="3"/>
      <c r="J13" s="3"/>
      <c r="K13" s="3"/>
      <c r="L13" s="1"/>
      <c r="M13" s="56" t="s">
        <v>48</v>
      </c>
    </row>
    <row r="14" spans="1:15">
      <c r="A14" s="1" t="s">
        <v>6</v>
      </c>
      <c r="B14" t="s">
        <v>769</v>
      </c>
      <c r="C14" s="1"/>
      <c r="D14" s="1"/>
      <c r="E14" s="1"/>
      <c r="F14" s="1"/>
      <c r="G14" s="1"/>
      <c r="H14" s="1"/>
      <c r="I14" s="3"/>
      <c r="J14" s="3"/>
      <c r="K14" s="3"/>
      <c r="L14" s="1"/>
      <c r="M14" s="56" t="s">
        <v>49</v>
      </c>
    </row>
    <row r="15" spans="1:15">
      <c r="A15" t="s">
        <v>95</v>
      </c>
      <c r="B15" t="s">
        <v>770</v>
      </c>
      <c r="C15" s="1"/>
      <c r="D15" s="1"/>
      <c r="E15" s="1"/>
      <c r="F15" s="1"/>
      <c r="G15" s="1"/>
      <c r="H15" s="1"/>
      <c r="I15" s="3"/>
      <c r="J15" s="3"/>
      <c r="K15" s="3"/>
      <c r="L15" s="1"/>
      <c r="M15" s="56" t="s">
        <v>50</v>
      </c>
    </row>
    <row r="16" spans="1:15">
      <c r="A16" s="1" t="s">
        <v>21</v>
      </c>
      <c r="B16" t="s">
        <v>771</v>
      </c>
      <c r="C16" s="1"/>
      <c r="D16" s="1"/>
      <c r="E16" s="1"/>
      <c r="F16" s="1"/>
      <c r="G16" s="1"/>
      <c r="H16" s="1"/>
      <c r="I16" s="3"/>
      <c r="J16" s="3"/>
      <c r="K16" s="3"/>
      <c r="L16" s="1"/>
      <c r="M16" s="56" t="s">
        <v>51</v>
      </c>
    </row>
    <row r="17" spans="1:19">
      <c r="C17" s="1"/>
      <c r="E17" s="1"/>
      <c r="G17" s="1"/>
      <c r="H17" s="1"/>
      <c r="I17" s="3"/>
      <c r="J17" s="3"/>
      <c r="K17" s="3"/>
      <c r="L17" s="1"/>
      <c r="M17" s="393" t="s">
        <v>1402</v>
      </c>
    </row>
    <row r="18" spans="1:19">
      <c r="A18" s="1"/>
      <c r="B18" s="1"/>
      <c r="C18" s="1"/>
      <c r="E18" s="1"/>
      <c r="H18" s="1"/>
      <c r="I18" s="443" t="s">
        <v>1382</v>
      </c>
      <c r="J18" s="443"/>
      <c r="K18" s="443"/>
      <c r="L18" s="443"/>
      <c r="M18" s="443"/>
    </row>
    <row r="19" spans="1:19">
      <c r="A19" s="2" t="s">
        <v>68</v>
      </c>
      <c r="B19" s="259" t="s">
        <v>97</v>
      </c>
      <c r="D19" s="2" t="s">
        <v>67</v>
      </c>
      <c r="F19" s="55" t="s">
        <v>69</v>
      </c>
      <c r="I19" s="55" t="s">
        <v>87</v>
      </c>
      <c r="J19" s="3"/>
      <c r="K19" s="55" t="s">
        <v>64</v>
      </c>
      <c r="L19" s="1"/>
      <c r="M19" s="55" t="s">
        <v>88</v>
      </c>
      <c r="O19" s="55" t="s">
        <v>107</v>
      </c>
      <c r="Q19" s="55" t="s">
        <v>747</v>
      </c>
      <c r="S19" s="55" t="s">
        <v>746</v>
      </c>
    </row>
    <row r="20" spans="1:19">
      <c r="A20" s="1" t="s">
        <v>1241</v>
      </c>
      <c r="B20" t="s">
        <v>20</v>
      </c>
      <c r="D20" s="1" t="s">
        <v>22</v>
      </c>
      <c r="F20" s="56">
        <v>1</v>
      </c>
      <c r="I20" t="s">
        <v>209</v>
      </c>
      <c r="J20" s="3"/>
      <c r="K20" s="101">
        <v>1460</v>
      </c>
      <c r="L20" s="1"/>
      <c r="M20" s="103">
        <v>0</v>
      </c>
      <c r="O20" s="105" t="s">
        <v>45</v>
      </c>
      <c r="Q20" t="s">
        <v>43</v>
      </c>
      <c r="S20" t="s">
        <v>43</v>
      </c>
    </row>
    <row r="21" spans="1:19">
      <c r="A21" s="1" t="s">
        <v>1242</v>
      </c>
      <c r="B21" t="s">
        <v>20</v>
      </c>
      <c r="D21" s="1" t="s">
        <v>23</v>
      </c>
      <c r="F21" s="56">
        <v>7.45</v>
      </c>
      <c r="I21" t="s">
        <v>86</v>
      </c>
      <c r="K21" s="101">
        <v>1460</v>
      </c>
      <c r="M21" s="101">
        <v>20</v>
      </c>
      <c r="O21" s="105" t="s">
        <v>45</v>
      </c>
      <c r="Q21" t="s">
        <v>43</v>
      </c>
      <c r="S21" t="s">
        <v>43</v>
      </c>
    </row>
    <row r="22" spans="1:19">
      <c r="A22" s="1" t="s">
        <v>1243</v>
      </c>
      <c r="D22" s="1" t="s">
        <v>24</v>
      </c>
      <c r="F22" s="56">
        <v>0.67</v>
      </c>
      <c r="I22" t="s">
        <v>201</v>
      </c>
      <c r="K22" s="101">
        <v>1460</v>
      </c>
      <c r="M22" s="101">
        <v>20</v>
      </c>
      <c r="O22" s="105" t="s">
        <v>45</v>
      </c>
      <c r="Q22" t="s">
        <v>43</v>
      </c>
      <c r="S22" t="s">
        <v>43</v>
      </c>
    </row>
    <row r="23" spans="1:19">
      <c r="A23" s="1" t="s">
        <v>224</v>
      </c>
      <c r="D23" t="s">
        <v>25</v>
      </c>
      <c r="F23" s="58">
        <v>0.68</v>
      </c>
      <c r="I23" t="s">
        <v>200</v>
      </c>
      <c r="K23" s="101">
        <v>1460</v>
      </c>
      <c r="M23" s="101">
        <v>0</v>
      </c>
      <c r="O23" s="106" t="s">
        <v>107</v>
      </c>
      <c r="Q23" t="s">
        <v>45</v>
      </c>
      <c r="S23" t="s">
        <v>45</v>
      </c>
    </row>
    <row r="24" spans="1:19">
      <c r="A24" s="1" t="s">
        <v>40</v>
      </c>
      <c r="B24" s="1" t="s">
        <v>41</v>
      </c>
      <c r="D24" t="s">
        <v>26</v>
      </c>
      <c r="F24" s="59">
        <v>7.02</v>
      </c>
      <c r="I24" t="s">
        <v>208</v>
      </c>
      <c r="K24" s="101">
        <v>1460</v>
      </c>
      <c r="M24" s="101">
        <v>44</v>
      </c>
      <c r="O24" s="105" t="s">
        <v>45</v>
      </c>
      <c r="Q24" t="s">
        <v>590</v>
      </c>
      <c r="S24" t="s">
        <v>43</v>
      </c>
    </row>
    <row r="25" spans="1:19">
      <c r="A25" s="1" t="s">
        <v>1973</v>
      </c>
      <c r="B25" t="s">
        <v>198</v>
      </c>
      <c r="D25" s="1" t="s">
        <v>52</v>
      </c>
      <c r="F25" s="59">
        <v>0</v>
      </c>
      <c r="I25" t="s">
        <v>204</v>
      </c>
      <c r="K25" s="101">
        <v>1460</v>
      </c>
      <c r="M25" s="101">
        <v>44</v>
      </c>
      <c r="O25" s="105" t="s">
        <v>45</v>
      </c>
      <c r="Q25" t="s">
        <v>43</v>
      </c>
      <c r="S25" t="s">
        <v>43</v>
      </c>
    </row>
    <row r="26" spans="1:19">
      <c r="A26" s="1" t="s">
        <v>226</v>
      </c>
      <c r="B26" t="s">
        <v>198</v>
      </c>
      <c r="I26" t="s">
        <v>214</v>
      </c>
      <c r="K26" s="101">
        <v>1460</v>
      </c>
      <c r="M26" s="101">
        <v>0</v>
      </c>
      <c r="O26" s="105" t="s">
        <v>45</v>
      </c>
    </row>
    <row r="27" spans="1:19">
      <c r="A27" s="1" t="s">
        <v>227</v>
      </c>
      <c r="B27" t="s">
        <v>198</v>
      </c>
      <c r="I27" t="s">
        <v>215</v>
      </c>
      <c r="K27" s="102">
        <v>1485</v>
      </c>
      <c r="M27" s="102">
        <v>25</v>
      </c>
      <c r="O27" s="105" t="s">
        <v>45</v>
      </c>
      <c r="Q27" t="s">
        <v>43</v>
      </c>
    </row>
    <row r="28" spans="1:19">
      <c r="A28" t="s">
        <v>1972</v>
      </c>
      <c r="B28" t="s">
        <v>199</v>
      </c>
      <c r="D28" s="2" t="s">
        <v>111</v>
      </c>
      <c r="I28" t="s">
        <v>206</v>
      </c>
      <c r="K28" s="102">
        <v>1642</v>
      </c>
      <c r="M28" s="102">
        <v>44</v>
      </c>
      <c r="O28" s="105" t="s">
        <v>45</v>
      </c>
      <c r="Q28" t="s">
        <v>43</v>
      </c>
      <c r="S28" t="s">
        <v>43</v>
      </c>
    </row>
    <row r="29" spans="1:19">
      <c r="A29" s="1" t="s">
        <v>228</v>
      </c>
      <c r="B29" t="s">
        <v>199</v>
      </c>
      <c r="D29" s="1" t="s">
        <v>113</v>
      </c>
      <c r="I29" t="s">
        <v>213</v>
      </c>
      <c r="K29" s="102">
        <v>1460</v>
      </c>
      <c r="M29" s="102">
        <v>44</v>
      </c>
      <c r="O29" s="105" t="s">
        <v>45</v>
      </c>
      <c r="Q29" t="s">
        <v>590</v>
      </c>
      <c r="S29" t="s">
        <v>44</v>
      </c>
    </row>
    <row r="30" spans="1:19">
      <c r="A30" s="1" t="s">
        <v>229</v>
      </c>
      <c r="B30" t="s">
        <v>199</v>
      </c>
      <c r="D30" s="1" t="s">
        <v>152</v>
      </c>
      <c r="I30" t="s">
        <v>216</v>
      </c>
      <c r="K30" s="101">
        <v>1642</v>
      </c>
      <c r="M30" s="101">
        <v>44</v>
      </c>
      <c r="O30" s="105" t="s">
        <v>45</v>
      </c>
      <c r="Q30" t="s">
        <v>43</v>
      </c>
      <c r="S30" t="s">
        <v>43</v>
      </c>
    </row>
    <row r="31" spans="1:19">
      <c r="A31" s="1" t="s">
        <v>1975</v>
      </c>
      <c r="D31" s="1" t="s">
        <v>112</v>
      </c>
      <c r="I31" s="1" t="s">
        <v>1372</v>
      </c>
      <c r="K31" s="101">
        <v>1642</v>
      </c>
      <c r="M31" s="101">
        <v>44</v>
      </c>
      <c r="O31" s="105" t="s">
        <v>45</v>
      </c>
      <c r="Q31" t="s">
        <v>43</v>
      </c>
      <c r="S31" t="s">
        <v>43</v>
      </c>
    </row>
    <row r="32" spans="1:19">
      <c r="A32" s="1" t="s">
        <v>1244</v>
      </c>
      <c r="D32" s="1" t="s">
        <v>604</v>
      </c>
      <c r="I32" t="s">
        <v>84</v>
      </c>
      <c r="K32" s="102">
        <v>1485</v>
      </c>
      <c r="M32" s="102">
        <v>25</v>
      </c>
      <c r="O32" s="105" t="s">
        <v>45</v>
      </c>
      <c r="Q32" t="s">
        <v>43</v>
      </c>
    </row>
    <row r="33" spans="1:19">
      <c r="A33" t="s">
        <v>1336</v>
      </c>
      <c r="I33" t="s">
        <v>102</v>
      </c>
      <c r="K33" s="102">
        <v>1485</v>
      </c>
      <c r="M33" s="102">
        <v>25</v>
      </c>
      <c r="O33" s="105" t="s">
        <v>45</v>
      </c>
      <c r="Q33" t="s">
        <v>43</v>
      </c>
    </row>
    <row r="34" spans="1:19">
      <c r="A34" t="s">
        <v>1337</v>
      </c>
      <c r="I34" t="s">
        <v>205</v>
      </c>
      <c r="K34" s="102">
        <v>1460</v>
      </c>
      <c r="M34" s="102">
        <v>44</v>
      </c>
      <c r="O34" s="105" t="s">
        <v>45</v>
      </c>
      <c r="Q34" t="s">
        <v>43</v>
      </c>
      <c r="S34" t="s">
        <v>43</v>
      </c>
    </row>
    <row r="35" spans="1:19">
      <c r="A35" t="s">
        <v>2140</v>
      </c>
      <c r="I35" t="s">
        <v>217</v>
      </c>
      <c r="K35" s="102">
        <v>1642</v>
      </c>
      <c r="M35" s="102">
        <v>44</v>
      </c>
      <c r="O35" s="105" t="s">
        <v>45</v>
      </c>
      <c r="Q35" t="s">
        <v>43</v>
      </c>
      <c r="S35" t="s">
        <v>43</v>
      </c>
    </row>
    <row r="36" spans="1:19">
      <c r="A36" t="s">
        <v>2139</v>
      </c>
      <c r="D36" s="2" t="s">
        <v>62</v>
      </c>
      <c r="I36" t="s">
        <v>221</v>
      </c>
      <c r="K36" s="102">
        <v>1460</v>
      </c>
      <c r="M36" s="102">
        <v>0</v>
      </c>
      <c r="O36" s="106" t="s">
        <v>107</v>
      </c>
      <c r="Q36" t="s">
        <v>45</v>
      </c>
      <c r="S36" t="s">
        <v>45</v>
      </c>
    </row>
    <row r="37" spans="1:19">
      <c r="A37" s="1"/>
      <c r="D37" s="43">
        <v>0</v>
      </c>
      <c r="I37" t="s">
        <v>220</v>
      </c>
      <c r="K37" s="102">
        <v>1460</v>
      </c>
      <c r="M37" s="102">
        <v>0</v>
      </c>
      <c r="O37" s="106" t="s">
        <v>107</v>
      </c>
      <c r="Q37" t="s">
        <v>45</v>
      </c>
      <c r="S37" t="s">
        <v>45</v>
      </c>
    </row>
    <row r="38" spans="1:19">
      <c r="A38" s="1"/>
      <c r="D38">
        <v>5</v>
      </c>
      <c r="I38" t="s">
        <v>211</v>
      </c>
      <c r="K38" s="102">
        <v>1460</v>
      </c>
      <c r="M38" s="102">
        <v>44</v>
      </c>
      <c r="O38" s="105" t="s">
        <v>45</v>
      </c>
      <c r="Q38" t="s">
        <v>590</v>
      </c>
      <c r="S38" s="398" t="s">
        <v>44</v>
      </c>
    </row>
    <row r="39" spans="1:19">
      <c r="A39" s="55" t="s">
        <v>118</v>
      </c>
      <c r="D39">
        <v>10</v>
      </c>
      <c r="I39" t="s">
        <v>218</v>
      </c>
      <c r="K39" s="102">
        <v>1460</v>
      </c>
      <c r="M39" s="102">
        <v>44</v>
      </c>
      <c r="O39" s="105" t="s">
        <v>45</v>
      </c>
      <c r="Q39" t="s">
        <v>43</v>
      </c>
      <c r="S39" t="s">
        <v>43</v>
      </c>
    </row>
    <row r="40" spans="1:19">
      <c r="A40" s="1" t="s">
        <v>119</v>
      </c>
      <c r="D40">
        <v>15</v>
      </c>
      <c r="I40" t="s">
        <v>207</v>
      </c>
      <c r="K40" s="102">
        <v>1642</v>
      </c>
      <c r="M40" s="102">
        <v>44</v>
      </c>
      <c r="O40" s="105" t="s">
        <v>45</v>
      </c>
      <c r="Q40" t="s">
        <v>42</v>
      </c>
      <c r="S40" t="s">
        <v>43</v>
      </c>
    </row>
    <row r="41" spans="1:19">
      <c r="A41" s="1" t="s">
        <v>120</v>
      </c>
      <c r="D41" s="1">
        <v>20</v>
      </c>
      <c r="I41" t="s">
        <v>85</v>
      </c>
      <c r="K41" s="101">
        <v>1642</v>
      </c>
      <c r="M41" s="101">
        <v>44</v>
      </c>
      <c r="O41" s="105" t="s">
        <v>45</v>
      </c>
      <c r="Q41" t="s">
        <v>43</v>
      </c>
      <c r="S41" t="s">
        <v>43</v>
      </c>
    </row>
    <row r="42" spans="1:19">
      <c r="A42" s="57"/>
      <c r="D42" s="1">
        <v>25</v>
      </c>
      <c r="I42" t="s">
        <v>202</v>
      </c>
      <c r="K42" s="101">
        <v>1460</v>
      </c>
      <c r="M42" s="101">
        <v>0</v>
      </c>
      <c r="O42" s="106" t="s">
        <v>107</v>
      </c>
      <c r="Q42" t="s">
        <v>45</v>
      </c>
      <c r="S42" t="s">
        <v>45</v>
      </c>
    </row>
    <row r="43" spans="1:19">
      <c r="D43">
        <v>44</v>
      </c>
      <c r="I43" t="s">
        <v>212</v>
      </c>
      <c r="K43" s="101">
        <v>1460</v>
      </c>
      <c r="M43" s="101">
        <v>44</v>
      </c>
      <c r="O43" s="105" t="s">
        <v>45</v>
      </c>
      <c r="Q43" t="s">
        <v>590</v>
      </c>
      <c r="S43" s="398" t="s">
        <v>44</v>
      </c>
    </row>
    <row r="44" spans="1:19">
      <c r="A44" s="55" t="s">
        <v>27</v>
      </c>
      <c r="D44">
        <v>45</v>
      </c>
      <c r="F44" t="s">
        <v>1955</v>
      </c>
      <c r="G44" t="s">
        <v>0</v>
      </c>
      <c r="I44" t="s">
        <v>203</v>
      </c>
      <c r="K44" s="101">
        <v>1460</v>
      </c>
      <c r="M44" s="101">
        <v>0</v>
      </c>
      <c r="O44" s="106" t="s">
        <v>107</v>
      </c>
      <c r="Q44" t="s">
        <v>45</v>
      </c>
      <c r="S44" t="s">
        <v>45</v>
      </c>
    </row>
    <row r="45" spans="1:19">
      <c r="A45" t="s">
        <v>198</v>
      </c>
      <c r="F45" s="96">
        <v>45292</v>
      </c>
      <c r="G45" s="399">
        <v>110</v>
      </c>
      <c r="I45" t="s">
        <v>219</v>
      </c>
      <c r="K45" s="101">
        <v>1460</v>
      </c>
      <c r="M45" s="101">
        <v>0</v>
      </c>
      <c r="O45" s="106" t="s">
        <v>107</v>
      </c>
      <c r="Q45" t="s">
        <v>45</v>
      </c>
      <c r="S45" t="s">
        <v>45</v>
      </c>
    </row>
    <row r="46" spans="1:19">
      <c r="A46" t="s">
        <v>199</v>
      </c>
      <c r="F46" s="96">
        <v>46023</v>
      </c>
      <c r="G46" s="399">
        <v>105</v>
      </c>
      <c r="I46" t="s">
        <v>210</v>
      </c>
      <c r="K46" s="101">
        <v>1460</v>
      </c>
      <c r="M46" s="104">
        <v>25</v>
      </c>
      <c r="O46" s="105" t="s">
        <v>45</v>
      </c>
      <c r="Q46" t="s">
        <v>43</v>
      </c>
      <c r="S46" t="s">
        <v>43</v>
      </c>
    </row>
    <row r="47" spans="1:19">
      <c r="I47" t="s">
        <v>1383</v>
      </c>
      <c r="K47">
        <v>1460</v>
      </c>
      <c r="M47">
        <v>44</v>
      </c>
      <c r="O47" s="392" t="s">
        <v>45</v>
      </c>
      <c r="Q47" t="s">
        <v>590</v>
      </c>
      <c r="S47" s="398" t="s">
        <v>44</v>
      </c>
    </row>
    <row r="48" spans="1:19">
      <c r="A48" s="55" t="s">
        <v>365</v>
      </c>
      <c r="I48" t="s">
        <v>319</v>
      </c>
      <c r="K48">
        <v>1460</v>
      </c>
      <c r="M48">
        <v>44</v>
      </c>
      <c r="O48" s="392" t="s">
        <v>45</v>
      </c>
      <c r="Q48" t="s">
        <v>590</v>
      </c>
      <c r="S48" s="398" t="s">
        <v>44</v>
      </c>
    </row>
    <row r="49" spans="1:19">
      <c r="I49" t="s">
        <v>1384</v>
      </c>
      <c r="K49">
        <v>1460</v>
      </c>
      <c r="M49">
        <v>44</v>
      </c>
      <c r="O49" s="392" t="s">
        <v>45</v>
      </c>
      <c r="Q49" t="s">
        <v>590</v>
      </c>
      <c r="S49" s="398" t="s">
        <v>44</v>
      </c>
    </row>
    <row r="50" spans="1:19">
      <c r="A50">
        <v>2</v>
      </c>
      <c r="I50" t="s">
        <v>330</v>
      </c>
      <c r="K50">
        <v>1460</v>
      </c>
      <c r="M50">
        <v>44</v>
      </c>
      <c r="O50" s="392" t="s">
        <v>45</v>
      </c>
      <c r="Q50" t="s">
        <v>590</v>
      </c>
      <c r="S50" s="398" t="s">
        <v>44</v>
      </c>
    </row>
    <row r="51" spans="1:19">
      <c r="F51" s="96"/>
      <c r="I51" t="s">
        <v>339</v>
      </c>
      <c r="K51">
        <v>1460</v>
      </c>
      <c r="M51">
        <v>44</v>
      </c>
      <c r="O51" s="392" t="s">
        <v>45</v>
      </c>
      <c r="Q51" t="s">
        <v>590</v>
      </c>
      <c r="S51" s="398" t="s">
        <v>44</v>
      </c>
    </row>
    <row r="52" spans="1:19">
      <c r="A52" s="55" t="s">
        <v>531</v>
      </c>
      <c r="F52" s="96"/>
      <c r="I52" t="s">
        <v>1385</v>
      </c>
      <c r="K52">
        <v>1460</v>
      </c>
      <c r="M52">
        <v>44</v>
      </c>
      <c r="O52" s="392" t="s">
        <v>45</v>
      </c>
      <c r="Q52" t="s">
        <v>590</v>
      </c>
      <c r="S52" s="398" t="s">
        <v>44</v>
      </c>
    </row>
    <row r="53" spans="1:19">
      <c r="A53">
        <v>10</v>
      </c>
      <c r="F53" s="96"/>
    </row>
    <row r="54" spans="1:19">
      <c r="A54">
        <v>3.6</v>
      </c>
      <c r="F54" s="96"/>
    </row>
    <row r="55" spans="1:19">
      <c r="F55" s="96"/>
    </row>
    <row r="56" spans="1:19">
      <c r="A56" s="55" t="s">
        <v>759</v>
      </c>
    </row>
    <row r="57" spans="1:19">
      <c r="A57" s="1" t="s">
        <v>119</v>
      </c>
    </row>
    <row r="58" spans="1:19">
      <c r="A58" s="1" t="s">
        <v>120</v>
      </c>
    </row>
    <row r="60" spans="1:19">
      <c r="A60" s="55" t="s">
        <v>1247</v>
      </c>
    </row>
    <row r="61" spans="1:19">
      <c r="A61" s="1" t="s">
        <v>119</v>
      </c>
    </row>
    <row r="62" spans="1:19">
      <c r="A62" s="1" t="s">
        <v>120</v>
      </c>
    </row>
    <row r="64" spans="1:19">
      <c r="A64" s="55" t="s">
        <v>1280</v>
      </c>
    </row>
    <row r="65" spans="1:1">
      <c r="A65" s="1" t="s">
        <v>119</v>
      </c>
    </row>
    <row r="66" spans="1:1">
      <c r="A66" s="1" t="s">
        <v>120</v>
      </c>
    </row>
    <row r="68" spans="1:1">
      <c r="A68" s="55" t="s">
        <v>1311</v>
      </c>
    </row>
    <row r="69" spans="1:1">
      <c r="A69" s="1" t="s">
        <v>119</v>
      </c>
    </row>
    <row r="70" spans="1:1">
      <c r="A70" s="1" t="s">
        <v>120</v>
      </c>
    </row>
  </sheetData>
  <mergeCells count="1">
    <mergeCell ref="I18:M18"/>
  </mergeCells>
  <phoneticPr fontId="54" type="noConversion"/>
  <pageMargins left="0.7" right="0.7" top="0.75" bottom="0.75" header="0.3" footer="0.3"/>
  <pageSetup paperSize="9" orientation="portrait" r:id="rId1"/>
  <tableParts count="10">
    <tablePart r:id="rId2"/>
    <tablePart r:id="rId3"/>
    <tablePart r:id="rId4"/>
    <tablePart r:id="rId5"/>
    <tablePart r:id="rId6"/>
    <tablePart r:id="rId7"/>
    <tablePart r:id="rId8"/>
    <tablePart r:id="rId9"/>
    <tablePart r:id="rId10"/>
    <tablePart r:id="rId1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52371-8118-42B0-8059-EF792814A57D}">
  <sheetPr codeName="Ark10">
    <pageSetUpPr fitToPage="1"/>
  </sheetPr>
  <dimension ref="A1:C114"/>
  <sheetViews>
    <sheetView tabSelected="1" zoomScaleNormal="100" workbookViewId="0"/>
  </sheetViews>
  <sheetFormatPr defaultRowHeight="14.5"/>
  <cols>
    <col min="1" max="1" width="30.08203125" style="30" customWidth="1"/>
    <col min="2" max="3" width="96.75" style="30" customWidth="1"/>
  </cols>
  <sheetData>
    <row r="1" spans="1:3" ht="21">
      <c r="A1" s="290" t="s">
        <v>1169</v>
      </c>
    </row>
    <row r="2" spans="1:3" ht="18.5">
      <c r="A2" s="235" t="s">
        <v>1195</v>
      </c>
    </row>
    <row r="3" spans="1:3" ht="58">
      <c r="A3" s="245" t="s">
        <v>1171</v>
      </c>
      <c r="B3" s="387" t="s">
        <v>1284</v>
      </c>
      <c r="C3" s="387" t="s">
        <v>1283</v>
      </c>
    </row>
    <row r="4" spans="1:3">
      <c r="A4" s="245" t="s">
        <v>1166</v>
      </c>
      <c r="B4" s="291" t="s">
        <v>1173</v>
      </c>
      <c r="C4" s="292" t="s">
        <v>1172</v>
      </c>
    </row>
    <row r="5" spans="1:3">
      <c r="A5" s="245" t="s">
        <v>1175</v>
      </c>
      <c r="B5" s="291" t="s">
        <v>1198</v>
      </c>
      <c r="C5" s="292" t="s">
        <v>1174</v>
      </c>
    </row>
    <row r="6" spans="1:3">
      <c r="A6" s="245" t="s">
        <v>1167</v>
      </c>
      <c r="B6" s="291" t="s">
        <v>1199</v>
      </c>
      <c r="C6" s="292" t="s">
        <v>1164</v>
      </c>
    </row>
    <row r="7" spans="1:3">
      <c r="A7" s="245" t="s">
        <v>1168</v>
      </c>
      <c r="B7" s="291" t="s">
        <v>1200</v>
      </c>
      <c r="C7" s="292" t="s">
        <v>1176</v>
      </c>
    </row>
    <row r="8" spans="1:3" ht="29">
      <c r="A8" s="245" t="s">
        <v>693</v>
      </c>
      <c r="B8" s="397" t="s">
        <v>1410</v>
      </c>
      <c r="C8" s="397" t="s">
        <v>1411</v>
      </c>
    </row>
    <row r="9" spans="1:3" ht="43.5">
      <c r="A9" s="245" t="s">
        <v>1179</v>
      </c>
      <c r="B9" s="291" t="s">
        <v>1178</v>
      </c>
      <c r="C9" s="291" t="s">
        <v>1177</v>
      </c>
    </row>
    <row r="10" spans="1:3" ht="43.5" hidden="1">
      <c r="A10" s="245" t="s">
        <v>1180</v>
      </c>
      <c r="B10" s="291" t="s">
        <v>1201</v>
      </c>
      <c r="C10" s="291" t="s">
        <v>1165</v>
      </c>
    </row>
    <row r="11" spans="1:3" ht="29">
      <c r="A11" s="245" t="s">
        <v>1181</v>
      </c>
      <c r="B11" s="291" t="s">
        <v>1182</v>
      </c>
      <c r="C11" s="291" t="s">
        <v>1170</v>
      </c>
    </row>
    <row r="12" spans="1:3">
      <c r="B12" s="289"/>
      <c r="C12" s="289"/>
    </row>
    <row r="13" spans="1:3" ht="18.5">
      <c r="A13" s="235" t="s">
        <v>1196</v>
      </c>
      <c r="B13" s="289"/>
      <c r="C13" s="289"/>
    </row>
    <row r="14" spans="1:3" s="236" customFormat="1" ht="18.5">
      <c r="A14" s="235" t="s">
        <v>1197</v>
      </c>
      <c r="B14" s="235" t="s">
        <v>65</v>
      </c>
      <c r="C14" s="235" t="s">
        <v>674</v>
      </c>
    </row>
    <row r="15" spans="1:3" s="238" customFormat="1" ht="37.5">
      <c r="A15" s="19" t="s">
        <v>156</v>
      </c>
      <c r="B15" s="237" t="s">
        <v>1071</v>
      </c>
      <c r="C15" s="237" t="s">
        <v>1116</v>
      </c>
    </row>
    <row r="16" spans="1:3" s="238" customFormat="1" ht="13">
      <c r="A16" s="19" t="s">
        <v>125</v>
      </c>
      <c r="B16" s="237" t="s">
        <v>1070</v>
      </c>
      <c r="C16" s="237" t="s">
        <v>1117</v>
      </c>
    </row>
    <row r="17" spans="1:3" s="238" customFormat="1" ht="13">
      <c r="A17" s="19" t="s">
        <v>675</v>
      </c>
      <c r="B17" s="237" t="s">
        <v>1072</v>
      </c>
      <c r="C17" s="237" t="s">
        <v>1118</v>
      </c>
    </row>
    <row r="18" spans="1:3" s="238" customFormat="1" ht="37.5">
      <c r="A18" s="19" t="s">
        <v>594</v>
      </c>
      <c r="B18" s="237" t="s">
        <v>1919</v>
      </c>
      <c r="C18" s="237" t="s">
        <v>1119</v>
      </c>
    </row>
    <row r="19" spans="1:3" s="238" customFormat="1" ht="41.15" customHeight="1">
      <c r="A19" s="19" t="s">
        <v>676</v>
      </c>
      <c r="B19" s="237" t="s">
        <v>1073</v>
      </c>
      <c r="C19" s="237" t="s">
        <v>1120</v>
      </c>
    </row>
    <row r="20" spans="1:3" s="238" customFormat="1" ht="37.5">
      <c r="A20" s="19" t="s">
        <v>677</v>
      </c>
      <c r="B20" s="237" t="s">
        <v>1074</v>
      </c>
      <c r="C20" s="237" t="s">
        <v>1121</v>
      </c>
    </row>
    <row r="21" spans="1:3" s="238" customFormat="1" ht="56.15" customHeight="1">
      <c r="A21" s="19" t="s">
        <v>105</v>
      </c>
      <c r="B21" s="237" t="s">
        <v>1203</v>
      </c>
      <c r="C21" s="237" t="s">
        <v>1202</v>
      </c>
    </row>
    <row r="22" spans="1:3" s="238" customFormat="1" ht="32.15" customHeight="1">
      <c r="A22" s="239" t="s">
        <v>678</v>
      </c>
      <c r="B22" s="237" t="s">
        <v>1075</v>
      </c>
      <c r="C22" s="237" t="s">
        <v>1122</v>
      </c>
    </row>
    <row r="23" spans="1:3" s="238" customFormat="1" ht="32.15" customHeight="1">
      <c r="A23" s="239" t="s">
        <v>679</v>
      </c>
      <c r="B23" s="237" t="s">
        <v>1076</v>
      </c>
      <c r="C23" s="237" t="s">
        <v>1123</v>
      </c>
    </row>
    <row r="24" spans="1:3" s="238" customFormat="1" ht="32.15" customHeight="1">
      <c r="A24" s="239" t="s">
        <v>680</v>
      </c>
      <c r="B24" s="237" t="s">
        <v>1077</v>
      </c>
      <c r="C24" s="237" t="s">
        <v>1124</v>
      </c>
    </row>
    <row r="25" spans="1:3" s="238" customFormat="1" ht="32.15" customHeight="1">
      <c r="A25" s="240" t="s">
        <v>532</v>
      </c>
      <c r="B25" s="237" t="s">
        <v>1078</v>
      </c>
      <c r="C25" s="237" t="s">
        <v>1125</v>
      </c>
    </row>
    <row r="26" spans="1:3" s="238" customFormat="1" ht="40.4" customHeight="1">
      <c r="A26" s="240" t="s">
        <v>681</v>
      </c>
      <c r="B26" s="237" t="s">
        <v>1079</v>
      </c>
      <c r="C26" s="237" t="s">
        <v>1126</v>
      </c>
    </row>
    <row r="27" spans="1:3" s="238" customFormat="1" ht="32.15" customHeight="1">
      <c r="A27" s="239" t="s">
        <v>533</v>
      </c>
      <c r="B27" s="237" t="s">
        <v>1204</v>
      </c>
      <c r="C27" s="237" t="s">
        <v>1205</v>
      </c>
    </row>
    <row r="28" spans="1:3" s="238" customFormat="1" ht="32.15" customHeight="1">
      <c r="A28" s="239" t="s">
        <v>534</v>
      </c>
      <c r="B28" s="237" t="s">
        <v>1080</v>
      </c>
      <c r="C28" s="237" t="s">
        <v>1206</v>
      </c>
    </row>
    <row r="29" spans="1:3" s="238" customFormat="1" ht="32.15" customHeight="1">
      <c r="A29" s="240" t="s">
        <v>1183</v>
      </c>
      <c r="B29" s="237" t="s">
        <v>1184</v>
      </c>
      <c r="C29" s="237" t="s">
        <v>1127</v>
      </c>
    </row>
    <row r="30" spans="1:3" s="238" customFormat="1" ht="50">
      <c r="A30" s="239" t="s">
        <v>682</v>
      </c>
      <c r="B30" s="237" t="s">
        <v>1081</v>
      </c>
      <c r="C30" s="237" t="s">
        <v>1128</v>
      </c>
    </row>
    <row r="31" spans="1:3" s="238" customFormat="1" ht="25">
      <c r="A31" s="239" t="s">
        <v>1082</v>
      </c>
      <c r="B31" s="237" t="s">
        <v>1282</v>
      </c>
      <c r="C31" s="237" t="s">
        <v>1281</v>
      </c>
    </row>
    <row r="32" spans="1:3" s="238" customFormat="1" ht="13">
      <c r="A32" s="239" t="s">
        <v>33</v>
      </c>
      <c r="B32" s="237" t="s">
        <v>1083</v>
      </c>
      <c r="C32" s="237" t="s">
        <v>1129</v>
      </c>
    </row>
    <row r="33" spans="1:3" s="238" customFormat="1" ht="100">
      <c r="A33" s="239" t="s">
        <v>111</v>
      </c>
      <c r="B33" s="237" t="s">
        <v>1207</v>
      </c>
      <c r="C33" s="237" t="s">
        <v>1130</v>
      </c>
    </row>
    <row r="34" spans="1:3" s="238" customFormat="1" ht="62.5">
      <c r="A34" s="239" t="s">
        <v>231</v>
      </c>
      <c r="B34" s="237" t="s">
        <v>1208</v>
      </c>
      <c r="C34" s="237" t="s">
        <v>1131</v>
      </c>
    </row>
    <row r="35" spans="1:3" s="238" customFormat="1" ht="62.5">
      <c r="A35" s="240" t="s">
        <v>683</v>
      </c>
      <c r="B35" s="237" t="s">
        <v>1209</v>
      </c>
      <c r="C35" s="237" t="s">
        <v>1132</v>
      </c>
    </row>
    <row r="36" spans="1:3" ht="50">
      <c r="A36" s="239" t="s">
        <v>684</v>
      </c>
      <c r="B36" s="237" t="s">
        <v>1256</v>
      </c>
      <c r="C36" s="237" t="s">
        <v>1257</v>
      </c>
    </row>
    <row r="37" spans="1:3" ht="26">
      <c r="A37" s="240" t="s">
        <v>91</v>
      </c>
      <c r="B37" s="237" t="s">
        <v>1084</v>
      </c>
      <c r="C37" s="237" t="s">
        <v>1133</v>
      </c>
    </row>
    <row r="38" spans="1:3" ht="62.5">
      <c r="A38" s="239" t="s">
        <v>233</v>
      </c>
      <c r="B38" s="237" t="s">
        <v>1210</v>
      </c>
      <c r="C38" s="237" t="s">
        <v>1134</v>
      </c>
    </row>
    <row r="39" spans="1:3" ht="54.65" customHeight="1">
      <c r="A39" s="239" t="s">
        <v>685</v>
      </c>
      <c r="B39" s="237" t="s">
        <v>1085</v>
      </c>
      <c r="C39" s="237" t="s">
        <v>1211</v>
      </c>
    </row>
    <row r="40" spans="1:3" ht="23.15" customHeight="1">
      <c r="A40" s="239" t="s">
        <v>90</v>
      </c>
      <c r="B40" s="237" t="s">
        <v>1086</v>
      </c>
      <c r="C40" s="237" t="s">
        <v>1135</v>
      </c>
    </row>
    <row r="41" spans="1:3" ht="23.15" customHeight="1">
      <c r="A41" s="239" t="s">
        <v>89</v>
      </c>
      <c r="B41" s="237" t="s">
        <v>1087</v>
      </c>
      <c r="C41" s="237" t="s">
        <v>1136</v>
      </c>
    </row>
    <row r="42" spans="1:3" ht="14">
      <c r="A42" s="239" t="s">
        <v>1212</v>
      </c>
      <c r="B42" s="237"/>
      <c r="C42" s="237"/>
    </row>
    <row r="43" spans="1:3" ht="14">
      <c r="A43" s="241" t="s">
        <v>686</v>
      </c>
      <c r="B43" s="237" t="s">
        <v>1214</v>
      </c>
      <c r="C43" s="237" t="s">
        <v>1213</v>
      </c>
    </row>
    <row r="44" spans="1:3" ht="14">
      <c r="A44" s="241" t="s">
        <v>687</v>
      </c>
      <c r="B44" s="237" t="s">
        <v>1215</v>
      </c>
      <c r="C44" s="237" t="s">
        <v>1217</v>
      </c>
    </row>
    <row r="45" spans="1:3" ht="14">
      <c r="A45" s="241" t="s">
        <v>688</v>
      </c>
      <c r="B45" s="237" t="s">
        <v>1216</v>
      </c>
      <c r="C45" s="237" t="s">
        <v>1218</v>
      </c>
    </row>
    <row r="46" spans="1:3" ht="14">
      <c r="A46" s="241" t="s">
        <v>689</v>
      </c>
      <c r="B46" s="237" t="s">
        <v>1088</v>
      </c>
      <c r="C46" s="237" t="s">
        <v>1137</v>
      </c>
    </row>
    <row r="47" spans="1:3" ht="25">
      <c r="A47" s="241" t="s">
        <v>690</v>
      </c>
      <c r="B47" s="237" t="s">
        <v>1089</v>
      </c>
      <c r="C47" s="237" t="s">
        <v>1138</v>
      </c>
    </row>
    <row r="48" spans="1:3" ht="25">
      <c r="A48" s="241" t="s">
        <v>691</v>
      </c>
      <c r="B48" s="237" t="s">
        <v>1239</v>
      </c>
      <c r="C48" s="237" t="s">
        <v>1240</v>
      </c>
    </row>
    <row r="49" spans="1:3" ht="14">
      <c r="A49" s="241" t="s">
        <v>692</v>
      </c>
      <c r="B49" s="237" t="s">
        <v>1090</v>
      </c>
      <c r="C49" s="237" t="s">
        <v>1140</v>
      </c>
    </row>
    <row r="50" spans="1:3" ht="14">
      <c r="A50" s="239" t="s">
        <v>1219</v>
      </c>
      <c r="B50" s="237"/>
      <c r="C50" s="237"/>
    </row>
    <row r="51" spans="1:3" ht="14">
      <c r="A51" s="241" t="s">
        <v>686</v>
      </c>
      <c r="B51" s="237" t="s">
        <v>1091</v>
      </c>
      <c r="C51" s="237" t="s">
        <v>1141</v>
      </c>
    </row>
    <row r="52" spans="1:3" ht="14">
      <c r="A52" s="241" t="s">
        <v>687</v>
      </c>
      <c r="B52" s="237" t="s">
        <v>1092</v>
      </c>
      <c r="C52" s="237" t="s">
        <v>1142</v>
      </c>
    </row>
    <row r="53" spans="1:3" ht="14">
      <c r="A53" s="241" t="s">
        <v>688</v>
      </c>
      <c r="B53" s="237" t="s">
        <v>1093</v>
      </c>
      <c r="C53" s="237" t="s">
        <v>1143</v>
      </c>
    </row>
    <row r="54" spans="1:3" ht="14">
      <c r="A54" s="241" t="s">
        <v>689</v>
      </c>
      <c r="B54" s="237" t="s">
        <v>1088</v>
      </c>
      <c r="C54" s="237" t="s">
        <v>1137</v>
      </c>
    </row>
    <row r="55" spans="1:3" ht="25">
      <c r="A55" s="241" t="s">
        <v>690</v>
      </c>
      <c r="B55" s="237" t="s">
        <v>1094</v>
      </c>
      <c r="C55" s="237" t="s">
        <v>1144</v>
      </c>
    </row>
    <row r="56" spans="1:3" ht="25">
      <c r="A56" s="241" t="s">
        <v>691</v>
      </c>
      <c r="B56" s="237" t="s">
        <v>1095</v>
      </c>
      <c r="C56" s="237" t="s">
        <v>1139</v>
      </c>
    </row>
    <row r="57" spans="1:3" ht="14">
      <c r="A57" s="241" t="s">
        <v>692</v>
      </c>
      <c r="B57" s="237" t="s">
        <v>1090</v>
      </c>
      <c r="C57" s="237" t="s">
        <v>1140</v>
      </c>
    </row>
    <row r="58" spans="1:3" ht="14">
      <c r="A58" s="239" t="s">
        <v>1220</v>
      </c>
      <c r="B58" s="237"/>
      <c r="C58" s="237"/>
    </row>
    <row r="59" spans="1:3" ht="14">
      <c r="A59" s="241" t="s">
        <v>686</v>
      </c>
      <c r="B59" s="237" t="s">
        <v>1096</v>
      </c>
      <c r="C59" s="237" t="s">
        <v>1145</v>
      </c>
    </row>
    <row r="60" spans="1:3" ht="14">
      <c r="A60" s="241" t="s">
        <v>687</v>
      </c>
      <c r="B60" s="237" t="s">
        <v>1097</v>
      </c>
      <c r="C60" s="237" t="s">
        <v>1146</v>
      </c>
    </row>
    <row r="61" spans="1:3" ht="25">
      <c r="A61" s="241" t="s">
        <v>688</v>
      </c>
      <c r="B61" s="237" t="s">
        <v>1098</v>
      </c>
      <c r="C61" s="237" t="s">
        <v>1147</v>
      </c>
    </row>
    <row r="62" spans="1:3" ht="14">
      <c r="A62" s="241" t="s">
        <v>689</v>
      </c>
      <c r="B62" s="237" t="s">
        <v>1088</v>
      </c>
      <c r="C62" s="237" t="s">
        <v>1137</v>
      </c>
    </row>
    <row r="63" spans="1:3" ht="25">
      <c r="A63" s="241" t="s">
        <v>690</v>
      </c>
      <c r="B63" s="237" t="s">
        <v>1094</v>
      </c>
      <c r="C63" s="237" t="s">
        <v>1144</v>
      </c>
    </row>
    <row r="64" spans="1:3" ht="14">
      <c r="A64" s="241" t="s">
        <v>691</v>
      </c>
      <c r="B64" s="237" t="s">
        <v>1099</v>
      </c>
      <c r="C64" s="237" t="s">
        <v>1148</v>
      </c>
    </row>
    <row r="65" spans="1:3" ht="14">
      <c r="A65" s="241" t="s">
        <v>692</v>
      </c>
      <c r="B65" s="237" t="s">
        <v>1101</v>
      </c>
      <c r="C65" s="237" t="s">
        <v>1149</v>
      </c>
    </row>
    <row r="66" spans="1:3" ht="14">
      <c r="A66" s="239" t="s">
        <v>152</v>
      </c>
      <c r="B66" s="237"/>
      <c r="C66" s="237"/>
    </row>
    <row r="67" spans="1:3" ht="14">
      <c r="A67" s="241" t="s">
        <v>686</v>
      </c>
      <c r="B67" s="237" t="s">
        <v>1100</v>
      </c>
      <c r="C67" s="237" t="s">
        <v>1150</v>
      </c>
    </row>
    <row r="68" spans="1:3" ht="14">
      <c r="A68" s="241" t="s">
        <v>687</v>
      </c>
      <c r="B68" s="237" t="s">
        <v>1102</v>
      </c>
      <c r="C68" s="237" t="s">
        <v>1151</v>
      </c>
    </row>
    <row r="69" spans="1:3" ht="14">
      <c r="A69" s="241" t="s">
        <v>688</v>
      </c>
      <c r="B69" s="237" t="s">
        <v>1103</v>
      </c>
      <c r="C69" s="237" t="s">
        <v>1152</v>
      </c>
    </row>
    <row r="70" spans="1:3" ht="14">
      <c r="A70" s="241" t="s">
        <v>689</v>
      </c>
      <c r="B70" s="237" t="s">
        <v>1088</v>
      </c>
      <c r="C70" s="237" t="s">
        <v>1137</v>
      </c>
    </row>
    <row r="71" spans="1:3" ht="25">
      <c r="A71" s="241" t="s">
        <v>690</v>
      </c>
      <c r="B71" s="237" t="s">
        <v>1094</v>
      </c>
      <c r="C71" s="237" t="s">
        <v>1144</v>
      </c>
    </row>
    <row r="72" spans="1:3" ht="25">
      <c r="A72" s="241" t="s">
        <v>691</v>
      </c>
      <c r="B72" s="237" t="s">
        <v>1095</v>
      </c>
      <c r="C72" s="237" t="s">
        <v>1139</v>
      </c>
    </row>
    <row r="73" spans="1:3" ht="14">
      <c r="A73" s="241" t="s">
        <v>692</v>
      </c>
      <c r="B73" s="237" t="s">
        <v>1090</v>
      </c>
      <c r="C73" s="237" t="s">
        <v>1140</v>
      </c>
    </row>
    <row r="74" spans="1:3" ht="14">
      <c r="A74" s="239" t="s">
        <v>1221</v>
      </c>
      <c r="B74" s="237"/>
      <c r="C74" s="237"/>
    </row>
    <row r="75" spans="1:3" ht="14">
      <c r="A75" s="241" t="s">
        <v>686</v>
      </c>
      <c r="B75" s="237" t="s">
        <v>1104</v>
      </c>
      <c r="C75" s="237" t="s">
        <v>1153</v>
      </c>
    </row>
    <row r="76" spans="1:3" ht="14">
      <c r="A76" s="241" t="s">
        <v>687</v>
      </c>
      <c r="B76" s="237" t="s">
        <v>1105</v>
      </c>
      <c r="C76" s="237" t="s">
        <v>1154</v>
      </c>
    </row>
    <row r="77" spans="1:3" ht="14">
      <c r="A77" s="241" t="s">
        <v>688</v>
      </c>
      <c r="B77" s="237" t="s">
        <v>1106</v>
      </c>
      <c r="C77" s="237" t="s">
        <v>1155</v>
      </c>
    </row>
    <row r="78" spans="1:3" ht="14">
      <c r="A78" s="241" t="s">
        <v>689</v>
      </c>
      <c r="B78" s="237" t="s">
        <v>1088</v>
      </c>
      <c r="C78" s="237" t="s">
        <v>1137</v>
      </c>
    </row>
    <row r="79" spans="1:3" ht="25">
      <c r="A79" s="241" t="s">
        <v>690</v>
      </c>
      <c r="B79" s="237" t="s">
        <v>1094</v>
      </c>
      <c r="C79" s="237" t="s">
        <v>1144</v>
      </c>
    </row>
    <row r="80" spans="1:3" ht="14">
      <c r="A80" s="241" t="s">
        <v>691</v>
      </c>
      <c r="B80" s="237" t="s">
        <v>1099</v>
      </c>
      <c r="C80" s="237" t="s">
        <v>1148</v>
      </c>
    </row>
    <row r="81" spans="1:3" ht="14">
      <c r="A81" s="241" t="s">
        <v>692</v>
      </c>
      <c r="B81" s="237" t="s">
        <v>1107</v>
      </c>
      <c r="C81" s="237" t="s">
        <v>1149</v>
      </c>
    </row>
    <row r="82" spans="1:3">
      <c r="A82" s="242" t="s">
        <v>693</v>
      </c>
      <c r="B82" s="243"/>
      <c r="C82" s="243"/>
    </row>
    <row r="83" spans="1:3" ht="14">
      <c r="A83" s="241" t="s">
        <v>738</v>
      </c>
      <c r="B83" s="237" t="s">
        <v>1108</v>
      </c>
      <c r="C83" s="237" t="s">
        <v>1223</v>
      </c>
    </row>
    <row r="84" spans="1:3" ht="14">
      <c r="A84" s="241" t="s">
        <v>156</v>
      </c>
      <c r="B84" s="237" t="s">
        <v>1108</v>
      </c>
      <c r="C84" s="237" t="s">
        <v>1224</v>
      </c>
    </row>
    <row r="85" spans="1:3" ht="14">
      <c r="A85" s="241" t="s">
        <v>124</v>
      </c>
      <c r="B85" s="237" t="s">
        <v>1109</v>
      </c>
      <c r="C85" s="237" t="s">
        <v>1156</v>
      </c>
    </row>
    <row r="86" spans="1:3" ht="14">
      <c r="A86" s="241" t="s">
        <v>694</v>
      </c>
      <c r="B86" s="237" t="s">
        <v>1110</v>
      </c>
      <c r="C86" s="237" t="s">
        <v>1157</v>
      </c>
    </row>
    <row r="87" spans="1:3" ht="14">
      <c r="A87" s="241" t="s">
        <v>125</v>
      </c>
      <c r="B87" s="237" t="s">
        <v>1108</v>
      </c>
      <c r="C87" s="237" t="s">
        <v>1224</v>
      </c>
    </row>
    <row r="88" spans="1:3" ht="14">
      <c r="A88" s="241" t="s">
        <v>594</v>
      </c>
      <c r="B88" s="237" t="s">
        <v>1111</v>
      </c>
      <c r="C88" s="237" t="s">
        <v>1158</v>
      </c>
    </row>
    <row r="89" spans="1:3" ht="14">
      <c r="A89" s="241" t="s">
        <v>127</v>
      </c>
      <c r="B89" s="237" t="s">
        <v>1111</v>
      </c>
      <c r="C89" s="237" t="s">
        <v>1159</v>
      </c>
    </row>
    <row r="90" spans="1:3" ht="14">
      <c r="A90" s="241" t="s">
        <v>128</v>
      </c>
      <c r="B90" s="237" t="s">
        <v>1108</v>
      </c>
      <c r="C90" s="237" t="s">
        <v>1224</v>
      </c>
    </row>
    <row r="91" spans="1:3" ht="62.5">
      <c r="A91" s="241" t="s">
        <v>1312</v>
      </c>
      <c r="B91" s="237" t="s">
        <v>1314</v>
      </c>
      <c r="C91" s="237" t="s">
        <v>1313</v>
      </c>
    </row>
    <row r="92" spans="1:3" ht="25">
      <c r="A92" s="241" t="s">
        <v>136</v>
      </c>
      <c r="B92" s="237" t="s">
        <v>1112</v>
      </c>
      <c r="C92" s="237" t="s">
        <v>1160</v>
      </c>
    </row>
    <row r="93" spans="1:3" ht="26">
      <c r="A93" s="244" t="s">
        <v>695</v>
      </c>
      <c r="B93" s="237" t="s">
        <v>1113</v>
      </c>
      <c r="C93" s="237" t="s">
        <v>1161</v>
      </c>
    </row>
    <row r="94" spans="1:3" ht="14">
      <c r="A94" s="241" t="s">
        <v>1222</v>
      </c>
      <c r="B94" s="237" t="s">
        <v>1185</v>
      </c>
      <c r="C94" s="237" t="s">
        <v>1225</v>
      </c>
    </row>
    <row r="95" spans="1:3" ht="26">
      <c r="A95" s="244" t="s">
        <v>696</v>
      </c>
      <c r="B95" s="237" t="s">
        <v>1186</v>
      </c>
      <c r="C95" s="237" t="s">
        <v>1226</v>
      </c>
    </row>
    <row r="96" spans="1:3" ht="25">
      <c r="A96" s="244" t="s">
        <v>697</v>
      </c>
      <c r="B96" s="237" t="s">
        <v>1187</v>
      </c>
      <c r="C96" s="237" t="s">
        <v>1227</v>
      </c>
    </row>
    <row r="97" spans="1:3" ht="14">
      <c r="A97" s="241" t="s">
        <v>698</v>
      </c>
      <c r="B97" s="237" t="s">
        <v>1188</v>
      </c>
      <c r="C97" s="237" t="s">
        <v>1228</v>
      </c>
    </row>
    <row r="98" spans="1:3" ht="25">
      <c r="A98" s="241" t="s">
        <v>163</v>
      </c>
      <c r="B98" s="237" t="s">
        <v>1189</v>
      </c>
      <c r="C98" s="237" t="s">
        <v>1229</v>
      </c>
    </row>
    <row r="99" spans="1:3" ht="25">
      <c r="A99" s="241" t="s">
        <v>699</v>
      </c>
      <c r="B99" s="237" t="s">
        <v>1190</v>
      </c>
      <c r="C99" s="237" t="s">
        <v>1230</v>
      </c>
    </row>
    <row r="100" spans="1:3" ht="25">
      <c r="A100" s="241" t="s">
        <v>700</v>
      </c>
      <c r="B100" s="237" t="s">
        <v>1191</v>
      </c>
      <c r="C100" s="237" t="s">
        <v>1231</v>
      </c>
    </row>
    <row r="101" spans="1:3" ht="14">
      <c r="A101" s="241" t="s">
        <v>592</v>
      </c>
      <c r="B101" s="237" t="s">
        <v>701</v>
      </c>
      <c r="C101" s="237" t="s">
        <v>701</v>
      </c>
    </row>
    <row r="102" spans="1:3" ht="14">
      <c r="A102" s="241" t="s">
        <v>139</v>
      </c>
      <c r="B102" s="237" t="s">
        <v>1236</v>
      </c>
      <c r="C102" s="237" t="s">
        <v>1235</v>
      </c>
    </row>
    <row r="103" spans="1:3" ht="14">
      <c r="A103" s="241" t="s">
        <v>141</v>
      </c>
      <c r="B103" s="237" t="s">
        <v>1114</v>
      </c>
      <c r="C103" s="237" t="s">
        <v>1162</v>
      </c>
    </row>
    <row r="104" spans="1:3" ht="14">
      <c r="A104" s="241" t="s">
        <v>166</v>
      </c>
      <c r="B104" s="237" t="s">
        <v>1192</v>
      </c>
      <c r="C104" s="237" t="s">
        <v>1232</v>
      </c>
    </row>
    <row r="105" spans="1:3" ht="30.65" customHeight="1">
      <c r="A105" s="244" t="s">
        <v>167</v>
      </c>
      <c r="B105" s="237" t="s">
        <v>1193</v>
      </c>
      <c r="C105" s="237" t="s">
        <v>1233</v>
      </c>
    </row>
    <row r="106" spans="1:3" ht="15" customHeight="1">
      <c r="A106" s="241" t="s">
        <v>165</v>
      </c>
      <c r="B106" s="237" t="s">
        <v>1194</v>
      </c>
      <c r="C106" s="237" t="s">
        <v>1234</v>
      </c>
    </row>
    <row r="107" spans="1:3" ht="65.150000000000006" customHeight="1">
      <c r="A107" s="244" t="s">
        <v>702</v>
      </c>
      <c r="B107" s="237" t="s">
        <v>703</v>
      </c>
      <c r="C107" s="237" t="s">
        <v>703</v>
      </c>
    </row>
    <row r="108" spans="1:3" ht="37.5">
      <c r="A108" s="241" t="s">
        <v>704</v>
      </c>
      <c r="B108" s="237" t="s">
        <v>705</v>
      </c>
      <c r="C108" s="237" t="s">
        <v>705</v>
      </c>
    </row>
    <row r="109" spans="1:3" ht="51.5">
      <c r="A109" s="241" t="s">
        <v>706</v>
      </c>
      <c r="B109" s="237" t="s">
        <v>707</v>
      </c>
      <c r="C109" s="237" t="s">
        <v>707</v>
      </c>
    </row>
    <row r="110" spans="1:3" ht="50.65" customHeight="1">
      <c r="A110" s="241" t="s">
        <v>708</v>
      </c>
      <c r="B110" s="237" t="s">
        <v>709</v>
      </c>
      <c r="C110" s="237" t="s">
        <v>709</v>
      </c>
    </row>
    <row r="113" spans="1:3">
      <c r="A113" s="30" t="s">
        <v>710</v>
      </c>
    </row>
    <row r="114" spans="1:3" ht="50">
      <c r="A114" s="245" t="s">
        <v>711</v>
      </c>
      <c r="B114" s="237" t="s">
        <v>1115</v>
      </c>
      <c r="C114" s="237" t="s">
        <v>1163</v>
      </c>
    </row>
  </sheetData>
  <sheetProtection algorithmName="SHA-512" hashValue="cI8sdpKllMDrcXs3uqb05F5TZ/fFdZDs2NNtczpLB/lCkWDpykVfHytk+K35WOK6SWWdKcCuf3DB8//p9qcO+g==" saltValue="qrVLhPFpe5HiYzQ/RwHxLQ==" spinCount="100000" sheet="1" objects="1" scenarios="1"/>
  <pageMargins left="0.70866141732283472" right="0.70866141732283472" top="0.74803149606299213" bottom="0.74803149606299213" header="0.31496062992125984" footer="0.31496062992125984"/>
  <pageSetup paperSize="9" scale="53" fitToHeight="0" orientation="landscape"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F9174-6915-491E-AD42-153BF1B2C929}">
  <sheetPr codeName="Ark12">
    <tabColor theme="6" tint="0.59999389629810485"/>
    <pageSetUpPr fitToPage="1"/>
  </sheetPr>
  <dimension ref="A1:AL100"/>
  <sheetViews>
    <sheetView zoomScale="85" zoomScaleNormal="85" workbookViewId="0">
      <selection activeCell="K1" sqref="K1:K1048576"/>
    </sheetView>
  </sheetViews>
  <sheetFormatPr defaultRowHeight="14"/>
  <cols>
    <col min="1" max="1" width="9" style="265"/>
    <col min="2" max="2" width="29.08203125" customWidth="1"/>
    <col min="3" max="3" width="19.5" customWidth="1"/>
    <col min="4" max="4" width="13.08203125" customWidth="1"/>
    <col min="5" max="5" width="13.75" customWidth="1"/>
    <col min="6" max="6" width="28.58203125" customWidth="1"/>
    <col min="7" max="8" width="17.58203125" customWidth="1"/>
    <col min="9" max="9" width="20.58203125" customWidth="1"/>
    <col min="10" max="10" width="40.58203125" style="265" customWidth="1"/>
    <col min="11" max="11" width="9" style="265" hidden="1" customWidth="1"/>
    <col min="12" max="38" width="9" style="265"/>
  </cols>
  <sheetData>
    <row r="1" spans="2:11" s="265" customFormat="1" ht="24.5">
      <c r="B1" s="447"/>
      <c r="C1" s="447"/>
      <c r="D1" s="447"/>
      <c r="E1" s="447"/>
      <c r="F1" s="447"/>
      <c r="G1" s="447"/>
      <c r="H1" s="447"/>
      <c r="I1" s="447"/>
    </row>
    <row r="2" spans="2:11" s="265" customFormat="1" ht="53.65" customHeight="1" thickBot="1">
      <c r="B2" s="448" t="s">
        <v>1941</v>
      </c>
      <c r="C2" s="449"/>
      <c r="D2" s="449"/>
      <c r="E2" s="449"/>
      <c r="F2" s="449"/>
      <c r="G2" s="449"/>
      <c r="H2" s="449"/>
      <c r="I2" s="449"/>
    </row>
    <row r="3" spans="2:11" ht="53.65" customHeight="1" thickBot="1">
      <c r="B3" s="453" t="s">
        <v>1921</v>
      </c>
      <c r="C3" s="454"/>
      <c r="D3" s="455" t="str">
        <f>IFERROR(IF(AND(I5&lt;&gt;"",
            OR(C7&lt;&gt;"", LEN(TRIM(J7))&gt;0),
            G5&lt;&gt;"",
            C9&lt;&gt;0,
            C12&lt;&gt;0,
            C13&lt;&gt;"",
            F12&lt;&gt;0,
            F13&lt;&gt;"",
            D20&lt;&gt;"",
            D22&lt;&gt;0,
            H35&lt;&gt;""),
        "✅ ReAp fields are completed",
        "❌ ReAp fields are missing data – Please fill in the yellow cells"),
    "❌ ReAp fields are missing data – Please fill in the yellow cells")</f>
        <v>❌ ReAp fields are missing data – Please fill in the yellow cells</v>
      </c>
      <c r="E3" s="455"/>
      <c r="F3" s="455"/>
      <c r="G3" s="455"/>
      <c r="H3" s="455"/>
      <c r="I3" s="456"/>
    </row>
    <row r="4" spans="2:11" s="265" customFormat="1" ht="15" customHeight="1" thickBot="1">
      <c r="B4" s="412"/>
      <c r="C4" s="413"/>
      <c r="D4" s="413"/>
      <c r="E4" s="413"/>
      <c r="F4" s="413"/>
      <c r="G4" s="413"/>
      <c r="H4" s="413"/>
      <c r="I4" s="413"/>
    </row>
    <row r="5" spans="2:11" ht="31.4" customHeight="1" thickBot="1">
      <c r="B5" s="405" t="s">
        <v>738</v>
      </c>
      <c r="C5" s="403">
        <f>+'B1'!C4</f>
        <v>0</v>
      </c>
      <c r="D5" s="406" t="s">
        <v>156</v>
      </c>
      <c r="E5" s="404">
        <f>+'B1'!C2</f>
        <v>0</v>
      </c>
      <c r="F5" s="405" t="s">
        <v>124</v>
      </c>
      <c r="G5" s="196"/>
      <c r="H5" s="405" t="s">
        <v>529</v>
      </c>
      <c r="I5" s="197"/>
      <c r="K5" s="265">
        <f>IF(OR('Cover letter'!I5&gt;0,LEN(I5)&lt;3),1,0)</f>
        <v>1</v>
      </c>
    </row>
    <row r="6" spans="2:11" ht="24" customHeight="1" thickBot="1">
      <c r="B6" s="407" t="s">
        <v>125</v>
      </c>
      <c r="C6" s="450">
        <f>+'B1'!C3</f>
        <v>0</v>
      </c>
      <c r="D6" s="451"/>
      <c r="E6" s="451"/>
      <c r="F6" s="451"/>
      <c r="G6" s="451"/>
      <c r="H6" s="451"/>
      <c r="I6" s="452"/>
    </row>
    <row r="7" spans="2:11" ht="24" customHeight="1" thickBot="1">
      <c r="B7" s="407" t="s">
        <v>126</v>
      </c>
      <c r="C7" s="444"/>
      <c r="D7" s="445"/>
      <c r="E7" s="445"/>
      <c r="F7" s="445"/>
      <c r="G7" s="445"/>
      <c r="H7" s="445"/>
      <c r="I7" s="446"/>
      <c r="J7" s="265" t="str" cm="1">
        <f t="array" ref="J7">IF(IF(IF(C7="",Tabel21[Grant source])=0,"",IF(C7="",Tabel21[Grant source]))=FALSE,"",IF(IF(C7="",Tabel21[Grant source])=0,"",IF(C7="",Tabel21[Grant source])))</f>
        <v/>
      </c>
      <c r="K7" s="265" t="str">
        <f>IF(ISBLANK(C7),J7,_xlfn.XLOOKUP(C7,GrantSource!C:C,GrantSource!A:A))</f>
        <v/>
      </c>
    </row>
    <row r="8" spans="2:11" ht="24" customHeight="1" thickBot="1">
      <c r="B8" s="407" t="s">
        <v>127</v>
      </c>
      <c r="C8" s="444"/>
      <c r="D8" s="445"/>
      <c r="E8" s="445"/>
      <c r="F8" s="445"/>
      <c r="G8" s="445"/>
      <c r="H8" s="445"/>
      <c r="I8" s="446"/>
      <c r="J8" s="265" t="str" cm="1">
        <f t="array" ref="J8">IF(IF(IF(C8="",Tabel21[Instrument])=0,"",IF(C8="",Tabel21[Instrument]))=FALSE,"",IF(IF(C8="",Tabel21[Instrument])=0,"",IF(C8="",Tabel21[Instrument])))</f>
        <v/>
      </c>
      <c r="K8" s="265" t="str">
        <f>IF(ISBLANK(C8),J8,C8)</f>
        <v/>
      </c>
    </row>
    <row r="9" spans="2:11" ht="75" customHeight="1" thickBot="1">
      <c r="B9" s="407" t="s">
        <v>128</v>
      </c>
      <c r="C9" s="409">
        <f>+'B1'!H8</f>
        <v>0</v>
      </c>
      <c r="D9" s="457" t="s">
        <v>1381</v>
      </c>
      <c r="E9" s="458"/>
      <c r="F9" s="391"/>
      <c r="G9" s="405" t="s">
        <v>1315</v>
      </c>
      <c r="H9" s="470"/>
      <c r="I9" s="471"/>
    </row>
    <row r="10" spans="2:11" ht="24" customHeight="1" thickBot="1">
      <c r="B10" s="407" t="s">
        <v>129</v>
      </c>
      <c r="C10" s="444"/>
      <c r="D10" s="445"/>
      <c r="E10" s="445"/>
      <c r="F10" s="445"/>
      <c r="G10" s="445"/>
      <c r="H10" s="445"/>
      <c r="I10" s="446"/>
    </row>
    <row r="11" spans="2:11" ht="31.4" customHeight="1" thickBot="1">
      <c r="B11" s="407" t="s">
        <v>758</v>
      </c>
      <c r="C11" s="198"/>
      <c r="D11" s="457" t="s">
        <v>585</v>
      </c>
      <c r="E11" s="458"/>
      <c r="F11" s="444"/>
      <c r="G11" s="445"/>
      <c r="H11" s="445"/>
      <c r="I11" s="446"/>
    </row>
    <row r="12" spans="2:11" ht="24" customHeight="1" thickBot="1">
      <c r="B12" s="407" t="s">
        <v>1307</v>
      </c>
      <c r="C12" s="410">
        <f>+'B1'!C9</f>
        <v>0</v>
      </c>
      <c r="D12" s="457" t="s">
        <v>1308</v>
      </c>
      <c r="E12" s="458"/>
      <c r="F12" s="459">
        <f>+'B1'!H9</f>
        <v>0</v>
      </c>
      <c r="G12" s="460"/>
      <c r="H12" s="461"/>
      <c r="I12" s="462"/>
    </row>
    <row r="13" spans="2:11" ht="24" customHeight="1" thickBot="1">
      <c r="B13" s="406" t="s">
        <v>1062</v>
      </c>
      <c r="C13" s="422"/>
      <c r="D13" s="457" t="s">
        <v>1063</v>
      </c>
      <c r="E13" s="458"/>
      <c r="F13" s="463"/>
      <c r="G13" s="464"/>
      <c r="H13" s="465"/>
      <c r="I13" s="466"/>
    </row>
    <row r="14" spans="2:11" ht="119.65" customHeight="1" thickBot="1">
      <c r="B14" s="408" t="s">
        <v>131</v>
      </c>
      <c r="C14" s="467"/>
      <c r="D14" s="468"/>
      <c r="E14" s="468"/>
      <c r="F14" s="468"/>
      <c r="G14" s="468"/>
      <c r="H14" s="468"/>
      <c r="I14" s="469"/>
    </row>
    <row r="15" spans="2:11" ht="29.65" customHeight="1" thickBot="1">
      <c r="B15" s="407" t="s">
        <v>132</v>
      </c>
      <c r="C15" s="444"/>
      <c r="D15" s="445"/>
      <c r="E15" s="445"/>
      <c r="F15" s="445"/>
      <c r="G15" s="445"/>
      <c r="H15" s="445"/>
      <c r="I15" s="446"/>
    </row>
    <row r="16" spans="2:11" ht="24" customHeight="1" thickBot="1">
      <c r="B16" s="407" t="s">
        <v>133</v>
      </c>
      <c r="C16" s="444"/>
      <c r="D16" s="445"/>
      <c r="E16" s="445"/>
      <c r="F16" s="445"/>
      <c r="G16" s="445"/>
      <c r="H16" s="445"/>
      <c r="I16" s="446"/>
    </row>
    <row r="17" spans="2:9" ht="47.65" customHeight="1" thickBot="1">
      <c r="B17" s="407" t="s">
        <v>134</v>
      </c>
      <c r="C17" s="444"/>
      <c r="D17" s="445"/>
      <c r="E17" s="445"/>
      <c r="F17" s="445"/>
      <c r="G17" s="445"/>
      <c r="H17" s="445"/>
      <c r="I17" s="446"/>
    </row>
    <row r="18" spans="2:9" ht="18" thickBot="1">
      <c r="B18" s="475" t="s">
        <v>169</v>
      </c>
      <c r="C18" s="476"/>
      <c r="D18" s="476"/>
      <c r="E18" s="476"/>
      <c r="F18" s="476"/>
      <c r="G18" s="476"/>
      <c r="H18" s="476"/>
      <c r="I18" s="477"/>
    </row>
    <row r="19" spans="2:9" ht="38.15" customHeight="1" thickBot="1">
      <c r="B19" s="457" t="s">
        <v>136</v>
      </c>
      <c r="C19" s="458"/>
      <c r="D19" s="444"/>
      <c r="E19" s="445"/>
      <c r="F19" s="445"/>
      <c r="G19" s="445"/>
      <c r="H19" s="445"/>
      <c r="I19" s="446"/>
    </row>
    <row r="20" spans="2:9" ht="23.65" customHeight="1" thickBot="1">
      <c r="B20" s="457" t="s">
        <v>137</v>
      </c>
      <c r="C20" s="458"/>
      <c r="D20" s="478"/>
      <c r="E20" s="479"/>
      <c r="F20" s="480"/>
      <c r="G20" s="481"/>
      <c r="H20" s="481"/>
      <c r="I20" s="482"/>
    </row>
    <row r="21" spans="2:9" ht="23.65" customHeight="1" thickBot="1">
      <c r="B21" s="457" t="s">
        <v>589</v>
      </c>
      <c r="C21" s="458"/>
      <c r="D21" s="486">
        <f>+IF('B1'!C2='Cover letter ECE_MPE'!E5,'B1'!AC73,0)+IF('B2'!C2='Cover letter ECE_MPE'!E5,'B2'!AC73,0)+IF('B3'!C2='Cover letter ECE_MPE'!E5,'B3'!AC73,0)+IF('B4'!C2='Cover letter ECE_MPE'!E5,'B4'!AC73,0)+IF('B5'!C2='Cover letter ECE_MPE'!E5,'B5'!AC73,0)</f>
        <v>0</v>
      </c>
      <c r="E21" s="487"/>
      <c r="F21" s="483"/>
      <c r="G21" s="484"/>
      <c r="H21" s="484"/>
      <c r="I21" s="485"/>
    </row>
    <row r="22" spans="2:9" ht="28.5" customHeight="1" thickBot="1">
      <c r="B22" s="457" t="s">
        <v>138</v>
      </c>
      <c r="C22" s="458"/>
      <c r="D22" s="486">
        <f>+IF(E5='B1'!C2,'B1'!AC89,0)+IF(E5='B2'!C2,'B2'!AC89,0)+IF(E5='B3'!C2,'B3'!AC89,0)+IF(E5='B4'!C2,'B4'!AC89,0)+IF(E5='B5'!C2,'B5'!AC89,0)</f>
        <v>0</v>
      </c>
      <c r="E22" s="487"/>
      <c r="F22" s="483"/>
      <c r="G22" s="484"/>
      <c r="H22" s="484"/>
      <c r="I22" s="485"/>
    </row>
    <row r="23" spans="2:9" ht="28.5" customHeight="1" thickBot="1">
      <c r="B23" s="457" t="s">
        <v>1249</v>
      </c>
      <c r="C23" s="458"/>
      <c r="D23" s="486">
        <f>+IF(E5='B1'!C2,SUM('B1'!AC85:AC88),0)+IF(E5='B2'!C2,SUM('B2'!AC85:AC88),0)+IF(E5='B3'!C2,SUM('B3'!AC85:AC88),0)+IF(E5='B4'!C2,SUM('B4'!AC85:AC88),0)+IF(E5='B5'!C2,SUM('B5'!AC85:AC88),0)</f>
        <v>0</v>
      </c>
      <c r="E23" s="487"/>
      <c r="F23" s="483"/>
      <c r="G23" s="484"/>
      <c r="H23" s="484"/>
      <c r="I23" s="485"/>
    </row>
    <row r="24" spans="2:9" ht="28.5" customHeight="1" thickBot="1">
      <c r="B24" s="457" t="s">
        <v>157</v>
      </c>
      <c r="C24" s="458"/>
      <c r="D24" s="486">
        <f>+IF('B1'!C2='Cover letter ECE_MPE'!E5,SUMIF('B1'!O20:O55,Lister!D30,'B1'!AC20:AC56),0)+IF('B2'!C2='Cover letter ECE_MPE'!E5,SUMIF('B2'!O20:O55,Lister!D30,'B2'!AC20:AC56),0)+IF('B3'!C2='Cover letter ECE_MPE'!E5,SUMIF('B3'!O20:O55,Lister!D30,'B3'!AC20:AC56),0)+IF('B4'!C2='Cover letter ECE_MPE'!E5,SUMIF('B4'!O20:O55,Lister!D30,'B4'!AC20:AC56),0)+IF('B5'!C2='Cover letter ECE_MPE'!E5,SUMIF('B5'!O20:O55,Lister!D30,'B5'!AC20:AC56),0)</f>
        <v>0</v>
      </c>
      <c r="E24" s="487"/>
      <c r="F24" s="483"/>
      <c r="G24" s="484"/>
      <c r="H24" s="484"/>
      <c r="I24" s="485"/>
    </row>
    <row r="25" spans="2:9" ht="28.5" customHeight="1" thickBot="1">
      <c r="B25" s="457" t="s">
        <v>163</v>
      </c>
      <c r="C25" s="458"/>
      <c r="D25" s="486">
        <f>(IF('B1'!C2='Cover letter ECE_MPE'!E5,SUMIF('B1'!O62:O74,Lister!D30,'B1'!M62:M74),0)+IF('B2'!C2='Cover letter ECE_MPE'!E5,SUMIF('B2'!O62:O74,Lister!D30,'B2'!M62:M74),0)+IF('B3'!C2='Cover letter ECE_MPE'!E5,SUMIF('B3'!O62:O74,Lister!D30,'B3'!M62:M74),0)+IF('B4'!C2='Cover letter ECE_MPE'!E5,SUMIF('B4'!O62:O74,Lister!D30,'B4'!M62:M74),0)+IF('B5'!C2='Cover letter ECE_MPE'!E5,SUMIF('B5'!O62:O74,Lister!D30,'B5'!M62:M74),0))</f>
        <v>0</v>
      </c>
      <c r="E25" s="487"/>
      <c r="F25" s="483"/>
      <c r="G25" s="484"/>
      <c r="H25" s="484"/>
      <c r="I25" s="485"/>
    </row>
    <row r="26" spans="2:9" ht="28.5" customHeight="1" thickBot="1">
      <c r="B26" s="457" t="s">
        <v>164</v>
      </c>
      <c r="C26" s="458"/>
      <c r="D26" s="486">
        <f>+IF('B1'!C2='Cover letter ECE_MPE'!E5,SUMIF('B1'!O20:O55,Lister!D31,'B1'!AC20:AC56),0)+IF('B2'!C2='Cover letter ECE_MPE'!E5,SUMIF('B2'!O20:O55,Lister!D31,'B2'!AC20:AC56),0)+IF('B3'!C2='Cover letter ECE_MPE'!E5,SUMIF('B3'!O20:O55,Lister!D31,'B3'!AC20:AC56),0)+IF('B4'!C2='Cover letter ECE_MPE'!E5,SUMIF('B4'!O20:O55,Lister!D31,'B4'!AC20:AC56),0)+IF('B5'!C2='Cover letter ECE_MPE'!E5,SUMIF('B5'!O20:O55,Lister!D31,'B5'!AC20:AC56),0)</f>
        <v>0</v>
      </c>
      <c r="E26" s="487"/>
      <c r="F26" s="419" t="s">
        <v>592</v>
      </c>
      <c r="G26" s="421" t="e">
        <f>+(D26+D27)/D21</f>
        <v>#DIV/0!</v>
      </c>
      <c r="H26" s="490"/>
      <c r="I26" s="491"/>
    </row>
    <row r="27" spans="2:9" ht="28.5" customHeight="1" thickBot="1">
      <c r="B27" s="457" t="s">
        <v>161</v>
      </c>
      <c r="C27" s="458"/>
      <c r="D27" s="486">
        <f>+IF('B1'!C2='Cover letter ECE_MPE'!E5,SUMIF('B1'!O62:O74,Lister!D31,'B1'!M62:M74),0)+IF('B2'!C2='Cover letter ECE_MPE'!E5,SUMIF('B2'!O62:O74,Lister!D31,'B2'!M62:M74),0)+IF('B3'!C2='Cover letter ECE_MPE'!E5,SUMIF('B3'!O62:O74,Lister!D31,'B3'!M62:M74),0)+IF('B4'!C2='Cover letter ECE_MPE'!E5,SUMIF('B4'!O62:O74,Lister!D31,'B4'!M62:M74),0)+IF('B5'!C2='Cover letter ECE_MPE'!E5,SUMIF('B5'!O62:O74,Lister!D31,'B5'!M62:M74),0)</f>
        <v>0</v>
      </c>
      <c r="E27" s="487"/>
      <c r="F27" s="492"/>
      <c r="G27" s="493"/>
      <c r="H27" s="493"/>
      <c r="I27" s="494"/>
    </row>
    <row r="28" spans="2:9" ht="28.5" customHeight="1" thickBot="1">
      <c r="B28" s="457" t="s">
        <v>139</v>
      </c>
      <c r="C28" s="458"/>
      <c r="D28" s="486">
        <f>+IF('B1'!C2='Cover letter ECE_MPE'!E5,SUMIF('B1'!O20:O55,Lister!D32,'B1'!AC20:AC56),0)+IF('B2'!C2='Cover letter ECE_MPE'!E5,SUMIF('B2'!O20:O55,Lister!D32,'B2'!AC20:AC56),0)+IF('B3'!C2='Cover letter ECE_MPE'!E5,SUMIF('B3'!O20:O55,Lister!D32,'B3'!AC20:AC56),0)+IF('B4'!C2='Cover letter ECE_MPE'!E5,SUMIF('B4'!O20:O55,Lister!D32,'B4'!AC20:AC56),0)+IF('B5'!C2='Cover letter ECE_MPE'!E5,SUMIF('B5'!O20:O55,Lister!D32,'B5'!AC20:AC56),0)+IF('B1'!C2='Cover letter ECE_MPE'!E5,SUMIF('B1'!O62:O74,Lister!D32,'B1'!M62:M74),0)+IF('B2'!C2='Cover letter ECE_MPE'!E5,SUMIF('B2'!O62:O74,Lister!D32,'B2'!M62:M74),0)+IF('B3'!C2='Cover letter ECE_MPE'!E5,SUMIF('B3'!O62:O74,Lister!D32,'B3'!M62:M74),0)+IF('B4'!C2='Cover letter ECE_MPE'!E5,SUMIF('B4'!O62:O74,Lister!D32,'B4'!M62:M74),0)+IF('B5'!C2='Cover letter ECE_MPE'!E5,SUMIF('B5'!O62:O74,Lister!D32,'B5'!M62:M74),0)</f>
        <v>0</v>
      </c>
      <c r="E28" s="487"/>
      <c r="F28" s="457" t="s">
        <v>140</v>
      </c>
      <c r="G28" s="458"/>
      <c r="H28" s="488"/>
      <c r="I28" s="489"/>
    </row>
    <row r="29" spans="2:9" ht="28.5" customHeight="1" thickBot="1">
      <c r="B29" s="457" t="s">
        <v>141</v>
      </c>
      <c r="C29" s="458"/>
      <c r="D29" s="486">
        <f>IF('B1'!C2=E5,(SUMIFS('B1'!M62:M72,'B1'!A62:A72,Lister!M11,'B1'!O62:O72,Lister!D29)+SUMIFS('B1'!M62:M72,'B1'!A62:A72,Lister!M11,'B1'!O62:O72,Lister!D30))-((SUMIF('B1'!A20:A29,Lister!A20,'B1'!M20:M29)+SUMIF('B1'!A20:A29,Lister!A21,'B1'!M20:M29))/12*30000),0)+IF('B2'!C2=E5,(SUMIFS('B2'!M62:M72,'B2'!A62:A72,Lister!M11,'B2'!O62:O72,Lister!D29)+SUMIFS('B2'!M62:M72,'B2'!A62:A72,Lister!M11,'B2'!O62:O72,Lister!D30))-((SUMIF('B2'!A20:A29,Lister!A20,'B2'!M20:M29)+SUMIF('B2'!A20:A29,Lister!A21,'B2'!M20:M29))/12*30000),0)+IF('B3'!C2=E5,(SUMIFS('B3'!M62:M72,'B3'!A62:A72,Lister!M11,'B3'!O62:O72,Lister!D29)+SUMIFS('B3'!M62:M72,'B3'!A62:A72,Lister!M11,'B3'!O62:O72,Lister!D30))-((SUMIF('B3'!A20:A29,Lister!A20,'B3'!M20:M29)+SUMIF('B3'!A20:A29,Lister!A21,'B3'!M20:M29))/12*30000),0)*IF('B4'!C2=E5,(SUMIFS('B4'!M62:M72,'B4'!A62:A72,Lister!M11,'B4'!O62:O72,Lister!D29)+SUMIFS('B4'!M62:M72,'B1'!A62:A72,Lister!M11,'B4'!O62:O72,Lister!D30))-((SUMIF('B4'!A20:A29,Lister!A20,'B4'!M20:M29)+SUMIF('B4'!A20:A29,Lister!A21,'B4'!M20:M29))/12*30000),0)+IF('B5'!C2=E5,(SUMIFS('B5'!M62:M72,'B5'!A62:A72,Lister!M11,'B5'!O62:O72,Lister!D29)+SUMIFS('B5'!M62:M72,'B5'!A62:A72,Lister!M11,'B5'!O62:O72,Lister!D30))-((SUMIF('B5'!A20:A29,Lister!A20,'B5'!M20:M29)+SUMIF('B5'!A20:A29,Lister!A21,'B5'!M20:M29))/12*30000),0)</f>
        <v>0</v>
      </c>
      <c r="E29" s="487"/>
      <c r="F29" s="472"/>
      <c r="G29" s="473"/>
      <c r="H29" s="473"/>
      <c r="I29" s="474"/>
    </row>
    <row r="30" spans="2:9" ht="39.65" customHeight="1" thickBot="1">
      <c r="B30" s="457" t="s">
        <v>166</v>
      </c>
      <c r="C30" s="458"/>
      <c r="D30" s="486">
        <f>SUMIFS('B1'!M62:M72,'B1'!A62:A72,Lister!M7,'B1'!O62:O72,Lister!D29)+SUMIFS('B2'!M62:M72,'B2'!A62:A72,Lister!M7,'B2'!O62:O72,Lister!D29)+SUMIFS('B3'!M62:M72,'B3'!A62:A72,Lister!M7,'B3'!O62:O72,Lister!D29)+SUMIFS('B4'!M62:M72,'B4'!A62:A72,Lister!M7,'B4'!O62:O72,Lister!D29)+SUMIFS('B5'!M62:M72,'B5'!A62:A72,Lister!M7,'B5'!O62:O72,Lister!D29)</f>
        <v>0</v>
      </c>
      <c r="E30" s="487"/>
      <c r="F30" s="406" t="s">
        <v>167</v>
      </c>
      <c r="G30" s="99">
        <f>+ABS(SUMIF('B1'!A62:A72,Lister!M9,'B1'!M62:M72))+ABS(SUMIF('B2'!A62:A72,Lister!M9,'B2'!M62:M72))+ABS(SUMIF('B3'!A62:A72,Lister!M9,'B3'!M62:M72))+ABS(SUMIF('B4'!A62:A72,Lister!M9,'B4'!M62:M72))+ABS(SUMIF('B5'!A62:A72,Lister!M9,'B5'!M62:M72))</f>
        <v>0</v>
      </c>
      <c r="H30" s="420" t="s">
        <v>165</v>
      </c>
      <c r="I30" s="99">
        <f>SUMIFS('B1'!M62:M72,'B1'!A62:A72,Lister!M8,'B1'!O62:O72,Lister!D30)+SUMIFS('B2'!M62:M72,'B2'!A62:A72,Lister!M8,'B2'!O62:O72,Lister!D30)+SUMIFS('B3'!M62:M72,'B3'!A62:A72,Lister!M8,'B3'!O62:O72,Lister!D30)+SUMIFS('B4'!M62:M72,'B4'!A62:A72,Lister!M8,'B4'!O62:O72,Lister!D30)+SUMIFS('B5'!M62:M72,'B5'!A62:A72,Lister!M8,'B5'!O62:O72,Lister!D30)</f>
        <v>0</v>
      </c>
    </row>
    <row r="31" spans="2:9" ht="32.15" customHeight="1" thickBot="1">
      <c r="B31" s="457" t="s">
        <v>168</v>
      </c>
      <c r="C31" s="458"/>
      <c r="D31" s="444"/>
      <c r="E31" s="445"/>
      <c r="F31" s="495"/>
      <c r="G31" s="496"/>
      <c r="H31" s="496"/>
      <c r="I31" s="497"/>
    </row>
    <row r="32" spans="2:9" ht="50.65" customHeight="1" thickBot="1">
      <c r="B32" s="457" t="s">
        <v>155</v>
      </c>
      <c r="C32" s="507"/>
      <c r="D32" s="508" t="e">
        <f>+(D23+D29-D26-D27-G30)/D22</f>
        <v>#DIV/0!</v>
      </c>
      <c r="E32" s="509"/>
      <c r="F32" s="472"/>
      <c r="G32" s="473"/>
      <c r="H32" s="473"/>
      <c r="I32" s="474"/>
    </row>
    <row r="33" spans="2:9" ht="58.4" customHeight="1" thickBot="1">
      <c r="B33" s="457" t="s">
        <v>744</v>
      </c>
      <c r="C33" s="458"/>
      <c r="D33" s="508" t="e">
        <f>+(D23+D24+D25+D29-D26-D27-G30)/D22</f>
        <v>#DIV/0!</v>
      </c>
      <c r="E33" s="509"/>
      <c r="F33" s="498"/>
      <c r="G33" s="499"/>
      <c r="H33" s="499"/>
      <c r="I33" s="500"/>
    </row>
    <row r="34" spans="2:9" ht="42.65" customHeight="1" thickBot="1">
      <c r="B34" s="457" t="s">
        <v>745</v>
      </c>
      <c r="C34" s="507"/>
      <c r="D34" s="508" t="e">
        <f>+(D23+D24+D25+D29-D27-G30)/D22</f>
        <v>#DIV/0!</v>
      </c>
      <c r="E34" s="509"/>
      <c r="F34" s="501"/>
      <c r="G34" s="502"/>
      <c r="H34" s="502"/>
      <c r="I34" s="503"/>
    </row>
    <row r="35" spans="2:9" ht="40.4" customHeight="1" thickBot="1">
      <c r="B35" s="510" t="s">
        <v>1348</v>
      </c>
      <c r="C35" s="511"/>
      <c r="D35" s="418" t="s">
        <v>142</v>
      </c>
      <c r="E35" s="257"/>
      <c r="F35" s="258"/>
      <c r="G35" s="406" t="s">
        <v>735</v>
      </c>
      <c r="H35" s="512"/>
      <c r="I35" s="513"/>
    </row>
    <row r="36" spans="2:9" ht="20.149999999999999" customHeight="1" thickBot="1">
      <c r="B36" s="475" t="s">
        <v>162</v>
      </c>
      <c r="C36" s="476"/>
      <c r="D36" s="476"/>
      <c r="E36" s="476"/>
      <c r="F36" s="476"/>
      <c r="G36" s="476"/>
      <c r="H36" s="476"/>
      <c r="I36" s="477"/>
    </row>
    <row r="37" spans="2:9" ht="28.5" customHeight="1" thickBot="1">
      <c r="B37" s="457" t="s">
        <v>671</v>
      </c>
      <c r="C37" s="458"/>
      <c r="D37" s="488" t="s">
        <v>135</v>
      </c>
      <c r="E37" s="489"/>
      <c r="F37" s="504"/>
      <c r="G37" s="505"/>
      <c r="H37" s="505"/>
      <c r="I37" s="506"/>
    </row>
    <row r="38" spans="2:9" ht="26.65" customHeight="1" thickBot="1">
      <c r="B38" s="457" t="s">
        <v>171</v>
      </c>
      <c r="C38" s="458"/>
      <c r="D38" s="444" t="s">
        <v>119</v>
      </c>
      <c r="E38" s="445"/>
      <c r="F38" s="420" t="s">
        <v>170</v>
      </c>
      <c r="G38" s="199"/>
      <c r="H38" s="97"/>
      <c r="I38" s="98"/>
    </row>
    <row r="39" spans="2:9" s="265" customFormat="1" ht="52" customHeight="1" thickBot="1">
      <c r="B39" s="514" t="s">
        <v>1960</v>
      </c>
      <c r="C39" s="515"/>
      <c r="D39" s="514" t="s">
        <v>1961</v>
      </c>
      <c r="E39" s="515"/>
      <c r="F39" s="516"/>
      <c r="G39" s="429" t="s">
        <v>120</v>
      </c>
      <c r="H39" s="420" t="s">
        <v>1959</v>
      </c>
      <c r="I39" s="258"/>
    </row>
    <row r="40" spans="2:9" s="265" customFormat="1">
      <c r="B40" s="273"/>
    </row>
    <row r="41" spans="2:9" s="265" customFormat="1" ht="18">
      <c r="B41" s="415"/>
    </row>
    <row r="42" spans="2:9" s="265" customFormat="1">
      <c r="B42" s="273"/>
    </row>
    <row r="43" spans="2:9" s="411" customFormat="1"/>
    <row r="44" spans="2:9" s="265" customFormat="1">
      <c r="B44" s="273"/>
    </row>
    <row r="45" spans="2:9" s="265" customFormat="1">
      <c r="B45" s="273"/>
    </row>
    <row r="46" spans="2:9" s="265" customFormat="1">
      <c r="B46" s="273"/>
      <c r="C46" s="411"/>
    </row>
    <row r="47" spans="2:9" s="265" customFormat="1">
      <c r="B47" s="273"/>
    </row>
    <row r="48" spans="2:9" s="265" customFormat="1">
      <c r="B48" s="273"/>
    </row>
    <row r="49" spans="2:3" s="265" customFormat="1">
      <c r="B49" s="273"/>
      <c r="C49" s="411"/>
    </row>
    <row r="50" spans="2:3" s="265" customFormat="1">
      <c r="B50" s="273"/>
    </row>
    <row r="51" spans="2:3" s="265" customFormat="1">
      <c r="B51" s="273"/>
      <c r="C51" s="411"/>
    </row>
    <row r="52" spans="2:3" s="265" customFormat="1">
      <c r="B52" s="273"/>
      <c r="C52" s="416"/>
    </row>
    <row r="53" spans="2:3" s="265" customFormat="1">
      <c r="B53" s="273"/>
      <c r="C53" s="416"/>
    </row>
    <row r="54" spans="2:3" s="265" customFormat="1">
      <c r="B54" s="273"/>
      <c r="C54" s="416"/>
    </row>
    <row r="55" spans="2:3" s="265" customFormat="1">
      <c r="B55" s="273"/>
      <c r="C55" s="416"/>
    </row>
    <row r="56" spans="2:3" s="265" customFormat="1">
      <c r="B56" s="273"/>
      <c r="C56" s="411"/>
    </row>
    <row r="57" spans="2:3" s="265" customFormat="1">
      <c r="B57" s="273"/>
      <c r="C57" s="417"/>
    </row>
    <row r="58" spans="2:3" s="265" customFormat="1">
      <c r="B58" s="273"/>
      <c r="C58" s="417"/>
    </row>
    <row r="59" spans="2:3" s="265" customFormat="1">
      <c r="B59" s="273"/>
      <c r="C59" s="411"/>
    </row>
    <row r="60" spans="2:3" s="265" customFormat="1">
      <c r="B60" s="273"/>
      <c r="C60" s="411"/>
    </row>
    <row r="61" spans="2:3" s="265" customFormat="1">
      <c r="B61" s="273"/>
      <c r="C61" s="411"/>
    </row>
    <row r="62" spans="2:3" s="265" customFormat="1">
      <c r="B62" s="273"/>
      <c r="C62" s="411"/>
    </row>
    <row r="63" spans="2:3" s="265" customFormat="1">
      <c r="B63" s="273"/>
    </row>
    <row r="64" spans="2:3" s="265" customFormat="1"/>
    <row r="65" s="265" customFormat="1"/>
    <row r="66" s="265" customFormat="1"/>
    <row r="67" s="265" customFormat="1"/>
    <row r="68" s="265" customFormat="1"/>
    <row r="69" s="265" customFormat="1"/>
    <row r="70" s="265" customFormat="1"/>
    <row r="71" s="265" customFormat="1"/>
    <row r="72" s="265" customFormat="1"/>
    <row r="73" s="265" customFormat="1"/>
    <row r="74" s="265" customFormat="1"/>
    <row r="75" s="265" customFormat="1"/>
    <row r="76" s="265" customFormat="1"/>
    <row r="77" s="265" customFormat="1"/>
    <row r="78" s="265" customFormat="1"/>
    <row r="79" s="265" customFormat="1"/>
    <row r="80" s="265" customFormat="1"/>
    <row r="81" s="265" customFormat="1"/>
    <row r="82" s="265" customFormat="1"/>
    <row r="83" s="265" customFormat="1"/>
    <row r="84" s="265" customFormat="1"/>
    <row r="85" s="265" customFormat="1"/>
    <row r="86" s="265" customFormat="1"/>
    <row r="87" s="265" customFormat="1"/>
    <row r="88" s="265" customFormat="1"/>
    <row r="89" s="265" customFormat="1"/>
    <row r="90" s="265" customFormat="1"/>
    <row r="91" s="265" customFormat="1"/>
    <row r="92" s="265" customFormat="1"/>
    <row r="93" s="265" customFormat="1"/>
    <row r="94" s="265" customFormat="1"/>
    <row r="95" s="265" customFormat="1"/>
    <row r="96" s="265" customFormat="1"/>
    <row r="97" s="265" customFormat="1"/>
    <row r="98" s="265" customFormat="1"/>
    <row r="99" s="265" customFormat="1"/>
    <row r="100" s="265" customFormat="1"/>
  </sheetData>
  <sheetProtection algorithmName="SHA-512" hashValue="Ky+mFJ+n3E7ixFQPu6luDH2EsL77s9S5W+xRr8+tQbx7PTjn0RwiUjtJ9zsFYOnE3zmDd6e5KZ4G69oBBUBxtw==" saltValue="6QzOhS4QIYx2nyO66dop5w==" spinCount="100000" sheet="1" objects="1" scenarios="1"/>
  <mergeCells count="73">
    <mergeCell ref="B39:C39"/>
    <mergeCell ref="D39:F39"/>
    <mergeCell ref="D21:E21"/>
    <mergeCell ref="B38:C38"/>
    <mergeCell ref="D38:E38"/>
    <mergeCell ref="B37:C37"/>
    <mergeCell ref="D37:E37"/>
    <mergeCell ref="B32:C32"/>
    <mergeCell ref="D32:E32"/>
    <mergeCell ref="B29:C29"/>
    <mergeCell ref="D29:E29"/>
    <mergeCell ref="B30:C30"/>
    <mergeCell ref="D30:E30"/>
    <mergeCell ref="B21:C21"/>
    <mergeCell ref="B28:C28"/>
    <mergeCell ref="D28:E28"/>
    <mergeCell ref="F31:I31"/>
    <mergeCell ref="F32:I34"/>
    <mergeCell ref="F37:I37"/>
    <mergeCell ref="B36:I36"/>
    <mergeCell ref="B34:C34"/>
    <mergeCell ref="D34:E34"/>
    <mergeCell ref="B35:C35"/>
    <mergeCell ref="H35:I35"/>
    <mergeCell ref="B33:C33"/>
    <mergeCell ref="D33:E33"/>
    <mergeCell ref="B31:C31"/>
    <mergeCell ref="D31:E31"/>
    <mergeCell ref="F28:G28"/>
    <mergeCell ref="H28:I28"/>
    <mergeCell ref="B26:C26"/>
    <mergeCell ref="D26:E26"/>
    <mergeCell ref="B25:C25"/>
    <mergeCell ref="D25:E25"/>
    <mergeCell ref="H26:I26"/>
    <mergeCell ref="B27:C27"/>
    <mergeCell ref="D27:E27"/>
    <mergeCell ref="F27:I27"/>
    <mergeCell ref="D9:E9"/>
    <mergeCell ref="H9:I9"/>
    <mergeCell ref="F29:I29"/>
    <mergeCell ref="C17:I17"/>
    <mergeCell ref="B18:I18"/>
    <mergeCell ref="B19:C19"/>
    <mergeCell ref="D19:I19"/>
    <mergeCell ref="B20:C20"/>
    <mergeCell ref="D20:E20"/>
    <mergeCell ref="F20:I25"/>
    <mergeCell ref="B22:C22"/>
    <mergeCell ref="D22:E22"/>
    <mergeCell ref="B23:C23"/>
    <mergeCell ref="D23:E23"/>
    <mergeCell ref="B24:C24"/>
    <mergeCell ref="D24:E24"/>
    <mergeCell ref="C16:I16"/>
    <mergeCell ref="C10:I10"/>
    <mergeCell ref="D12:E12"/>
    <mergeCell ref="F12:G12"/>
    <mergeCell ref="H12:I12"/>
    <mergeCell ref="D13:E13"/>
    <mergeCell ref="F13:G13"/>
    <mergeCell ref="H13:I13"/>
    <mergeCell ref="C14:I14"/>
    <mergeCell ref="C15:I15"/>
    <mergeCell ref="D11:E11"/>
    <mergeCell ref="F11:I11"/>
    <mergeCell ref="C8:I8"/>
    <mergeCell ref="B1:I1"/>
    <mergeCell ref="B2:I2"/>
    <mergeCell ref="C6:I6"/>
    <mergeCell ref="C7:I7"/>
    <mergeCell ref="B3:C3"/>
    <mergeCell ref="D3:I3"/>
  </mergeCells>
  <conditionalFormatting sqref="C9">
    <cfRule type="cellIs" dxfId="27" priority="2" operator="equal">
      <formula>0</formula>
    </cfRule>
  </conditionalFormatting>
  <conditionalFormatting sqref="C12">
    <cfRule type="beginsWith" dxfId="26" priority="9" operator="beginsWith" text="0">
      <formula>LEFT(C12,LEN("0"))="0"</formula>
    </cfRule>
  </conditionalFormatting>
  <conditionalFormatting sqref="C13">
    <cfRule type="containsBlanks" dxfId="25" priority="20">
      <formula>LEN(TRIM(C13))=0</formula>
    </cfRule>
  </conditionalFormatting>
  <conditionalFormatting sqref="C7:I7">
    <cfRule type="expression" dxfId="24" priority="1">
      <formula>AND(ISBLANK(C7),LEN(TRIM(J7))=0)</formula>
    </cfRule>
  </conditionalFormatting>
  <conditionalFormatting sqref="D3">
    <cfRule type="containsText" dxfId="23" priority="14" operator="containsText" text=" ReAp fields are missing data – Please fill in the yellow cells">
      <formula>NOT(ISERROR(SEARCH(" ReAp fields are missing data – Please fill in the yellow cells",D3)))</formula>
    </cfRule>
    <cfRule type="containsText" dxfId="22" priority="15" operator="containsText" text="ReAp fields are completed">
      <formula>NOT(ISERROR(SEARCH("ReAp fields are completed",D3)))</formula>
    </cfRule>
  </conditionalFormatting>
  <conditionalFormatting sqref="D20:E20">
    <cfRule type="containsBlanks" dxfId="21" priority="22">
      <formula>LEN(TRIM(D20))=0</formula>
    </cfRule>
  </conditionalFormatting>
  <conditionalFormatting sqref="D22:E22">
    <cfRule type="beginsWith" dxfId="20" priority="4" operator="beginsWith" text="0">
      <formula>LEFT(D22,LEN("0"))="0"</formula>
    </cfRule>
  </conditionalFormatting>
  <conditionalFormatting sqref="F12:G12">
    <cfRule type="beginsWith" dxfId="19" priority="8" operator="beginsWith" text="0">
      <formula>LEFT(F12,LEN("0"))="0"</formula>
    </cfRule>
  </conditionalFormatting>
  <conditionalFormatting sqref="F13:G13">
    <cfRule type="containsBlanks" dxfId="18" priority="21">
      <formula>LEN(TRIM(F13))=0</formula>
    </cfRule>
  </conditionalFormatting>
  <conditionalFormatting sqref="G5">
    <cfRule type="containsBlanks" dxfId="17" priority="17">
      <formula>LEN(TRIM(G5))=0</formula>
    </cfRule>
  </conditionalFormatting>
  <conditionalFormatting sqref="H35:I35">
    <cfRule type="containsBlanks" dxfId="16" priority="23">
      <formula>LEN(TRIM(H35))=0</formula>
    </cfRule>
  </conditionalFormatting>
  <conditionalFormatting sqref="I5">
    <cfRule type="containsBlanks" dxfId="15" priority="18">
      <formula>LEN(TRIM(I5))=0</formula>
    </cfRule>
  </conditionalFormatting>
  <conditionalFormatting sqref="J7:J8">
    <cfRule type="expression" dxfId="14" priority="16">
      <formula>LEN(J7)&gt;0</formula>
    </cfRule>
  </conditionalFormatting>
  <dataValidations count="3">
    <dataValidation type="date" allowBlank="1" showInputMessage="1" showErrorMessage="1" errorTitle="Format" error="Remember the format should be DD-MM-YYYY" sqref="C13 F13:G13" xr:uid="{057E1433-C595-4E88-9E03-02FE75560FB8}">
      <formula1>45292</formula1>
      <formula2>73050</formula2>
    </dataValidation>
    <dataValidation type="whole" allowBlank="1" showInputMessage="1" showErrorMessage="1" sqref="D20:E20" xr:uid="{1B3D1F89-C1A2-4536-9548-19CAC6CEB080}">
      <formula1>0</formula1>
      <formula2>999999999</formula2>
    </dataValidation>
    <dataValidation type="custom" allowBlank="1" showInputMessage="1" showErrorMessage="1" errorTitle="Invalid AUID" error="The AUID is either already entered in another cover letter or is too short (minimum 3 characters). Please correct the AUID and try again._x000a_" sqref="I5" xr:uid="{37117CEC-7B6E-40E5-80DE-746C437432C4}">
      <formula1>K5=0</formula1>
    </dataValidation>
  </dataValidations>
  <pageMargins left="0.19685039370078741" right="0" top="0.39370078740157483" bottom="0.39370078740157483" header="0.31496062992125984" footer="0.31496062992125984"/>
  <pageSetup scale="56" orientation="portrait" horizontalDpi="1200" verticalDpi="1200" r:id="rId1"/>
  <drawing r:id="rId2"/>
  <legacyDrawing r:id="rId3"/>
  <extLst>
    <ext xmlns:x14="http://schemas.microsoft.com/office/spreadsheetml/2009/9/main" uri="{CCE6A557-97BC-4b89-ADB6-D9C93CAAB3DF}">
      <x14:dataValidations xmlns:xm="http://schemas.microsoft.com/office/excel/2006/main" count="6">
        <x14:dataValidation type="list" allowBlank="1" showInputMessage="1" showErrorMessage="1" xr:uid="{FC9CD9BB-D6C0-4DB0-BDBC-43DAD95011AE}">
          <x14:formula1>
            <xm:f>Lister!$A$40:$A$41</xm:f>
          </x14:formula1>
          <xm:sqref>C11 D31:E31 G39 D38:E38</xm:sqref>
        </x14:dataValidation>
        <x14:dataValidation type="list" allowBlank="1" showInputMessage="1" showErrorMessage="1" xr:uid="{AB2EEDC2-FF9C-43A8-B5E2-83B95A3A5C6B}">
          <x14:formula1>
            <xm:f>Lister!$A$69:$A$70</xm:f>
          </x14:formula1>
          <xm:sqref>F9</xm:sqref>
        </x14:dataValidation>
        <x14:dataValidation type="list" allowBlank="1" showInputMessage="1" showErrorMessage="1" xr:uid="{9DA0BD86-4F38-4C0C-B4BA-2E8BBF0E38A3}">
          <x14:formula1>
            <xm:f>'Section Cover letter'!$E:$E</xm:f>
          </x14:formula1>
          <xm:sqref>G5</xm:sqref>
        </x14:dataValidation>
        <x14:dataValidation type="list" allowBlank="1" showInputMessage="1" showErrorMessage="1" error="Please select controller from the list" xr:uid="{05771F3C-73C6-46AC-9D4C-C6085EA5DB0C}">
          <x14:formula1>
            <xm:f>Economists!$B$2:$B$505</xm:f>
          </x14:formula1>
          <xm:sqref>H35:I35</xm:sqref>
        </x14:dataValidation>
        <x14:dataValidation type="list" allowBlank="1" showInputMessage="1" showErrorMessage="1" xr:uid="{42697D83-29BE-4DE1-BB94-E8D963BC386D}">
          <x14:formula1>
            <xm:f>GrantSource!$C$2:$C$2132</xm:f>
          </x14:formula1>
          <xm:sqref>C7:I7</xm:sqref>
        </x14:dataValidation>
        <x14:dataValidation type="list" allowBlank="1" showInputMessage="1" showErrorMessage="1" xr:uid="{32835964-B11C-423E-BE82-3C7AF3AF32F7}">
          <x14:formula1>
            <xm:f>Instrument!$F:$F</xm:f>
          </x14:formula1>
          <xm:sqref>C8:I8</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8483C-7FB8-45B7-B970-098D9E943D49}">
  <sheetPr codeName="Ark15">
    <tabColor theme="6" tint="0.59999389629810485"/>
    <pageSetUpPr fitToPage="1"/>
  </sheetPr>
  <dimension ref="A1:AN114"/>
  <sheetViews>
    <sheetView zoomScale="85" zoomScaleNormal="85" workbookViewId="0"/>
  </sheetViews>
  <sheetFormatPr defaultRowHeight="14"/>
  <cols>
    <col min="1" max="1" width="9" style="265"/>
    <col min="2" max="2" width="29.08203125" customWidth="1"/>
    <col min="3" max="3" width="19.5" customWidth="1"/>
    <col min="4" max="4" width="13.08203125" customWidth="1"/>
    <col min="5" max="5" width="13.75" customWidth="1"/>
    <col min="6" max="6" width="28.58203125" customWidth="1"/>
    <col min="7" max="8" width="17.58203125" customWidth="1"/>
    <col min="9" max="9" width="20.58203125" customWidth="1"/>
    <col min="10" max="10" width="40.58203125" style="265" customWidth="1"/>
    <col min="11" max="11" width="9" style="265" hidden="1" customWidth="1"/>
    <col min="12" max="40" width="9" style="265"/>
  </cols>
  <sheetData>
    <row r="1" spans="2:13" s="265" customFormat="1" ht="24.5">
      <c r="B1" s="447"/>
      <c r="C1" s="447"/>
      <c r="D1" s="447"/>
      <c r="E1" s="447"/>
      <c r="F1" s="447"/>
      <c r="G1" s="447"/>
      <c r="H1" s="447"/>
      <c r="I1" s="447"/>
    </row>
    <row r="2" spans="2:13" s="265" customFormat="1" ht="51.65" customHeight="1" thickBot="1">
      <c r="B2" s="448" t="s">
        <v>1942</v>
      </c>
      <c r="C2" s="449"/>
      <c r="D2" s="449"/>
      <c r="E2" s="449"/>
      <c r="F2" s="449"/>
      <c r="G2" s="449"/>
      <c r="H2" s="449"/>
      <c r="I2" s="449"/>
    </row>
    <row r="3" spans="2:13" ht="51.65" customHeight="1" thickBot="1">
      <c r="B3" s="453" t="s">
        <v>1921</v>
      </c>
      <c r="C3" s="454"/>
      <c r="D3" s="523" t="str">
        <f>IFERROR(IF(AND(I5&lt;&gt;"",
OR(C7&lt;&gt;"", LEN(TRIM(J7))&gt;0),
G5&lt;&gt;"", C9&lt;&gt;0, C12&lt;&gt;0, C13&lt;&gt;"", F12&lt;&gt;0, F13&lt;&gt;"", D20&lt;&gt;"", D22&lt;&gt;0, H33&lt;&gt;""),
"✅ ReAp fields are completed",
"❌ ReAp fields are missing data – Please fill in the yellow cells"),
"❌  ReAp fields are missing data – Please fill in the yellow cells")</f>
        <v>❌ ReAp fields are missing data – Please fill in the yellow cells</v>
      </c>
      <c r="E3" s="523"/>
      <c r="F3" s="523"/>
      <c r="G3" s="523"/>
      <c r="H3" s="523"/>
      <c r="I3" s="524"/>
      <c r="L3" s="414"/>
    </row>
    <row r="4" spans="2:13" s="265" customFormat="1" ht="15" customHeight="1" thickBot="1">
      <c r="B4" s="412"/>
      <c r="C4" s="413"/>
      <c r="D4" s="413"/>
      <c r="E4" s="413"/>
      <c r="F4" s="413"/>
      <c r="G4" s="413"/>
      <c r="H4" s="413"/>
      <c r="I4" s="413"/>
    </row>
    <row r="5" spans="2:13" ht="31.4" customHeight="1" thickBot="1">
      <c r="B5" s="405" t="s">
        <v>738</v>
      </c>
      <c r="C5" s="403">
        <f>+'B1'!C4</f>
        <v>0</v>
      </c>
      <c r="D5" s="406" t="s">
        <v>156</v>
      </c>
      <c r="E5" s="404">
        <f>+'B1'!C2</f>
        <v>0</v>
      </c>
      <c r="F5" s="405" t="s">
        <v>124</v>
      </c>
      <c r="G5" s="196"/>
      <c r="H5" s="405" t="s">
        <v>529</v>
      </c>
      <c r="I5" s="200"/>
      <c r="K5" s="265">
        <f>IF(OR('Cover letter ECE_MPE'!I5&gt;0,LEN(I5)&lt;3),1,0)</f>
        <v>1</v>
      </c>
    </row>
    <row r="6" spans="2:13" ht="24" customHeight="1" thickBot="1">
      <c r="B6" s="407" t="s">
        <v>125</v>
      </c>
      <c r="C6" s="450">
        <f>+'B1'!C3</f>
        <v>0</v>
      </c>
      <c r="D6" s="451"/>
      <c r="E6" s="451"/>
      <c r="F6" s="451"/>
      <c r="G6" s="451"/>
      <c r="H6" s="451"/>
      <c r="I6" s="452"/>
    </row>
    <row r="7" spans="2:13" ht="24" customHeight="1" thickBot="1">
      <c r="B7" s="407" t="s">
        <v>126</v>
      </c>
      <c r="C7" s="444"/>
      <c r="D7" s="445"/>
      <c r="E7" s="445"/>
      <c r="F7" s="445"/>
      <c r="G7" s="445"/>
      <c r="H7" s="445"/>
      <c r="I7" s="446"/>
      <c r="J7" s="265" t="str" cm="1">
        <f t="array" ref="J7">IF(IF(IF(C7="",Tabel21[Grant source])=0,"",IF(C7="",Tabel21[Grant source]))=FALSE,"",IF(IF(C7="",Tabel21[Grant source])=0,"",IF(C7="",Tabel21[Grant source])))</f>
        <v/>
      </c>
      <c r="K7" s="265" t="str">
        <f>IF(ISBLANK(C7),J7,_xlfn.XLOOKUP(C7,GrantSource!C:C,GrantSource!A:A))</f>
        <v/>
      </c>
      <c r="M7" s="423"/>
    </row>
    <row r="8" spans="2:13" ht="24" customHeight="1" thickBot="1">
      <c r="B8" s="407" t="s">
        <v>127</v>
      </c>
      <c r="C8" s="444"/>
      <c r="D8" s="445"/>
      <c r="E8" s="445"/>
      <c r="F8" s="445"/>
      <c r="G8" s="445"/>
      <c r="H8" s="445"/>
      <c r="I8" s="446"/>
      <c r="J8" s="265" t="str" cm="1">
        <f t="array" ref="J8">IF(IF(IF(C8="",Tabel21[Instrument])=0,"",IF(C8="",Tabel21[Instrument]))=FALSE,"",IF(IF(C8="",Tabel21[Instrument])=0,"",IF(C8="",Tabel21[Instrument])))</f>
        <v/>
      </c>
      <c r="K8" s="265" t="str">
        <f>IF(ISBLANK(C8),J8,C8)</f>
        <v/>
      </c>
    </row>
    <row r="9" spans="2:13" ht="65.25" customHeight="1" thickBot="1">
      <c r="B9" s="407" t="s">
        <v>128</v>
      </c>
      <c r="C9" s="409">
        <f>+'B1'!H8</f>
        <v>0</v>
      </c>
      <c r="D9" s="457" t="s">
        <v>1381</v>
      </c>
      <c r="E9" s="458"/>
      <c r="F9" s="391"/>
      <c r="G9" s="405" t="s">
        <v>1315</v>
      </c>
      <c r="H9" s="470"/>
      <c r="I9" s="529"/>
    </row>
    <row r="10" spans="2:13" ht="24" customHeight="1" thickBot="1">
      <c r="B10" s="407" t="s">
        <v>129</v>
      </c>
      <c r="C10" s="444"/>
      <c r="D10" s="445"/>
      <c r="E10" s="445"/>
      <c r="F10" s="445"/>
      <c r="G10" s="445"/>
      <c r="H10" s="445"/>
      <c r="I10" s="446"/>
    </row>
    <row r="11" spans="2:13" ht="31.4" customHeight="1" thickBot="1">
      <c r="B11" s="407" t="s">
        <v>758</v>
      </c>
      <c r="C11" s="198"/>
      <c r="D11" s="457" t="s">
        <v>585</v>
      </c>
      <c r="E11" s="458"/>
      <c r="F11" s="444"/>
      <c r="G11" s="445"/>
      <c r="H11" s="445"/>
      <c r="I11" s="446"/>
    </row>
    <row r="12" spans="2:13" ht="24" customHeight="1" thickBot="1">
      <c r="B12" s="407" t="s">
        <v>1920</v>
      </c>
      <c r="C12" s="410">
        <f>+'B1'!C9</f>
        <v>0</v>
      </c>
      <c r="D12" s="457" t="s">
        <v>1308</v>
      </c>
      <c r="E12" s="458"/>
      <c r="F12" s="459">
        <f>+'B1'!H9</f>
        <v>0</v>
      </c>
      <c r="G12" s="460"/>
      <c r="H12" s="525"/>
      <c r="I12" s="526"/>
    </row>
    <row r="13" spans="2:13" ht="32.65" customHeight="1" thickBot="1">
      <c r="B13" s="406" t="s">
        <v>1062</v>
      </c>
      <c r="C13" s="264"/>
      <c r="D13" s="457" t="s">
        <v>1063</v>
      </c>
      <c r="E13" s="458"/>
      <c r="F13" s="463"/>
      <c r="G13" s="464"/>
      <c r="H13" s="527"/>
      <c r="I13" s="528"/>
    </row>
    <row r="14" spans="2:13" ht="119.65" customHeight="1" thickBot="1">
      <c r="B14" s="408" t="s">
        <v>131</v>
      </c>
      <c r="C14" s="468"/>
      <c r="D14" s="468"/>
      <c r="E14" s="468"/>
      <c r="F14" s="468"/>
      <c r="G14" s="468"/>
      <c r="H14" s="468"/>
      <c r="I14" s="469"/>
    </row>
    <row r="15" spans="2:13" ht="29.65" customHeight="1" thickBot="1">
      <c r="B15" s="407" t="s">
        <v>132</v>
      </c>
      <c r="C15" s="444"/>
      <c r="D15" s="445"/>
      <c r="E15" s="445"/>
      <c r="F15" s="445"/>
      <c r="G15" s="445"/>
      <c r="H15" s="445"/>
      <c r="I15" s="446"/>
    </row>
    <row r="16" spans="2:13" ht="24" customHeight="1" thickBot="1">
      <c r="B16" s="407" t="s">
        <v>133</v>
      </c>
      <c r="C16" s="444"/>
      <c r="D16" s="445"/>
      <c r="E16" s="445"/>
      <c r="F16" s="445"/>
      <c r="G16" s="445"/>
      <c r="H16" s="445"/>
      <c r="I16" s="446"/>
    </row>
    <row r="17" spans="2:9" ht="47.65" customHeight="1" thickBot="1">
      <c r="B17" s="407" t="s">
        <v>134</v>
      </c>
      <c r="C17" s="444"/>
      <c r="D17" s="445"/>
      <c r="E17" s="445"/>
      <c r="F17" s="445"/>
      <c r="G17" s="445"/>
      <c r="H17" s="445"/>
      <c r="I17" s="446"/>
    </row>
    <row r="18" spans="2:9" ht="18" thickBot="1">
      <c r="B18" s="475" t="s">
        <v>169</v>
      </c>
      <c r="C18" s="476"/>
      <c r="D18" s="476"/>
      <c r="E18" s="476"/>
      <c r="F18" s="476"/>
      <c r="G18" s="476"/>
      <c r="H18" s="476"/>
      <c r="I18" s="477"/>
    </row>
    <row r="19" spans="2:9" ht="38.15" customHeight="1" thickBot="1">
      <c r="B19" s="457" t="s">
        <v>136</v>
      </c>
      <c r="C19" s="458"/>
      <c r="D19" s="444"/>
      <c r="E19" s="445"/>
      <c r="F19" s="445"/>
      <c r="G19" s="445"/>
      <c r="H19" s="445"/>
      <c r="I19" s="446"/>
    </row>
    <row r="20" spans="2:9" ht="33.75" customHeight="1" thickBot="1">
      <c r="B20" s="457" t="s">
        <v>137</v>
      </c>
      <c r="C20" s="458"/>
      <c r="D20" s="478"/>
      <c r="E20" s="479"/>
      <c r="F20" s="480"/>
      <c r="G20" s="481"/>
      <c r="H20" s="481"/>
      <c r="I20" s="482"/>
    </row>
    <row r="21" spans="2:9" ht="23.65" customHeight="1" thickBot="1">
      <c r="B21" s="457" t="s">
        <v>589</v>
      </c>
      <c r="C21" s="458"/>
      <c r="D21" s="486">
        <f>+IF(E5='B1'!C2,'B1'!AC73,0)+IF(E5='B2'!C2,'B2'!AC73,0)+IF(E5='B3'!C2,'B3'!AC73,0)+IF(E5='B4'!C2,'B4'!AC73,0)+IF(E5='B5'!C2,'B5'!AC73,0)</f>
        <v>0</v>
      </c>
      <c r="E21" s="487"/>
      <c r="F21" s="483"/>
      <c r="G21" s="484"/>
      <c r="H21" s="484"/>
      <c r="I21" s="485"/>
    </row>
    <row r="22" spans="2:9" ht="28.5" customHeight="1" thickBot="1">
      <c r="B22" s="457" t="s">
        <v>138</v>
      </c>
      <c r="C22" s="458"/>
      <c r="D22" s="486">
        <f>+IF(E5='B1'!C2,'B1'!AC89,0)+IF(E5='B2'!C2,'B2'!AC89,0)+IF(E5='B3'!C2,'B3'!AC89,0)+IF(E5='B4'!C2,'B4'!AC89,0)+IF(E5='B5'!C2,'B5'!AC89,0)</f>
        <v>0</v>
      </c>
      <c r="E22" s="487"/>
      <c r="F22" s="483"/>
      <c r="G22" s="484"/>
      <c r="H22" s="484"/>
      <c r="I22" s="485"/>
    </row>
    <row r="23" spans="2:9" ht="28.5" customHeight="1" thickBot="1">
      <c r="B23" s="457" t="s">
        <v>1249</v>
      </c>
      <c r="C23" s="458"/>
      <c r="D23" s="486">
        <f>+IF(E5='B1'!C2,SUM('B1'!AC85:AC88),0)+IF(E5='B2'!C2,SUM('B2'!AC85:AC88),0)+IF(E5='B3'!C2,SUM('B3'!AC85:AC88),0)+IF(E5='B4'!C2,SUM('B4'!AC85:AC88),0)+IF(E5='B5'!C2,SUM('B5'!AC85:AC88),0)</f>
        <v>0</v>
      </c>
      <c r="E23" s="487"/>
      <c r="F23" s="483"/>
      <c r="G23" s="484"/>
      <c r="H23" s="484"/>
      <c r="I23" s="485"/>
    </row>
    <row r="24" spans="2:9" ht="28.5" customHeight="1" thickBot="1">
      <c r="B24" s="457" t="s">
        <v>157</v>
      </c>
      <c r="C24" s="458"/>
      <c r="D24" s="486">
        <f>+IF('B1'!C2='Cover letter'!E5,SUMIF('B1'!O20:O55,Lister!D30,'B1'!AC20:AC56),0)+IF('B2'!C2='Cover letter'!E5,SUMIF('B2'!O20:O55,Lister!D30,'B2'!AC20:AC56),0)+IF('B3'!C2='Cover letter'!E5,SUMIF('B3'!O20:O55,Lister!D30,'B3'!AC20:AC56),0)+IF('B4'!C2='Cover letter'!E5,SUMIF('B4'!O20:O55,Lister!D30,'B4'!AC20:AC56),0)+IF('B5'!C2='Cover letter'!E5,SUMIF('B5'!O20:O55,Lister!D30,'B5'!AC20:AC56),0)</f>
        <v>0</v>
      </c>
      <c r="E24" s="487"/>
      <c r="F24" s="483"/>
      <c r="G24" s="484"/>
      <c r="H24" s="484"/>
      <c r="I24" s="485"/>
    </row>
    <row r="25" spans="2:9" ht="28.5" customHeight="1" thickBot="1">
      <c r="B25" s="457" t="s">
        <v>163</v>
      </c>
      <c r="C25" s="458"/>
      <c r="D25" s="486">
        <f>(IF('B1'!C2='Cover letter'!E5,SUMIF('B1'!O62:O74,Lister!D30,'B1'!M62:M74),0)+IF('B2'!C2='Cover letter'!E5,SUMIF('B2'!O62:O74,Lister!D30,'B2'!M62:M74),0)+IF('B3'!C2='Cover letter'!E5,SUMIF('B3'!O62:O74,Lister!D30,'B3'!M62:M74),0)+IF('B4'!C2='Cover letter'!E5,SUMIF('B4'!O62:O74,Lister!D30,'B4'!M62:M74),0)+IF('B5'!C2='Cover letter'!E5,SUMIF('B5'!O62:O74,Lister!D30,'B5'!M62:M74),0))</f>
        <v>0</v>
      </c>
      <c r="E25" s="487"/>
      <c r="F25" s="483"/>
      <c r="G25" s="484"/>
      <c r="H25" s="484"/>
      <c r="I25" s="485"/>
    </row>
    <row r="26" spans="2:9" ht="28.5" customHeight="1" thickBot="1">
      <c r="B26" s="457" t="s">
        <v>164</v>
      </c>
      <c r="C26" s="458"/>
      <c r="D26" s="486">
        <f>+IF('B1'!C2='Cover letter'!E5,SUMIF('B1'!O20:O55,Lister!D31,'B1'!AC20:AC56),0)+IF('B2'!C2='Cover letter'!E5,SUMIF('B2'!O20:O55,Lister!D31,'B2'!AC20:AC56),0)+IF('B3'!C2='Cover letter'!E5,SUMIF('B3'!O20:O55,Lister!D31,'B3'!AC20:AC56),0)+IF('B4'!C2='Cover letter'!E5,SUMIF('B4'!O20:O55,Lister!D31,'B4'!AC20:AC56),0)+IF('B5'!C2='Cover letter'!E5,SUMIF('B5'!O20:O55,Lister!D31,'B5'!AC20:AC56),0)</f>
        <v>0</v>
      </c>
      <c r="E26" s="487"/>
      <c r="F26" s="419" t="s">
        <v>592</v>
      </c>
      <c r="G26" s="421" t="e">
        <f>+(D26+D27)/D21</f>
        <v>#DIV/0!</v>
      </c>
      <c r="H26" s="490"/>
      <c r="I26" s="491"/>
    </row>
    <row r="27" spans="2:9" ht="28.5" customHeight="1" thickBot="1">
      <c r="B27" s="457" t="s">
        <v>161</v>
      </c>
      <c r="C27" s="458"/>
      <c r="D27" s="486">
        <f>+IF('B1'!C2='Cover letter'!E5,SUMIF('B1'!O62:O74,Lister!D31,'B1'!M62:M74),0)+IF('B2'!C2='Cover letter'!E5,SUMIF('B2'!O62:O74,Lister!D31,'B2'!M62:M74),0)+IF('B3'!C2='Cover letter'!E5,SUMIF('B3'!O62:O74,Lister!D31,'B3'!M62:M74),0)+IF('B4'!C2='Cover letter'!E5,SUMIF('B4'!O62:O74,Lister!D31,'B4'!M62:M74),0)+IF('B5'!C2='Cover letter'!E5,SUMIF('B5'!O62:O74,Lister!D31,'B5'!M62:M74),0)</f>
        <v>0</v>
      </c>
      <c r="E27" s="487"/>
      <c r="F27" s="520"/>
      <c r="G27" s="521"/>
      <c r="H27" s="521"/>
      <c r="I27" s="522"/>
    </row>
    <row r="28" spans="2:9" ht="28.5" customHeight="1" thickBot="1">
      <c r="B28" s="457" t="s">
        <v>139</v>
      </c>
      <c r="C28" s="458"/>
      <c r="D28" s="486">
        <f>+IF('B1'!C2='Cover letter'!E5,SUMIF('B1'!O20:O55,Lister!D32,'B1'!AC20:AC56),0)+IF('B2'!C2='Cover letter'!E5,SUMIF('B2'!O20:O55,Lister!D32,'B2'!AC20:AC56),0)+IF('B3'!C2='Cover letter'!E5,SUMIF('B3'!O20:O55,Lister!D32,'B3'!AC20:AC56),0)+IF('B4'!C2='Cover letter'!E5,SUMIF('B4'!O20:O55,Lister!D32,'B4'!AC20:AC56),0)+IF('B5'!C2='Cover letter'!E5,SUMIF('B5'!O20:O55,Lister!D32,'B5'!AC20:AC56),0)+IF('B1'!C2='Cover letter'!E5,SUMIF('B1'!O62:O74,Lister!D32,'B1'!M62:M74),0)+IF('B2'!C2='Cover letter'!E5,SUMIF('B2'!O62:O74,Lister!D32,'B2'!M62:M74),0)+IF('B3'!C2='Cover letter'!E5,SUMIF('B3'!O62:O74,Lister!D32,'B3'!M62:M74),0)+IF('B4'!C2='Cover letter'!E5,SUMIF('B4'!O62:O74,Lister!D32,'B4'!M62:M74),0)+IF('B5'!C2='Cover letter'!E5,SUMIF('B5'!O62:O74,Lister!D32,'B5'!M62:M74),0)</f>
        <v>0</v>
      </c>
      <c r="E28" s="487"/>
      <c r="F28" s="457" t="s">
        <v>140</v>
      </c>
      <c r="G28" s="458"/>
      <c r="H28" s="488"/>
      <c r="I28" s="489"/>
    </row>
    <row r="29" spans="2:9" ht="28.5" customHeight="1" thickBot="1">
      <c r="B29" s="457" t="s">
        <v>141</v>
      </c>
      <c r="C29" s="458"/>
      <c r="D29" s="486">
        <f>IF('B1'!C2=E5,(SUMIFS('B1'!M62:M72,'B1'!A62:A72,Lister!M11,'B1'!O62:O72,Lister!D29)+SUMIFS('B1'!M62:M72,'B1'!A62:A72,Lister!M11,'B1'!O62:O72,Lister!D30))-((SUMIF('B1'!A20:A29,Lister!A20,'B1'!M20:M29)+SUMIF('B1'!A20:A29,Lister!A21,'B1'!M20:M29))/12*30000),0)+IF('B2'!C2=E5,(SUMIFS('B2'!M62:M72,'B2'!A62:A72,Lister!M11,'B2'!O62:O72,Lister!D29)+SUMIFS('B2'!M62:M72,'B2'!A62:A72,Lister!M11,'B2'!O62:O72,Lister!D30))-((SUMIF('B2'!A20:A29,Lister!A20,'B2'!M20:M29)+SUMIF('B2'!A20:A29,Lister!A21,'B2'!M20:M29))/12*30000),0)+IF('B3'!C2=E5,(SUMIFS('B3'!M62:M72,'B3'!A62:A72,Lister!M11,'B3'!O62:O72,Lister!D29)+SUMIFS('B3'!M62:M72,'B3'!A62:A72,Lister!M11,'B3'!O62:O72,Lister!D30))-((SUMIF('B3'!A20:A29,Lister!A20,'B3'!M20:M29)+SUMIF('B3'!A20:A29,Lister!A21,'B3'!M20:M29))/12*30000),0)*IF('B4'!C2=E5,(SUMIFS('B4'!M62:M72,'B4'!A62:A72,Lister!M11,'B4'!O62:O72,Lister!D29)+SUMIFS('B4'!M62:M72,'B1'!A62:A72,Lister!M11,'B4'!O62:O72,Lister!D30))-((SUMIF('B4'!A20:A29,Lister!A20,'B4'!M20:M29)+SUMIF('B4'!A20:A29,Lister!A21,'B4'!M20:M29))/12*30000),0)+IF('B5'!C2=E5,(SUMIFS('B5'!M62:M72,'B5'!A62:A72,Lister!M11,'B5'!O62:O72,Lister!D29)+SUMIFS('B5'!M62:M72,'B5'!A62:A72,Lister!M11,'B5'!O62:O72,Lister!D30))-((SUMIF('B5'!A20:A29,Lister!A20,'B5'!M20:M29)+SUMIF('B5'!A20:A29,Lister!A21,'B5'!M20:M29))/12*30000),0)</f>
        <v>0</v>
      </c>
      <c r="E29" s="487"/>
      <c r="F29" s="472"/>
      <c r="G29" s="473"/>
      <c r="H29" s="473"/>
      <c r="I29" s="474"/>
    </row>
    <row r="30" spans="2:9" ht="38.15" customHeight="1" thickBot="1">
      <c r="B30" s="457" t="s">
        <v>166</v>
      </c>
      <c r="C30" s="458"/>
      <c r="D30" s="486">
        <f>SUMIFS('B1'!M62:M72,'B1'!A62:A72,Lister!M7,'B1'!O62:O72,Lister!D29)+SUMIFS('B2'!M62:M72,'B2'!A62:A72,Lister!M7,'B2'!O62:O72,Lister!D29)+SUMIFS('B3'!M62:M72,'B3'!A62:A72,Lister!M7,'B3'!O62:O72,Lister!D29)+SUMIFS('B4'!M62:M72,'B4'!A62:A72,Lister!M7,'B4'!O62:O72,Lister!D29)+SUMIFS('B5'!M62:M72,'B5'!A62:A72,Lister!M7,'B5'!O62:O72,Lister!D29)</f>
        <v>0</v>
      </c>
      <c r="E30" s="487"/>
      <c r="F30" s="406" t="s">
        <v>167</v>
      </c>
      <c r="G30" s="99">
        <f>+ABS(SUMIF('B1'!A62:A72,Lister!M9,'B1'!M62:M72))+ABS(SUMIF('B2'!A62:A72,Lister!M9,'B2'!M62:M72))+ABS(SUMIF('B3'!A62:A72,Lister!M9,'B3'!M62:M72))+ABS(SUMIF('B4'!A62:A72,Lister!M9,'B4'!M62:M72))+ABS(SUMIF('B5'!A62:A72,Lister!M9,'B5'!M62:M72))</f>
        <v>0</v>
      </c>
      <c r="H30" s="406" t="s">
        <v>165</v>
      </c>
      <c r="I30" s="99">
        <f>SUMIFS('B1'!M62:M72,'B1'!A62:A72,Lister!M8,'B1'!O62:O72,Lister!D30)+SUMIFS('B2'!M62:M72,'B2'!A62:A72,Lister!M8,'B2'!O62:O72,Lister!D30)+SUMIFS('B3'!M62:M72,'B3'!A62:A72,Lister!M8,'B3'!O62:O72,Lister!D30)+SUMIFS('B4'!M62:M72,'B4'!A62:A72,Lister!M8,'B4'!O62:O72,Lister!D30)+SUMIFS('B5'!M62:M72,'B5'!A62:A72,Lister!M8,'B5'!O62:O72,Lister!D30)</f>
        <v>0</v>
      </c>
    </row>
    <row r="31" spans="2:9" ht="41.65" customHeight="1" thickBot="1">
      <c r="B31" s="457" t="s">
        <v>736</v>
      </c>
      <c r="C31" s="458"/>
      <c r="D31" s="444"/>
      <c r="E31" s="445"/>
      <c r="F31" s="517"/>
      <c r="G31" s="518"/>
      <c r="H31" s="518"/>
      <c r="I31" s="519"/>
    </row>
    <row r="32" spans="2:9" ht="42" customHeight="1" thickBot="1">
      <c r="B32" s="457" t="s">
        <v>175</v>
      </c>
      <c r="C32" s="507"/>
      <c r="D32" s="508">
        <f>IFERROR((D23+D24+D25-D26-D27)/(D22-D23-D24-D25+D26+D27),0)</f>
        <v>0</v>
      </c>
      <c r="E32" s="509"/>
      <c r="F32" s="495"/>
      <c r="G32" s="496"/>
      <c r="H32" s="496"/>
      <c r="I32" s="497"/>
    </row>
    <row r="33" spans="2:9" ht="40.4" customHeight="1" thickBot="1">
      <c r="B33" s="510" t="s">
        <v>1347</v>
      </c>
      <c r="C33" s="511"/>
      <c r="D33" s="418" t="s">
        <v>733</v>
      </c>
      <c r="E33" s="255"/>
      <c r="F33" s="256"/>
      <c r="G33" s="406" t="s">
        <v>734</v>
      </c>
      <c r="H33" s="512"/>
      <c r="I33" s="513"/>
    </row>
    <row r="34" spans="2:9" ht="20.149999999999999" customHeight="1" thickBot="1">
      <c r="B34" s="475" t="s">
        <v>162</v>
      </c>
      <c r="C34" s="476"/>
      <c r="D34" s="476"/>
      <c r="E34" s="476"/>
      <c r="F34" s="476"/>
      <c r="G34" s="476"/>
      <c r="H34" s="476"/>
      <c r="I34" s="477"/>
    </row>
    <row r="35" spans="2:9" ht="29.65" customHeight="1" thickBot="1">
      <c r="B35" s="457" t="s">
        <v>172</v>
      </c>
      <c r="C35" s="458"/>
      <c r="D35" s="444"/>
      <c r="E35" s="445"/>
      <c r="F35" s="472"/>
      <c r="G35" s="473"/>
      <c r="H35" s="473"/>
      <c r="I35" s="474"/>
    </row>
    <row r="36" spans="2:9" ht="29.65" customHeight="1" thickBot="1">
      <c r="B36" s="457" t="s">
        <v>173</v>
      </c>
      <c r="C36" s="458"/>
      <c r="D36" s="444"/>
      <c r="E36" s="445"/>
      <c r="F36" s="501"/>
      <c r="G36" s="502"/>
      <c r="H36" s="502"/>
      <c r="I36" s="503"/>
    </row>
    <row r="37" spans="2:9" ht="26.65" customHeight="1" thickBot="1">
      <c r="B37" s="457" t="s">
        <v>144</v>
      </c>
      <c r="C37" s="458"/>
      <c r="D37" s="418" t="s">
        <v>142</v>
      </c>
      <c r="E37" s="530"/>
      <c r="F37" s="531"/>
      <c r="G37" s="406" t="s">
        <v>143</v>
      </c>
      <c r="H37" s="512"/>
      <c r="I37" s="513"/>
    </row>
    <row r="38" spans="2:9" ht="35.15" customHeight="1" thickBot="1">
      <c r="B38" s="532" t="s">
        <v>174</v>
      </c>
      <c r="C38" s="533"/>
      <c r="D38" s="444"/>
      <c r="E38" s="537"/>
      <c r="F38" s="538"/>
      <c r="G38" s="539"/>
      <c r="H38" s="539"/>
      <c r="I38" s="540"/>
    </row>
    <row r="39" spans="2:9" ht="23.15" customHeight="1" thickBot="1">
      <c r="B39" s="534" t="s">
        <v>154</v>
      </c>
      <c r="C39" s="535"/>
      <c r="D39" s="418" t="s">
        <v>142</v>
      </c>
      <c r="E39" s="463"/>
      <c r="F39" s="464"/>
      <c r="G39" s="406" t="s">
        <v>143</v>
      </c>
      <c r="H39" s="536"/>
      <c r="I39" s="513"/>
    </row>
    <row r="40" spans="2:9" ht="23.15" customHeight="1" thickBot="1">
      <c r="B40" s="534" t="s">
        <v>153</v>
      </c>
      <c r="C40" s="535"/>
      <c r="D40" s="470"/>
      <c r="E40" s="471"/>
      <c r="F40" s="471"/>
      <c r="G40" s="471"/>
      <c r="H40" s="471"/>
      <c r="I40" s="529"/>
    </row>
    <row r="41" spans="2:9" ht="28.5" customHeight="1" thickBot="1">
      <c r="B41" s="457" t="s">
        <v>671</v>
      </c>
      <c r="C41" s="458"/>
      <c r="D41" s="488"/>
      <c r="E41" s="489"/>
      <c r="F41" s="504"/>
      <c r="G41" s="505"/>
      <c r="H41" s="505"/>
      <c r="I41" s="506"/>
    </row>
    <row r="42" spans="2:9" ht="26.65" customHeight="1" thickBot="1">
      <c r="B42" s="457" t="s">
        <v>171</v>
      </c>
      <c r="C42" s="458"/>
      <c r="D42" s="444"/>
      <c r="E42" s="445"/>
      <c r="F42" s="420" t="s">
        <v>170</v>
      </c>
      <c r="G42" s="199"/>
      <c r="H42" s="97"/>
      <c r="I42" s="98"/>
    </row>
    <row r="43" spans="2:9" s="265" customFormat="1" ht="52" customHeight="1" thickBot="1">
      <c r="B43" s="514" t="s">
        <v>1960</v>
      </c>
      <c r="C43" s="515"/>
      <c r="D43" s="514" t="s">
        <v>1961</v>
      </c>
      <c r="E43" s="515"/>
      <c r="F43" s="516"/>
      <c r="G43" s="429" t="s">
        <v>120</v>
      </c>
      <c r="H43" s="420" t="s">
        <v>1959</v>
      </c>
      <c r="I43" s="258"/>
    </row>
    <row r="44" spans="2:9" s="265" customFormat="1">
      <c r="B44" s="273"/>
    </row>
    <row r="45" spans="2:9" s="265" customFormat="1" ht="18">
      <c r="B45" s="415"/>
    </row>
    <row r="46" spans="2:9" s="265" customFormat="1">
      <c r="B46" s="273"/>
    </row>
    <row r="47" spans="2:9" s="411" customFormat="1"/>
    <row r="48" spans="2:9" s="265" customFormat="1">
      <c r="B48" s="273"/>
    </row>
    <row r="49" spans="2:3" s="265" customFormat="1">
      <c r="B49" s="273"/>
    </row>
    <row r="50" spans="2:3" s="265" customFormat="1">
      <c r="B50" s="273"/>
      <c r="C50" s="411"/>
    </row>
    <row r="51" spans="2:3" s="265" customFormat="1">
      <c r="B51" s="273"/>
    </row>
    <row r="52" spans="2:3" s="265" customFormat="1">
      <c r="B52" s="273"/>
    </row>
    <row r="53" spans="2:3" s="265" customFormat="1">
      <c r="B53" s="273"/>
    </row>
    <row r="54" spans="2:3" s="265" customFormat="1">
      <c r="B54" s="273"/>
    </row>
    <row r="55" spans="2:3" s="265" customFormat="1">
      <c r="B55" s="273"/>
      <c r="C55" s="411"/>
    </row>
    <row r="56" spans="2:3" s="265" customFormat="1">
      <c r="B56" s="273"/>
      <c r="C56" s="416"/>
    </row>
    <row r="57" spans="2:3" s="265" customFormat="1">
      <c r="B57" s="273"/>
      <c r="C57" s="416"/>
    </row>
    <row r="58" spans="2:3" s="265" customFormat="1">
      <c r="B58" s="273"/>
      <c r="C58" s="416"/>
    </row>
    <row r="59" spans="2:3" s="265" customFormat="1">
      <c r="B59" s="273"/>
      <c r="C59" s="416"/>
    </row>
    <row r="60" spans="2:3" s="265" customFormat="1">
      <c r="B60" s="273"/>
      <c r="C60" s="411"/>
    </row>
    <row r="61" spans="2:3" s="265" customFormat="1">
      <c r="B61" s="273"/>
      <c r="C61" s="417"/>
    </row>
    <row r="62" spans="2:3" s="265" customFormat="1">
      <c r="B62" s="273"/>
      <c r="C62" s="417"/>
    </row>
    <row r="63" spans="2:3" s="265" customFormat="1">
      <c r="B63" s="273"/>
      <c r="C63" s="411"/>
    </row>
    <row r="64" spans="2:3" s="265" customFormat="1">
      <c r="B64" s="273"/>
      <c r="C64" s="411"/>
    </row>
    <row r="65" spans="2:3" s="265" customFormat="1">
      <c r="B65" s="273"/>
      <c r="C65" s="411"/>
    </row>
    <row r="66" spans="2:3" s="265" customFormat="1">
      <c r="B66" s="273"/>
      <c r="C66" s="411"/>
    </row>
    <row r="67" spans="2:3" s="265" customFormat="1">
      <c r="B67" s="273"/>
    </row>
    <row r="68" spans="2:3" s="265" customFormat="1"/>
    <row r="69" spans="2:3" s="265" customFormat="1"/>
    <row r="70" spans="2:3" s="265" customFormat="1"/>
    <row r="71" spans="2:3" s="265" customFormat="1"/>
    <row r="72" spans="2:3" s="265" customFormat="1"/>
    <row r="73" spans="2:3" s="265" customFormat="1"/>
    <row r="74" spans="2:3" s="265" customFormat="1"/>
    <row r="75" spans="2:3" s="265" customFormat="1"/>
    <row r="76" spans="2:3" s="265" customFormat="1"/>
    <row r="77" spans="2:3" s="265" customFormat="1"/>
    <row r="78" spans="2:3" s="265" customFormat="1"/>
    <row r="79" spans="2:3" s="265" customFormat="1"/>
    <row r="80" spans="2:3" s="265" customFormat="1"/>
    <row r="81" s="265" customFormat="1"/>
    <row r="82" s="265" customFormat="1"/>
    <row r="83" s="265" customFormat="1"/>
    <row r="84" s="265" customFormat="1"/>
    <row r="85" s="265" customFormat="1"/>
    <row r="86" s="265" customFormat="1"/>
    <row r="87" s="265" customFormat="1"/>
    <row r="88" s="265" customFormat="1"/>
    <row r="89" s="265" customFormat="1"/>
    <row r="90" s="265" customFormat="1"/>
    <row r="91" s="265" customFormat="1"/>
    <row r="92" s="265" customFormat="1"/>
    <row r="93" s="265" customFormat="1"/>
    <row r="94" s="265" customFormat="1"/>
    <row r="95" s="265" customFormat="1"/>
    <row r="96" s="265" customFormat="1"/>
    <row r="97" s="265" customFormat="1"/>
    <row r="98" s="265" customFormat="1"/>
    <row r="99" s="265" customFormat="1"/>
    <row r="100" s="265" customFormat="1"/>
    <row r="101" s="265" customFormat="1"/>
    <row r="102" s="265" customFormat="1"/>
    <row r="103" s="265" customFormat="1"/>
    <row r="104" s="265" customFormat="1"/>
    <row r="105" s="265" customFormat="1"/>
    <row r="106" s="265" customFormat="1"/>
    <row r="107" s="265" customFormat="1"/>
    <row r="108" s="265" customFormat="1"/>
    <row r="109" s="265" customFormat="1"/>
    <row r="110" s="265" customFormat="1"/>
    <row r="111" s="265" customFormat="1"/>
    <row r="112" s="265" customFormat="1"/>
    <row r="113" s="265" customFormat="1"/>
    <row r="114" s="265" customFormat="1"/>
  </sheetData>
  <sheetProtection algorithmName="SHA-512" hashValue="/S/4SV4cCJXtgQaIJpHt1/ZvtoBRv/uDKR7nPiwfxUBR4SJtuw2169QbH2knnzYaLTxbH+SFMQHC8k+UtFsuDA==" saltValue="tsk9OLF6R/kkrSE8du8zsw==" spinCount="100000" sheet="1" objects="1" scenarios="1"/>
  <mergeCells count="83">
    <mergeCell ref="B30:C30"/>
    <mergeCell ref="D32:E32"/>
    <mergeCell ref="B43:C43"/>
    <mergeCell ref="D43:F43"/>
    <mergeCell ref="C14:I14"/>
    <mergeCell ref="C15:I15"/>
    <mergeCell ref="C16:I16"/>
    <mergeCell ref="B19:C19"/>
    <mergeCell ref="D19:I19"/>
    <mergeCell ref="D31:E31"/>
    <mergeCell ref="B21:C21"/>
    <mergeCell ref="D21:E21"/>
    <mergeCell ref="D22:E22"/>
    <mergeCell ref="B23:C23"/>
    <mergeCell ref="D23:E23"/>
    <mergeCell ref="B24:C24"/>
    <mergeCell ref="D24:E24"/>
    <mergeCell ref="B27:C27"/>
    <mergeCell ref="D27:E27"/>
    <mergeCell ref="B26:C26"/>
    <mergeCell ref="B28:C28"/>
    <mergeCell ref="D28:E28"/>
    <mergeCell ref="D42:E42"/>
    <mergeCell ref="F38:I38"/>
    <mergeCell ref="D40:I40"/>
    <mergeCell ref="B33:C33"/>
    <mergeCell ref="H33:I33"/>
    <mergeCell ref="B35:C35"/>
    <mergeCell ref="D35:E35"/>
    <mergeCell ref="F35:I36"/>
    <mergeCell ref="B36:C36"/>
    <mergeCell ref="D36:E36"/>
    <mergeCell ref="B34:I34"/>
    <mergeCell ref="B40:C40"/>
    <mergeCell ref="H37:I37"/>
    <mergeCell ref="B42:C42"/>
    <mergeCell ref="D9:E9"/>
    <mergeCell ref="H9:I9"/>
    <mergeCell ref="B37:C37"/>
    <mergeCell ref="B41:C41"/>
    <mergeCell ref="D41:E41"/>
    <mergeCell ref="F41:I41"/>
    <mergeCell ref="E37:F37"/>
    <mergeCell ref="B38:C38"/>
    <mergeCell ref="B39:C39"/>
    <mergeCell ref="E39:F39"/>
    <mergeCell ref="H39:I39"/>
    <mergeCell ref="D38:E38"/>
    <mergeCell ref="C17:I17"/>
    <mergeCell ref="B18:I18"/>
    <mergeCell ref="D25:E25"/>
    <mergeCell ref="F29:I29"/>
    <mergeCell ref="C10:I10"/>
    <mergeCell ref="D12:E12"/>
    <mergeCell ref="F12:G12"/>
    <mergeCell ref="F11:I11"/>
    <mergeCell ref="D11:E11"/>
    <mergeCell ref="H12:I13"/>
    <mergeCell ref="D13:E13"/>
    <mergeCell ref="F13:G13"/>
    <mergeCell ref="B1:I1"/>
    <mergeCell ref="B2:I2"/>
    <mergeCell ref="C6:I6"/>
    <mergeCell ref="C7:I7"/>
    <mergeCell ref="C8:I8"/>
    <mergeCell ref="B3:C3"/>
    <mergeCell ref="D3:I3"/>
    <mergeCell ref="F31:I32"/>
    <mergeCell ref="B29:C29"/>
    <mergeCell ref="B31:C31"/>
    <mergeCell ref="B25:C25"/>
    <mergeCell ref="D29:E29"/>
    <mergeCell ref="F28:G28"/>
    <mergeCell ref="H28:I28"/>
    <mergeCell ref="D26:E26"/>
    <mergeCell ref="H26:I26"/>
    <mergeCell ref="F20:I25"/>
    <mergeCell ref="F27:I27"/>
    <mergeCell ref="B22:C22"/>
    <mergeCell ref="B20:C20"/>
    <mergeCell ref="D20:E20"/>
    <mergeCell ref="D30:E30"/>
    <mergeCell ref="B32:C32"/>
  </mergeCells>
  <conditionalFormatting sqref="C9">
    <cfRule type="cellIs" dxfId="13" priority="4" operator="equal">
      <formula>0</formula>
    </cfRule>
  </conditionalFormatting>
  <conditionalFormatting sqref="C12">
    <cfRule type="beginsWith" dxfId="12" priority="3" operator="beginsWith" text="0">
      <formula>LEFT(C12,LEN("0"))="0"</formula>
    </cfRule>
  </conditionalFormatting>
  <conditionalFormatting sqref="C13">
    <cfRule type="containsBlanks" dxfId="11" priority="25">
      <formula>LEN(TRIM(C13))=0</formula>
    </cfRule>
  </conditionalFormatting>
  <conditionalFormatting sqref="C7:I7">
    <cfRule type="expression" dxfId="10" priority="1">
      <formula>AND(ISBLANK(C7),LEN(TRIM(J7))=0)</formula>
    </cfRule>
  </conditionalFormatting>
  <conditionalFormatting sqref="D3">
    <cfRule type="containsText" dxfId="9" priority="19" operator="containsText" text=" ReAp fields are missing data – Please fill in the yellow cells">
      <formula>NOT(ISERROR(SEARCH(" ReAp fields are missing data – Please fill in the yellow cells",D3)))</formula>
    </cfRule>
    <cfRule type="containsText" dxfId="8" priority="20" operator="containsText" text="ReAp fields are completed">
      <formula>NOT(ISERROR(SEARCH("ReAp fields are completed",D3)))</formula>
    </cfRule>
  </conditionalFormatting>
  <conditionalFormatting sqref="D20:E20">
    <cfRule type="containsBlanks" dxfId="7" priority="27">
      <formula>LEN(TRIM(D20))=0</formula>
    </cfRule>
  </conditionalFormatting>
  <conditionalFormatting sqref="D22:E22">
    <cfRule type="beginsWith" dxfId="6" priority="6" operator="beginsWith" text="0">
      <formula>LEFT(D22,LEN("0"))="0"</formula>
    </cfRule>
  </conditionalFormatting>
  <conditionalFormatting sqref="F12:G12">
    <cfRule type="beginsWith" dxfId="5" priority="11" operator="beginsWith" text="0">
      <formula>LEFT(F12,LEN("0"))="0"</formula>
    </cfRule>
  </conditionalFormatting>
  <conditionalFormatting sqref="F13:G13">
    <cfRule type="containsBlanks" dxfId="4" priority="26">
      <formula>LEN(TRIM(F13))=0</formula>
    </cfRule>
  </conditionalFormatting>
  <conditionalFormatting sqref="G5">
    <cfRule type="containsBlanks" dxfId="3" priority="22">
      <formula>LEN(TRIM(G5))=0</formula>
    </cfRule>
  </conditionalFormatting>
  <conditionalFormatting sqref="H33:I33">
    <cfRule type="containsBlanks" dxfId="2" priority="28">
      <formula>LEN(TRIM(H33))=0</formula>
    </cfRule>
  </conditionalFormatting>
  <conditionalFormatting sqref="I5">
    <cfRule type="containsBlanks" dxfId="1" priority="23">
      <formula>LEN(TRIM(I5))=0</formula>
    </cfRule>
  </conditionalFormatting>
  <conditionalFormatting sqref="J7:J8">
    <cfRule type="expression" dxfId="0" priority="21">
      <formula>LEN(J7)&gt;0</formula>
    </cfRule>
  </conditionalFormatting>
  <dataValidations count="3">
    <dataValidation type="date" allowBlank="1" showInputMessage="1" showErrorMessage="1" errorTitle="Format" error="Remember the format should be DD-MM-YYYY" sqref="F13:G13 C13" xr:uid="{F357D608-DF3B-42D9-B393-29969547F86E}">
      <formula1>45292</formula1>
      <formula2>73050</formula2>
    </dataValidation>
    <dataValidation type="whole" allowBlank="1" showInputMessage="1" showErrorMessage="1" sqref="D20:E20" xr:uid="{2959A534-9BEB-48B8-A74D-307FCC007F8B}">
      <formula1>0</formula1>
      <formula2>999999999</formula2>
    </dataValidation>
    <dataValidation type="custom" allowBlank="1" showInputMessage="1" showErrorMessage="1" errorTitle="Invalid AUID" error="The AUID is either already entered in another cover letter or is too short (minimum 3 characters). Please correct the AUID and try again._x000a_" sqref="I5" xr:uid="{8FD89C46-6B38-479E-BE56-814DD2E1F6A6}">
      <formula1>K5=0</formula1>
    </dataValidation>
  </dataValidations>
  <pageMargins left="0.11811023622047245" right="0" top="0.39370078740157483" bottom="0.39370078740157483" header="0.31496062992125984" footer="0.31496062992125984"/>
  <pageSetup scale="56" orientation="portrait" horizontalDpi="1200" verticalDpi="1200" r:id="rId1"/>
  <drawing r:id="rId2"/>
  <legacyDrawing r:id="rId3"/>
  <extLst>
    <ext xmlns:x14="http://schemas.microsoft.com/office/spreadsheetml/2009/9/main" uri="{CCE6A557-97BC-4b89-ADB6-D9C93CAAB3DF}">
      <x14:dataValidations xmlns:xm="http://schemas.microsoft.com/office/excel/2006/main" count="6">
        <x14:dataValidation type="list" allowBlank="1" showInputMessage="1" showErrorMessage="1" xr:uid="{B088E61E-733C-4B46-B1ED-7F3DFE667DA7}">
          <x14:formula1>
            <xm:f>Lister!$A$40:$A$41</xm:f>
          </x14:formula1>
          <xm:sqref>C11 D31:E31 D38:E38 D35:E36 D42:E42 G43</xm:sqref>
        </x14:dataValidation>
        <x14:dataValidation type="list" allowBlank="1" showInputMessage="1" showErrorMessage="1" xr:uid="{25F97EF4-3FB0-46C5-986C-EB208524C352}">
          <x14:formula1>
            <xm:f>Lister!$A$69:$A$70</xm:f>
          </x14:formula1>
          <xm:sqref>F9</xm:sqref>
        </x14:dataValidation>
        <x14:dataValidation type="list" allowBlank="1" showInputMessage="1" showErrorMessage="1" errorTitle="Choose from the list" error="Please choose section from the list" xr:uid="{D61C81ED-B157-4F18-9D71-5287B549A8B9}">
          <x14:formula1>
            <xm:f>'Section Cover letter'!$E:$E</xm:f>
          </x14:formula1>
          <xm:sqref>G5</xm:sqref>
        </x14:dataValidation>
        <x14:dataValidation type="list" allowBlank="1" showInputMessage="1" showErrorMessage="1" error="Please select controller from the list_x000a_" xr:uid="{4B9964F7-2607-429E-98E2-A202CE5489DD}">
          <x14:formula1>
            <xm:f>Economists!$B$2:$B$505</xm:f>
          </x14:formula1>
          <xm:sqref>H33:I33</xm:sqref>
        </x14:dataValidation>
        <x14:dataValidation type="list" allowBlank="1" showInputMessage="1" showErrorMessage="1" errorTitle="Choose from the list" error="Please choose grant source from the list." xr:uid="{8E8A7629-A3F4-46AD-9F6A-BB6E8FDE4755}">
          <x14:formula1>
            <xm:f>GrantSource!$C$2:$C$2132</xm:f>
          </x14:formula1>
          <xm:sqref>C7:I7</xm:sqref>
        </x14:dataValidation>
        <x14:dataValidation type="list" allowBlank="1" showInputMessage="1" showErrorMessage="1" errorTitle="Choose from the list" error="Please choose Instrument from the list" xr:uid="{2D7798C6-974C-44B1-9995-253BA0BB7093}">
          <x14:formula1>
            <xm:f>Instrument!$F:$F</xm:f>
          </x14:formula1>
          <xm:sqref>C8:I8</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7B709-2E64-43D6-9C62-258122B61033}">
  <sheetPr codeName="Ark17"/>
  <dimension ref="A1:D31"/>
  <sheetViews>
    <sheetView workbookViewId="0">
      <selection activeCell="B22" sqref="B22"/>
    </sheetView>
  </sheetViews>
  <sheetFormatPr defaultRowHeight="14"/>
  <cols>
    <col min="1" max="1" width="15" bestFit="1" customWidth="1"/>
    <col min="2" max="2" width="18.9140625" bestFit="1" customWidth="1"/>
    <col min="3" max="3" width="14" bestFit="1" customWidth="1"/>
    <col min="4" max="4" width="13.6640625" bestFit="1" customWidth="1"/>
    <col min="5" max="5" width="15.5" bestFit="1" customWidth="1"/>
    <col min="6" max="6" width="19.58203125" bestFit="1" customWidth="1"/>
    <col min="7" max="7" width="14.5" bestFit="1" customWidth="1"/>
  </cols>
  <sheetData>
    <row r="1" spans="1:4">
      <c r="A1" t="s">
        <v>667</v>
      </c>
      <c r="B1" t="s">
        <v>668</v>
      </c>
      <c r="C1" t="s">
        <v>669</v>
      </c>
      <c r="D1" t="s">
        <v>670</v>
      </c>
    </row>
    <row r="2" spans="1:4">
      <c r="A2" t="s">
        <v>611</v>
      </c>
      <c r="B2" t="s">
        <v>612</v>
      </c>
      <c r="C2">
        <v>463</v>
      </c>
      <c r="D2" s="96">
        <v>46288</v>
      </c>
    </row>
    <row r="3" spans="1:4">
      <c r="A3" t="s">
        <v>613</v>
      </c>
      <c r="B3" t="s">
        <v>614</v>
      </c>
      <c r="C3">
        <v>127.65</v>
      </c>
      <c r="D3" s="96">
        <v>46288</v>
      </c>
    </row>
    <row r="4" spans="1:4">
      <c r="A4" t="s">
        <v>615</v>
      </c>
      <c r="B4" t="s">
        <v>616</v>
      </c>
      <c r="C4">
        <v>464.99</v>
      </c>
      <c r="D4" s="96">
        <v>46288</v>
      </c>
    </row>
    <row r="5" spans="1:4">
      <c r="A5" t="s">
        <v>617</v>
      </c>
      <c r="B5" t="s">
        <v>618</v>
      </c>
      <c r="C5">
        <v>97.67</v>
      </c>
      <c r="D5" s="96">
        <v>46288</v>
      </c>
    </row>
    <row r="6" spans="1:4">
      <c r="A6" t="s">
        <v>619</v>
      </c>
      <c r="B6" t="s">
        <v>620</v>
      </c>
      <c r="C6">
        <v>30.66</v>
      </c>
      <c r="D6" s="96">
        <v>46288</v>
      </c>
    </row>
    <row r="7" spans="1:4">
      <c r="A7" t="s">
        <v>23</v>
      </c>
      <c r="B7" t="s">
        <v>621</v>
      </c>
      <c r="C7">
        <v>747.56</v>
      </c>
      <c r="D7" s="96">
        <v>46288</v>
      </c>
    </row>
    <row r="8" spans="1:4">
      <c r="A8" t="s">
        <v>622</v>
      </c>
      <c r="B8" t="s">
        <v>623</v>
      </c>
      <c r="C8">
        <v>83.52</v>
      </c>
      <c r="D8" s="96">
        <v>46288</v>
      </c>
    </row>
    <row r="9" spans="1:4">
      <c r="A9" t="s">
        <v>624</v>
      </c>
      <c r="B9" t="s">
        <v>625</v>
      </c>
      <c r="C9">
        <v>2.052</v>
      </c>
      <c r="D9" s="96">
        <v>46288</v>
      </c>
    </row>
    <row r="10" spans="1:4">
      <c r="A10" t="s">
        <v>626</v>
      </c>
      <c r="B10" t="s">
        <v>627</v>
      </c>
      <c r="C10">
        <v>5.4169999999999998</v>
      </c>
      <c r="D10" s="96">
        <v>46288</v>
      </c>
    </row>
    <row r="11" spans="1:4">
      <c r="A11" t="s">
        <v>628</v>
      </c>
      <c r="B11" t="s">
        <v>629</v>
      </c>
      <c r="C11">
        <v>6.84</v>
      </c>
      <c r="D11" s="96">
        <v>46288</v>
      </c>
    </row>
    <row r="12" spans="1:4">
      <c r="A12" t="s">
        <v>630</v>
      </c>
      <c r="B12" t="s">
        <v>631</v>
      </c>
      <c r="C12">
        <v>3.6799999999999999E-2</v>
      </c>
      <c r="D12" s="96">
        <v>46288</v>
      </c>
    </row>
    <row r="13" spans="1:4">
      <c r="A13" t="s">
        <v>632</v>
      </c>
      <c r="B13" t="s">
        <v>633</v>
      </c>
      <c r="C13">
        <v>217.21</v>
      </c>
      <c r="D13" s="96">
        <v>46288</v>
      </c>
    </row>
    <row r="14" spans="1:4">
      <c r="A14" t="s">
        <v>634</v>
      </c>
      <c r="B14" t="s">
        <v>635</v>
      </c>
      <c r="C14">
        <v>4.1485000000000003</v>
      </c>
      <c r="D14" s="96">
        <v>46288</v>
      </c>
    </row>
    <row r="15" spans="1:4">
      <c r="A15" t="s">
        <v>636</v>
      </c>
      <c r="B15" t="s">
        <v>637</v>
      </c>
      <c r="C15">
        <v>160.57</v>
      </c>
      <c r="D15" s="96">
        <v>46288</v>
      </c>
    </row>
    <row r="16" spans="1:4">
      <c r="A16" t="s">
        <v>638</v>
      </c>
      <c r="B16" t="s">
        <v>639</v>
      </c>
      <c r="C16">
        <v>37.57</v>
      </c>
      <c r="D16" s="96">
        <v>46288</v>
      </c>
    </row>
    <row r="17" spans="1:4">
      <c r="A17" t="s">
        <v>640</v>
      </c>
      <c r="B17" t="s">
        <v>641</v>
      </c>
      <c r="C17">
        <v>372.87</v>
      </c>
      <c r="D17" s="96">
        <v>46288</v>
      </c>
    </row>
    <row r="18" spans="1:4">
      <c r="A18" t="s">
        <v>25</v>
      </c>
      <c r="B18" t="s">
        <v>642</v>
      </c>
      <c r="C18">
        <v>69.22</v>
      </c>
      <c r="D18" s="96">
        <v>46288</v>
      </c>
    </row>
    <row r="19" spans="1:4">
      <c r="A19" t="s">
        <v>643</v>
      </c>
      <c r="B19" t="s">
        <v>644</v>
      </c>
      <c r="C19">
        <v>10.47</v>
      </c>
      <c r="D19" s="96">
        <v>46288</v>
      </c>
    </row>
    <row r="20" spans="1:4">
      <c r="A20" t="s">
        <v>645</v>
      </c>
      <c r="B20" t="s">
        <v>646</v>
      </c>
      <c r="C20">
        <v>170.81</v>
      </c>
      <c r="D20" s="96">
        <v>46288</v>
      </c>
    </row>
    <row r="21" spans="1:4">
      <c r="A21" t="s">
        <v>647</v>
      </c>
      <c r="B21" t="s">
        <v>648</v>
      </c>
      <c r="C21">
        <v>869.76</v>
      </c>
      <c r="D21" s="96">
        <v>46288</v>
      </c>
    </row>
    <row r="22" spans="1:4">
      <c r="A22" t="s">
        <v>649</v>
      </c>
      <c r="B22" t="s">
        <v>650</v>
      </c>
      <c r="C22">
        <v>141.62</v>
      </c>
      <c r="D22" s="96">
        <v>46288</v>
      </c>
    </row>
    <row r="23" spans="1:4">
      <c r="A23" t="s">
        <v>651</v>
      </c>
      <c r="B23" t="s">
        <v>652</v>
      </c>
      <c r="C23">
        <v>891.69</v>
      </c>
      <c r="D23" s="96">
        <v>46288</v>
      </c>
    </row>
    <row r="24" spans="1:4">
      <c r="A24" t="s">
        <v>653</v>
      </c>
      <c r="B24" t="s">
        <v>654</v>
      </c>
      <c r="C24">
        <v>512.48</v>
      </c>
      <c r="D24" s="96">
        <v>46288</v>
      </c>
    </row>
    <row r="25" spans="1:4">
      <c r="A25" t="s">
        <v>655</v>
      </c>
      <c r="B25" t="s">
        <v>656</v>
      </c>
      <c r="C25">
        <v>40.08</v>
      </c>
      <c r="D25" s="96">
        <v>46288</v>
      </c>
    </row>
    <row r="26" spans="1:4">
      <c r="A26" t="s">
        <v>657</v>
      </c>
      <c r="B26" t="s">
        <v>658</v>
      </c>
      <c r="C26">
        <v>0.4798</v>
      </c>
      <c r="D26" s="96">
        <v>46288</v>
      </c>
    </row>
    <row r="27" spans="1:4">
      <c r="A27" t="s">
        <v>24</v>
      </c>
      <c r="B27" t="s">
        <v>659</v>
      </c>
      <c r="C27">
        <v>66.319999999999993</v>
      </c>
      <c r="D27" s="96">
        <v>46288</v>
      </c>
    </row>
    <row r="28" spans="1:4">
      <c r="A28" t="s">
        <v>660</v>
      </c>
      <c r="B28" t="s">
        <v>661</v>
      </c>
      <c r="C28">
        <v>796.12</v>
      </c>
      <c r="D28" s="96">
        <v>46288</v>
      </c>
    </row>
    <row r="29" spans="1:4">
      <c r="A29" t="s">
        <v>662</v>
      </c>
      <c r="B29" t="s">
        <v>663</v>
      </c>
      <c r="C29">
        <v>19.68</v>
      </c>
      <c r="D29" s="96">
        <v>46288</v>
      </c>
    </row>
    <row r="30" spans="1:4">
      <c r="A30" t="s">
        <v>664</v>
      </c>
      <c r="B30" t="s">
        <v>665</v>
      </c>
      <c r="C30">
        <v>13.41</v>
      </c>
      <c r="D30" s="96">
        <v>46288</v>
      </c>
    </row>
    <row r="31" spans="1:4">
      <c r="A31" t="s">
        <v>26</v>
      </c>
      <c r="B31" t="s">
        <v>666</v>
      </c>
      <c r="C31">
        <v>655.12</v>
      </c>
      <c r="D31" s="96">
        <v>46288</v>
      </c>
    </row>
  </sheetData>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84041-963F-4AF4-ABAE-A1867833BF9A}">
  <dimension ref="A1:D442"/>
  <sheetViews>
    <sheetView workbookViewId="0">
      <selection activeCell="C30" sqref="C30"/>
    </sheetView>
  </sheetViews>
  <sheetFormatPr defaultRowHeight="14"/>
  <cols>
    <col min="1" max="1" width="21.5" bestFit="1" customWidth="1"/>
    <col min="2" max="2" width="59" bestFit="1" customWidth="1"/>
    <col min="3" max="4" width="78.75" bestFit="1" customWidth="1"/>
    <col min="5" max="5" width="18.83203125" bestFit="1" customWidth="1"/>
    <col min="6" max="6" width="60.25" bestFit="1" customWidth="1"/>
    <col min="7" max="7" width="14" bestFit="1" customWidth="1"/>
    <col min="8" max="8" width="60.25" bestFit="1" customWidth="1"/>
  </cols>
  <sheetData>
    <row r="1" spans="1:4">
      <c r="A1" t="s">
        <v>1905</v>
      </c>
      <c r="B1" t="s">
        <v>909</v>
      </c>
      <c r="C1" t="s">
        <v>1418</v>
      </c>
      <c r="D1" t="s">
        <v>1419</v>
      </c>
    </row>
    <row r="2" spans="1:4">
      <c r="A2" t="s">
        <v>1901</v>
      </c>
      <c r="B2" t="s">
        <v>2146</v>
      </c>
      <c r="D2" t="s">
        <v>2147</v>
      </c>
    </row>
    <row r="3" spans="1:4">
      <c r="A3" t="s">
        <v>1901</v>
      </c>
      <c r="B3" t="s">
        <v>1621</v>
      </c>
      <c r="C3" t="s">
        <v>1622</v>
      </c>
      <c r="D3" t="s">
        <v>1632</v>
      </c>
    </row>
    <row r="4" spans="1:4">
      <c r="A4" t="s">
        <v>1901</v>
      </c>
      <c r="B4" t="s">
        <v>300</v>
      </c>
      <c r="C4" t="s">
        <v>1452</v>
      </c>
      <c r="D4" t="s">
        <v>1453</v>
      </c>
    </row>
    <row r="5" spans="1:4">
      <c r="A5" t="s">
        <v>1901</v>
      </c>
      <c r="B5" t="s">
        <v>303</v>
      </c>
      <c r="C5" t="s">
        <v>1488</v>
      </c>
      <c r="D5" t="s">
        <v>1489</v>
      </c>
    </row>
    <row r="6" spans="1:4">
      <c r="A6" t="s">
        <v>1901</v>
      </c>
      <c r="B6" t="s">
        <v>321</v>
      </c>
      <c r="C6" t="s">
        <v>1492</v>
      </c>
      <c r="D6" t="s">
        <v>1493</v>
      </c>
    </row>
    <row r="7" spans="1:4">
      <c r="A7" t="s">
        <v>1901</v>
      </c>
      <c r="B7" t="s">
        <v>322</v>
      </c>
      <c r="C7" t="s">
        <v>1494</v>
      </c>
      <c r="D7" t="s">
        <v>1495</v>
      </c>
    </row>
    <row r="8" spans="1:4">
      <c r="A8" t="s">
        <v>1901</v>
      </c>
      <c r="B8" t="s">
        <v>520</v>
      </c>
      <c r="C8" t="s">
        <v>1490</v>
      </c>
      <c r="D8" t="s">
        <v>1491</v>
      </c>
    </row>
    <row r="9" spans="1:4">
      <c r="A9" t="s">
        <v>1901</v>
      </c>
      <c r="B9" t="s">
        <v>516</v>
      </c>
      <c r="C9" t="s">
        <v>1486</v>
      </c>
      <c r="D9" t="s">
        <v>1487</v>
      </c>
    </row>
    <row r="10" spans="1:4">
      <c r="A10" t="s">
        <v>1901</v>
      </c>
      <c r="B10" t="s">
        <v>521</v>
      </c>
      <c r="C10" t="s">
        <v>1595</v>
      </c>
      <c r="D10" t="s">
        <v>1596</v>
      </c>
    </row>
    <row r="11" spans="1:4">
      <c r="A11" t="s">
        <v>1901</v>
      </c>
      <c r="B11" t="s">
        <v>769</v>
      </c>
      <c r="C11" t="s">
        <v>6</v>
      </c>
      <c r="D11" t="s">
        <v>1516</v>
      </c>
    </row>
    <row r="12" spans="1:4">
      <c r="A12" t="s">
        <v>1901</v>
      </c>
      <c r="B12" t="s">
        <v>326</v>
      </c>
      <c r="C12" t="s">
        <v>1514</v>
      </c>
      <c r="D12" t="s">
        <v>1515</v>
      </c>
    </row>
    <row r="13" spans="1:4">
      <c r="A13" t="s">
        <v>1901</v>
      </c>
      <c r="B13" t="s">
        <v>787</v>
      </c>
      <c r="C13" t="s">
        <v>1442</v>
      </c>
      <c r="D13" t="s">
        <v>1443</v>
      </c>
    </row>
    <row r="14" spans="1:4">
      <c r="A14" t="s">
        <v>1901</v>
      </c>
      <c r="B14" t="s">
        <v>208</v>
      </c>
      <c r="C14" t="s">
        <v>1448</v>
      </c>
      <c r="D14" t="s">
        <v>1449</v>
      </c>
    </row>
    <row r="15" spans="1:4">
      <c r="A15" t="s">
        <v>1901</v>
      </c>
      <c r="B15" t="s">
        <v>308</v>
      </c>
      <c r="D15" t="s">
        <v>1686</v>
      </c>
    </row>
    <row r="16" spans="1:4">
      <c r="A16" t="s">
        <v>1901</v>
      </c>
      <c r="B16" t="s">
        <v>1404</v>
      </c>
      <c r="C16" t="s">
        <v>1450</v>
      </c>
      <c r="D16" t="s">
        <v>1451</v>
      </c>
    </row>
    <row r="17" spans="1:4">
      <c r="A17" t="s">
        <v>1901</v>
      </c>
      <c r="B17" t="s">
        <v>1922</v>
      </c>
      <c r="D17" t="s">
        <v>1923</v>
      </c>
    </row>
    <row r="18" spans="1:4">
      <c r="A18" t="s">
        <v>1901</v>
      </c>
      <c r="B18" t="s">
        <v>310</v>
      </c>
      <c r="D18" t="s">
        <v>1689</v>
      </c>
    </row>
    <row r="19" spans="1:4">
      <c r="A19" t="s">
        <v>1901</v>
      </c>
      <c r="B19" t="s">
        <v>311</v>
      </c>
      <c r="D19" t="s">
        <v>1690</v>
      </c>
    </row>
    <row r="20" spans="1:4">
      <c r="A20" t="s">
        <v>1901</v>
      </c>
      <c r="B20" t="s">
        <v>313</v>
      </c>
      <c r="D20" t="s">
        <v>1692</v>
      </c>
    </row>
    <row r="21" spans="1:4">
      <c r="A21" t="s">
        <v>1901</v>
      </c>
      <c r="B21" t="s">
        <v>339</v>
      </c>
      <c r="D21" t="s">
        <v>1834</v>
      </c>
    </row>
    <row r="22" spans="1:4">
      <c r="A22" t="s">
        <v>1901</v>
      </c>
      <c r="B22" t="s">
        <v>312</v>
      </c>
      <c r="C22" t="s">
        <v>1456</v>
      </c>
      <c r="D22" t="s">
        <v>1457</v>
      </c>
    </row>
    <row r="23" spans="1:4">
      <c r="A23" t="s">
        <v>1901</v>
      </c>
      <c r="B23" t="s">
        <v>315</v>
      </c>
      <c r="C23" t="s">
        <v>1460</v>
      </c>
      <c r="D23" t="s">
        <v>1461</v>
      </c>
    </row>
    <row r="24" spans="1:4">
      <c r="A24" t="s">
        <v>1901</v>
      </c>
      <c r="B24" t="s">
        <v>302</v>
      </c>
      <c r="C24" t="s">
        <v>1464</v>
      </c>
      <c r="D24" t="s">
        <v>1465</v>
      </c>
    </row>
    <row r="25" spans="1:4">
      <c r="A25" t="s">
        <v>1901</v>
      </c>
      <c r="B25" t="s">
        <v>1388</v>
      </c>
      <c r="C25" t="s">
        <v>1444</v>
      </c>
      <c r="D25" t="s">
        <v>1445</v>
      </c>
    </row>
    <row r="26" spans="1:4">
      <c r="A26" t="s">
        <v>1901</v>
      </c>
      <c r="B26" t="s">
        <v>316</v>
      </c>
      <c r="D26" t="s">
        <v>1712</v>
      </c>
    </row>
    <row r="27" spans="1:4">
      <c r="A27" t="s">
        <v>1901</v>
      </c>
      <c r="B27" t="s">
        <v>317</v>
      </c>
      <c r="C27" t="s">
        <v>1472</v>
      </c>
      <c r="D27" t="s">
        <v>1473</v>
      </c>
    </row>
    <row r="28" spans="1:4">
      <c r="A28" t="s">
        <v>1901</v>
      </c>
      <c r="B28" t="s">
        <v>318</v>
      </c>
      <c r="C28" t="s">
        <v>1476</v>
      </c>
      <c r="D28" t="s">
        <v>1477</v>
      </c>
    </row>
    <row r="29" spans="1:4">
      <c r="A29" t="s">
        <v>1901</v>
      </c>
      <c r="B29" t="s">
        <v>1290</v>
      </c>
      <c r="C29" t="s">
        <v>1474</v>
      </c>
      <c r="D29" t="s">
        <v>1475</v>
      </c>
    </row>
    <row r="30" spans="1:4">
      <c r="A30" t="s">
        <v>1901</v>
      </c>
      <c r="B30" t="s">
        <v>1340</v>
      </c>
      <c r="C30" t="s">
        <v>1468</v>
      </c>
      <c r="D30" t="s">
        <v>1469</v>
      </c>
    </row>
    <row r="31" spans="1:4">
      <c r="A31" t="s">
        <v>1901</v>
      </c>
      <c r="B31" t="s">
        <v>319</v>
      </c>
      <c r="C31" t="s">
        <v>1482</v>
      </c>
      <c r="D31" t="s">
        <v>1483</v>
      </c>
    </row>
    <row r="32" spans="1:4">
      <c r="A32" t="s">
        <v>1901</v>
      </c>
      <c r="B32" t="s">
        <v>320</v>
      </c>
      <c r="C32" t="s">
        <v>1484</v>
      </c>
      <c r="D32" t="s">
        <v>1485</v>
      </c>
    </row>
    <row r="33" spans="1:4">
      <c r="A33" t="s">
        <v>1901</v>
      </c>
      <c r="B33" t="s">
        <v>323</v>
      </c>
      <c r="C33" t="s">
        <v>1496</v>
      </c>
      <c r="D33" t="s">
        <v>1497</v>
      </c>
    </row>
    <row r="34" spans="1:4">
      <c r="A34" t="s">
        <v>1901</v>
      </c>
      <c r="B34" t="s">
        <v>2158</v>
      </c>
      <c r="C34" t="s">
        <v>2159</v>
      </c>
      <c r="D34" t="s">
        <v>2160</v>
      </c>
    </row>
    <row r="35" spans="1:4">
      <c r="A35" t="s">
        <v>1901</v>
      </c>
      <c r="B35" t="s">
        <v>324</v>
      </c>
      <c r="C35" t="s">
        <v>1498</v>
      </c>
      <c r="D35" t="s">
        <v>1499</v>
      </c>
    </row>
    <row r="36" spans="1:4">
      <c r="A36" t="s">
        <v>1901</v>
      </c>
      <c r="B36" t="s">
        <v>9</v>
      </c>
      <c r="C36" t="s">
        <v>1500</v>
      </c>
      <c r="D36" t="s">
        <v>1501</v>
      </c>
    </row>
    <row r="37" spans="1:4">
      <c r="A37" t="s">
        <v>1901</v>
      </c>
      <c r="B37" t="s">
        <v>325</v>
      </c>
      <c r="C37" t="s">
        <v>1504</v>
      </c>
      <c r="D37" t="s">
        <v>1505</v>
      </c>
    </row>
    <row r="38" spans="1:4">
      <c r="A38" t="s">
        <v>1901</v>
      </c>
      <c r="B38" t="s">
        <v>2009</v>
      </c>
      <c r="D38" t="s">
        <v>2010</v>
      </c>
    </row>
    <row r="39" spans="1:4">
      <c r="A39" t="s">
        <v>1901</v>
      </c>
      <c r="B39" t="s">
        <v>829</v>
      </c>
      <c r="D39" t="s">
        <v>1772</v>
      </c>
    </row>
    <row r="40" spans="1:4">
      <c r="A40" t="s">
        <v>1901</v>
      </c>
      <c r="B40" t="s">
        <v>327</v>
      </c>
      <c r="C40" t="s">
        <v>1521</v>
      </c>
      <c r="D40" t="s">
        <v>1522</v>
      </c>
    </row>
    <row r="41" spans="1:4">
      <c r="A41" t="s">
        <v>1901</v>
      </c>
      <c r="B41" t="s">
        <v>2019</v>
      </c>
      <c r="C41" t="s">
        <v>2020</v>
      </c>
      <c r="D41" t="s">
        <v>2021</v>
      </c>
    </row>
    <row r="42" spans="1:4">
      <c r="A42" t="s">
        <v>1901</v>
      </c>
      <c r="B42" t="s">
        <v>329</v>
      </c>
      <c r="C42" t="s">
        <v>1525</v>
      </c>
      <c r="D42" t="s">
        <v>1526</v>
      </c>
    </row>
    <row r="43" spans="1:4">
      <c r="A43" t="s">
        <v>1901</v>
      </c>
      <c r="B43" t="s">
        <v>330</v>
      </c>
      <c r="C43" t="s">
        <v>1527</v>
      </c>
      <c r="D43" t="s">
        <v>1528</v>
      </c>
    </row>
    <row r="44" spans="1:4">
      <c r="A44" t="s">
        <v>1901</v>
      </c>
      <c r="B44" t="s">
        <v>1320</v>
      </c>
      <c r="D44" t="s">
        <v>1786</v>
      </c>
    </row>
    <row r="45" spans="1:4">
      <c r="A45" t="s">
        <v>1901</v>
      </c>
      <c r="B45" t="s">
        <v>328</v>
      </c>
      <c r="C45" t="s">
        <v>1529</v>
      </c>
      <c r="D45" t="s">
        <v>1530</v>
      </c>
    </row>
    <row r="46" spans="1:4">
      <c r="A46" t="s">
        <v>1901</v>
      </c>
      <c r="B46" t="s">
        <v>1930</v>
      </c>
      <c r="D46" t="s">
        <v>1931</v>
      </c>
    </row>
    <row r="47" spans="1:4">
      <c r="A47" t="s">
        <v>1901</v>
      </c>
      <c r="B47" t="s">
        <v>331</v>
      </c>
      <c r="C47" t="s">
        <v>1531</v>
      </c>
      <c r="D47" t="s">
        <v>1532</v>
      </c>
    </row>
    <row r="48" spans="1:4">
      <c r="A48" t="s">
        <v>1901</v>
      </c>
      <c r="B48" t="s">
        <v>2024</v>
      </c>
      <c r="D48" t="s">
        <v>2025</v>
      </c>
    </row>
    <row r="49" spans="1:4">
      <c r="A49" t="s">
        <v>1901</v>
      </c>
      <c r="B49" t="s">
        <v>2026</v>
      </c>
      <c r="D49" t="s">
        <v>2027</v>
      </c>
    </row>
    <row r="50" spans="1:4">
      <c r="A50" t="s">
        <v>1901</v>
      </c>
      <c r="B50" t="s">
        <v>2028</v>
      </c>
      <c r="C50" t="s">
        <v>2029</v>
      </c>
      <c r="D50" t="s">
        <v>2030</v>
      </c>
    </row>
    <row r="51" spans="1:4">
      <c r="A51" t="s">
        <v>1901</v>
      </c>
      <c r="B51" t="s">
        <v>333</v>
      </c>
      <c r="C51" t="s">
        <v>1541</v>
      </c>
      <c r="D51" t="s">
        <v>1542</v>
      </c>
    </row>
    <row r="52" spans="1:4">
      <c r="A52" t="s">
        <v>1901</v>
      </c>
      <c r="B52" t="s">
        <v>1932</v>
      </c>
      <c r="C52" t="s">
        <v>1933</v>
      </c>
      <c r="D52" t="s">
        <v>1934</v>
      </c>
    </row>
    <row r="53" spans="1:4">
      <c r="A53" t="s">
        <v>1901</v>
      </c>
      <c r="B53" t="s">
        <v>334</v>
      </c>
      <c r="C53" t="s">
        <v>1543</v>
      </c>
      <c r="D53" t="s">
        <v>1544</v>
      </c>
    </row>
    <row r="54" spans="1:4">
      <c r="A54" t="s">
        <v>1901</v>
      </c>
      <c r="B54" t="s">
        <v>332</v>
      </c>
      <c r="C54" t="s">
        <v>1545</v>
      </c>
      <c r="D54" t="s">
        <v>1546</v>
      </c>
    </row>
    <row r="55" spans="1:4">
      <c r="A55" t="s">
        <v>1901</v>
      </c>
      <c r="B55" t="s">
        <v>1369</v>
      </c>
      <c r="C55" t="s">
        <v>1547</v>
      </c>
      <c r="D55" t="s">
        <v>1548</v>
      </c>
    </row>
    <row r="56" spans="1:4">
      <c r="A56" t="s">
        <v>1901</v>
      </c>
      <c r="B56" t="s">
        <v>335</v>
      </c>
      <c r="C56" t="s">
        <v>1549</v>
      </c>
      <c r="D56" t="s">
        <v>1550</v>
      </c>
    </row>
    <row r="57" spans="1:4">
      <c r="A57" t="s">
        <v>1901</v>
      </c>
      <c r="B57" t="s">
        <v>336</v>
      </c>
      <c r="C57" t="s">
        <v>1551</v>
      </c>
      <c r="D57" t="s">
        <v>1552</v>
      </c>
    </row>
    <row r="58" spans="1:4">
      <c r="A58" t="s">
        <v>1901</v>
      </c>
      <c r="B58" t="s">
        <v>1914</v>
      </c>
      <c r="D58" t="s">
        <v>1915</v>
      </c>
    </row>
    <row r="59" spans="1:4">
      <c r="A59" t="s">
        <v>1901</v>
      </c>
      <c r="B59" t="s">
        <v>337</v>
      </c>
      <c r="C59" t="s">
        <v>1563</v>
      </c>
      <c r="D59" t="s">
        <v>1564</v>
      </c>
    </row>
    <row r="60" spans="1:4">
      <c r="A60" t="s">
        <v>1901</v>
      </c>
      <c r="B60" t="s">
        <v>338</v>
      </c>
      <c r="C60" t="s">
        <v>1567</v>
      </c>
      <c r="D60" t="s">
        <v>1568</v>
      </c>
    </row>
    <row r="61" spans="1:4">
      <c r="A61" t="s">
        <v>1901</v>
      </c>
      <c r="B61" t="s">
        <v>1372</v>
      </c>
      <c r="C61" t="s">
        <v>2086</v>
      </c>
      <c r="D61" t="s">
        <v>2087</v>
      </c>
    </row>
    <row r="62" spans="1:4">
      <c r="A62" t="s">
        <v>1901</v>
      </c>
      <c r="B62" t="s">
        <v>340</v>
      </c>
      <c r="C62" t="s">
        <v>1570</v>
      </c>
      <c r="D62" t="s">
        <v>1571</v>
      </c>
    </row>
    <row r="63" spans="1:4">
      <c r="A63" t="s">
        <v>1901</v>
      </c>
      <c r="B63" t="s">
        <v>342</v>
      </c>
      <c r="C63" t="s">
        <v>1572</v>
      </c>
      <c r="D63" t="s">
        <v>1573</v>
      </c>
    </row>
    <row r="64" spans="1:4">
      <c r="A64" t="s">
        <v>1901</v>
      </c>
      <c r="B64" t="s">
        <v>865</v>
      </c>
      <c r="C64" t="s">
        <v>1574</v>
      </c>
      <c r="D64" t="s">
        <v>1575</v>
      </c>
    </row>
    <row r="65" spans="1:4">
      <c r="A65" t="s">
        <v>1901</v>
      </c>
      <c r="B65" t="s">
        <v>866</v>
      </c>
      <c r="C65" t="s">
        <v>1576</v>
      </c>
      <c r="D65" t="s">
        <v>1577</v>
      </c>
    </row>
    <row r="66" spans="1:4">
      <c r="A66" t="s">
        <v>1901</v>
      </c>
      <c r="B66" t="s">
        <v>2088</v>
      </c>
      <c r="C66" t="s">
        <v>2089</v>
      </c>
      <c r="D66" t="s">
        <v>2090</v>
      </c>
    </row>
    <row r="67" spans="1:4">
      <c r="A67" t="s">
        <v>1901</v>
      </c>
      <c r="B67" t="s">
        <v>2039</v>
      </c>
      <c r="D67" t="s">
        <v>2040</v>
      </c>
    </row>
    <row r="68" spans="1:4">
      <c r="A68" t="s">
        <v>1901</v>
      </c>
      <c r="B68" t="s">
        <v>341</v>
      </c>
      <c r="C68" t="s">
        <v>1582</v>
      </c>
      <c r="D68" t="s">
        <v>1583</v>
      </c>
    </row>
    <row r="69" spans="1:4">
      <c r="A69" t="s">
        <v>1901</v>
      </c>
      <c r="B69" t="s">
        <v>876</v>
      </c>
      <c r="C69" t="s">
        <v>1588</v>
      </c>
      <c r="D69" t="s">
        <v>1589</v>
      </c>
    </row>
    <row r="70" spans="1:4">
      <c r="A70" t="s">
        <v>1901</v>
      </c>
      <c r="B70" t="s">
        <v>1627</v>
      </c>
      <c r="C70" t="s">
        <v>1628</v>
      </c>
      <c r="D70" t="s">
        <v>1634</v>
      </c>
    </row>
    <row r="71" spans="1:4">
      <c r="A71" t="s">
        <v>1901</v>
      </c>
      <c r="B71" t="s">
        <v>2041</v>
      </c>
      <c r="D71" t="s">
        <v>2042</v>
      </c>
    </row>
    <row r="72" spans="1:4">
      <c r="A72" t="s">
        <v>1901</v>
      </c>
      <c r="B72" t="s">
        <v>1629</v>
      </c>
      <c r="C72" t="s">
        <v>1590</v>
      </c>
      <c r="D72" t="s">
        <v>1636</v>
      </c>
    </row>
    <row r="73" spans="1:4">
      <c r="A73" t="s">
        <v>1901</v>
      </c>
      <c r="B73" t="s">
        <v>343</v>
      </c>
      <c r="C73" t="s">
        <v>1591</v>
      </c>
      <c r="D73" t="s">
        <v>1592</v>
      </c>
    </row>
    <row r="74" spans="1:4">
      <c r="A74" t="s">
        <v>1901</v>
      </c>
      <c r="B74" t="s">
        <v>344</v>
      </c>
      <c r="C74" t="s">
        <v>1593</v>
      </c>
      <c r="D74" t="s">
        <v>1594</v>
      </c>
    </row>
    <row r="75" spans="1:4">
      <c r="A75" t="s">
        <v>1901</v>
      </c>
      <c r="B75" t="s">
        <v>2181</v>
      </c>
      <c r="D75" t="s">
        <v>2182</v>
      </c>
    </row>
    <row r="76" spans="1:4">
      <c r="A76" t="s">
        <v>1901</v>
      </c>
      <c r="B76" t="s">
        <v>345</v>
      </c>
      <c r="C76" t="s">
        <v>1601</v>
      </c>
      <c r="D76" t="s">
        <v>1602</v>
      </c>
    </row>
    <row r="77" spans="1:4">
      <c r="A77" t="s">
        <v>1901</v>
      </c>
      <c r="B77" t="s">
        <v>1948</v>
      </c>
      <c r="C77" t="s">
        <v>1949</v>
      </c>
      <c r="D77" t="s">
        <v>1950</v>
      </c>
    </row>
    <row r="78" spans="1:4">
      <c r="A78" t="s">
        <v>1901</v>
      </c>
      <c r="B78" t="s">
        <v>346</v>
      </c>
      <c r="C78" t="s">
        <v>1603</v>
      </c>
      <c r="D78" t="s">
        <v>1604</v>
      </c>
    </row>
    <row r="79" spans="1:4">
      <c r="A79" t="s">
        <v>1901</v>
      </c>
      <c r="B79" t="s">
        <v>2051</v>
      </c>
      <c r="D79" t="s">
        <v>2052</v>
      </c>
    </row>
    <row r="80" spans="1:4">
      <c r="A80" t="s">
        <v>1901</v>
      </c>
      <c r="B80" t="s">
        <v>903</v>
      </c>
      <c r="C80" t="s">
        <v>903</v>
      </c>
      <c r="D80" t="s">
        <v>1605</v>
      </c>
    </row>
    <row r="81" spans="1:4">
      <c r="A81" t="s">
        <v>1901</v>
      </c>
      <c r="B81" t="s">
        <v>905</v>
      </c>
      <c r="D81" t="s">
        <v>1889</v>
      </c>
    </row>
    <row r="82" spans="1:4">
      <c r="A82" t="s">
        <v>1901</v>
      </c>
      <c r="B82" t="s">
        <v>907</v>
      </c>
      <c r="C82" t="s">
        <v>1606</v>
      </c>
      <c r="D82" t="s">
        <v>1607</v>
      </c>
    </row>
    <row r="83" spans="1:4">
      <c r="A83" t="s">
        <v>1901</v>
      </c>
      <c r="B83" t="s">
        <v>772</v>
      </c>
      <c r="C83" t="s">
        <v>1428</v>
      </c>
      <c r="D83" t="s">
        <v>1429</v>
      </c>
    </row>
    <row r="84" spans="1:4">
      <c r="A84" t="s">
        <v>1902</v>
      </c>
      <c r="B84" t="s">
        <v>291</v>
      </c>
      <c r="C84" t="s">
        <v>1426</v>
      </c>
      <c r="D84" t="s">
        <v>1427</v>
      </c>
    </row>
    <row r="85" spans="1:4">
      <c r="A85" t="s">
        <v>1902</v>
      </c>
      <c r="B85" t="s">
        <v>2091</v>
      </c>
      <c r="D85" t="s">
        <v>2092</v>
      </c>
    </row>
    <row r="86" spans="1:4">
      <c r="A86" t="s">
        <v>1902</v>
      </c>
      <c r="B86" t="s">
        <v>1405</v>
      </c>
      <c r="D86" t="s">
        <v>1650</v>
      </c>
    </row>
    <row r="87" spans="1:4">
      <c r="A87" t="s">
        <v>1902</v>
      </c>
      <c r="B87" t="s">
        <v>1990</v>
      </c>
      <c r="D87" t="s">
        <v>1991</v>
      </c>
    </row>
    <row r="88" spans="1:4">
      <c r="A88" t="s">
        <v>1902</v>
      </c>
      <c r="B88" t="s">
        <v>299</v>
      </c>
      <c r="C88" t="s">
        <v>1422</v>
      </c>
      <c r="D88" t="s">
        <v>1423</v>
      </c>
    </row>
    <row r="89" spans="1:4">
      <c r="A89" t="s">
        <v>1902</v>
      </c>
      <c r="B89" t="s">
        <v>307</v>
      </c>
      <c r="C89" t="s">
        <v>1584</v>
      </c>
      <c r="D89" t="s">
        <v>1585</v>
      </c>
    </row>
    <row r="90" spans="1:4">
      <c r="A90" t="s">
        <v>1902</v>
      </c>
      <c r="B90" t="s">
        <v>290</v>
      </c>
      <c r="C90" t="s">
        <v>1424</v>
      </c>
      <c r="D90" t="s">
        <v>1425</v>
      </c>
    </row>
    <row r="91" spans="1:4">
      <c r="A91" t="s">
        <v>1902</v>
      </c>
      <c r="B91" t="s">
        <v>209</v>
      </c>
      <c r="D91" t="s">
        <v>1640</v>
      </c>
    </row>
    <row r="92" spans="1:4">
      <c r="A92" t="s">
        <v>1902</v>
      </c>
      <c r="B92" t="s">
        <v>2057</v>
      </c>
      <c r="D92" t="s">
        <v>2058</v>
      </c>
    </row>
    <row r="93" spans="1:4">
      <c r="A93" t="s">
        <v>1902</v>
      </c>
      <c r="B93" t="s">
        <v>378</v>
      </c>
      <c r="D93" t="s">
        <v>1641</v>
      </c>
    </row>
    <row r="94" spans="1:4">
      <c r="A94" t="s">
        <v>1902</v>
      </c>
      <c r="B94" t="s">
        <v>379</v>
      </c>
      <c r="C94" t="s">
        <v>1420</v>
      </c>
      <c r="D94" t="s">
        <v>1421</v>
      </c>
    </row>
    <row r="95" spans="1:4">
      <c r="A95" t="s">
        <v>1902</v>
      </c>
      <c r="B95" t="s">
        <v>383</v>
      </c>
      <c r="C95" t="s">
        <v>1430</v>
      </c>
      <c r="D95" t="s">
        <v>1431</v>
      </c>
    </row>
    <row r="96" spans="1:4">
      <c r="A96" t="s">
        <v>1902</v>
      </c>
      <c r="B96" t="s">
        <v>384</v>
      </c>
      <c r="C96" t="s">
        <v>1432</v>
      </c>
      <c r="D96" t="s">
        <v>1433</v>
      </c>
    </row>
    <row r="97" spans="1:4">
      <c r="A97" t="s">
        <v>1902</v>
      </c>
      <c r="B97" t="s">
        <v>1321</v>
      </c>
      <c r="D97" t="s">
        <v>1660</v>
      </c>
    </row>
    <row r="98" spans="1:4">
      <c r="A98" t="s">
        <v>1902</v>
      </c>
      <c r="B98" t="s">
        <v>1367</v>
      </c>
      <c r="D98" t="s">
        <v>1662</v>
      </c>
    </row>
    <row r="99" spans="1:4">
      <c r="A99" t="s">
        <v>1902</v>
      </c>
      <c r="B99" t="s">
        <v>1612</v>
      </c>
      <c r="D99" t="s">
        <v>1668</v>
      </c>
    </row>
    <row r="100" spans="1:4">
      <c r="A100" t="s">
        <v>1902</v>
      </c>
      <c r="B100" t="s">
        <v>1322</v>
      </c>
      <c r="D100" t="s">
        <v>1669</v>
      </c>
    </row>
    <row r="101" spans="1:4">
      <c r="A101" t="s">
        <v>1902</v>
      </c>
      <c r="B101" t="s">
        <v>386</v>
      </c>
      <c r="C101" t="s">
        <v>1434</v>
      </c>
      <c r="D101" t="s">
        <v>1435</v>
      </c>
    </row>
    <row r="102" spans="1:4">
      <c r="A102" t="s">
        <v>1902</v>
      </c>
      <c r="B102" t="s">
        <v>385</v>
      </c>
      <c r="C102" t="s">
        <v>1436</v>
      </c>
      <c r="D102" t="s">
        <v>1437</v>
      </c>
    </row>
    <row r="103" spans="1:4">
      <c r="A103" t="s">
        <v>1902</v>
      </c>
      <c r="B103" t="s">
        <v>387</v>
      </c>
      <c r="D103" t="s">
        <v>1673</v>
      </c>
    </row>
    <row r="104" spans="1:4">
      <c r="A104" t="s">
        <v>1902</v>
      </c>
      <c r="B104" t="s">
        <v>200</v>
      </c>
      <c r="C104" t="s">
        <v>1440</v>
      </c>
      <c r="D104" t="s">
        <v>1441</v>
      </c>
    </row>
    <row r="105" spans="1:4">
      <c r="A105" t="s">
        <v>1902</v>
      </c>
      <c r="B105" t="s">
        <v>2093</v>
      </c>
      <c r="D105" t="s">
        <v>2094</v>
      </c>
    </row>
    <row r="106" spans="1:4">
      <c r="A106" t="s">
        <v>1902</v>
      </c>
      <c r="B106" t="s">
        <v>398</v>
      </c>
      <c r="D106" t="s">
        <v>1676</v>
      </c>
    </row>
    <row r="107" spans="1:4">
      <c r="A107" t="s">
        <v>1902</v>
      </c>
      <c r="B107" t="s">
        <v>399</v>
      </c>
      <c r="C107" t="s">
        <v>1438</v>
      </c>
      <c r="D107" t="s">
        <v>1439</v>
      </c>
    </row>
    <row r="108" spans="1:4">
      <c r="A108" t="s">
        <v>1902</v>
      </c>
      <c r="B108" t="s">
        <v>354</v>
      </c>
      <c r="C108" t="s">
        <v>1446</v>
      </c>
      <c r="D108" t="s">
        <v>1447</v>
      </c>
    </row>
    <row r="109" spans="1:4">
      <c r="A109" t="s">
        <v>1902</v>
      </c>
      <c r="B109" t="s">
        <v>1908</v>
      </c>
      <c r="D109" t="s">
        <v>1909</v>
      </c>
    </row>
    <row r="110" spans="1:4">
      <c r="A110" t="s">
        <v>1902</v>
      </c>
      <c r="B110" t="s">
        <v>1288</v>
      </c>
      <c r="D110" t="s">
        <v>1687</v>
      </c>
    </row>
    <row r="111" spans="1:4">
      <c r="A111" t="s">
        <v>1902</v>
      </c>
      <c r="B111" t="s">
        <v>1289</v>
      </c>
      <c r="D111" t="s">
        <v>1688</v>
      </c>
    </row>
    <row r="112" spans="1:4">
      <c r="A112" t="s">
        <v>1902</v>
      </c>
      <c r="B112" t="s">
        <v>355</v>
      </c>
      <c r="C112" t="s">
        <v>1454</v>
      </c>
      <c r="D112" t="s">
        <v>1455</v>
      </c>
    </row>
    <row r="113" spans="1:4">
      <c r="A113" t="s">
        <v>1902</v>
      </c>
      <c r="B113" t="s">
        <v>791</v>
      </c>
      <c r="D113" t="s">
        <v>1691</v>
      </c>
    </row>
    <row r="114" spans="1:4">
      <c r="A114" t="s">
        <v>1902</v>
      </c>
      <c r="B114" t="s">
        <v>2095</v>
      </c>
      <c r="D114" t="s">
        <v>2096</v>
      </c>
    </row>
    <row r="115" spans="1:4">
      <c r="A115" t="s">
        <v>1902</v>
      </c>
      <c r="B115" t="s">
        <v>792</v>
      </c>
      <c r="C115" t="s">
        <v>1458</v>
      </c>
      <c r="D115" t="s">
        <v>1459</v>
      </c>
    </row>
    <row r="116" spans="1:4">
      <c r="A116" t="s">
        <v>1902</v>
      </c>
      <c r="B116" t="s">
        <v>1992</v>
      </c>
      <c r="C116" t="s">
        <v>1993</v>
      </c>
      <c r="D116" t="s">
        <v>1994</v>
      </c>
    </row>
    <row r="117" spans="1:4">
      <c r="A117" t="s">
        <v>1902</v>
      </c>
      <c r="B117" t="s">
        <v>400</v>
      </c>
      <c r="D117" t="s">
        <v>1695</v>
      </c>
    </row>
    <row r="118" spans="1:4">
      <c r="A118" t="s">
        <v>1902</v>
      </c>
      <c r="B118" t="s">
        <v>2097</v>
      </c>
      <c r="D118" t="s">
        <v>2098</v>
      </c>
    </row>
    <row r="119" spans="1:4">
      <c r="A119" t="s">
        <v>1902</v>
      </c>
      <c r="B119" t="s">
        <v>1624</v>
      </c>
      <c r="D119" t="s">
        <v>1681</v>
      </c>
    </row>
    <row r="120" spans="1:4">
      <c r="A120" t="s">
        <v>1902</v>
      </c>
      <c r="B120" t="s">
        <v>794</v>
      </c>
      <c r="D120" t="s">
        <v>1698</v>
      </c>
    </row>
    <row r="121" spans="1:4">
      <c r="A121" t="s">
        <v>1902</v>
      </c>
      <c r="B121" t="s">
        <v>1625</v>
      </c>
      <c r="D121" t="s">
        <v>1696</v>
      </c>
    </row>
    <row r="122" spans="1:4">
      <c r="A122" t="s">
        <v>1902</v>
      </c>
      <c r="B122" t="s">
        <v>401</v>
      </c>
      <c r="C122" t="s">
        <v>1462</v>
      </c>
      <c r="D122" t="s">
        <v>1463</v>
      </c>
    </row>
    <row r="123" spans="1:4">
      <c r="A123" t="s">
        <v>1902</v>
      </c>
      <c r="B123" t="s">
        <v>795</v>
      </c>
      <c r="C123" t="s">
        <v>1466</v>
      </c>
      <c r="D123" t="s">
        <v>1467</v>
      </c>
    </row>
    <row r="124" spans="1:4">
      <c r="A124" t="s">
        <v>1902</v>
      </c>
      <c r="B124" t="s">
        <v>402</v>
      </c>
      <c r="D124" t="s">
        <v>1701</v>
      </c>
    </row>
    <row r="125" spans="1:4">
      <c r="A125" t="s">
        <v>1902</v>
      </c>
      <c r="B125" t="s">
        <v>403</v>
      </c>
      <c r="D125" t="s">
        <v>1702</v>
      </c>
    </row>
    <row r="126" spans="1:4">
      <c r="A126" t="s">
        <v>1902</v>
      </c>
      <c r="B126" t="s">
        <v>797</v>
      </c>
      <c r="D126" t="s">
        <v>1703</v>
      </c>
    </row>
    <row r="127" spans="1:4">
      <c r="A127" t="s">
        <v>1902</v>
      </c>
      <c r="B127" t="s">
        <v>404</v>
      </c>
      <c r="D127" t="s">
        <v>1708</v>
      </c>
    </row>
    <row r="128" spans="1:4">
      <c r="A128" t="s">
        <v>1902</v>
      </c>
      <c r="B128" t="s">
        <v>405</v>
      </c>
      <c r="C128" t="s">
        <v>1470</v>
      </c>
      <c r="D128" t="s">
        <v>1471</v>
      </c>
    </row>
    <row r="129" spans="1:4">
      <c r="A129" t="s">
        <v>1902</v>
      </c>
      <c r="B129" t="s">
        <v>802</v>
      </c>
      <c r="D129" t="s">
        <v>1710</v>
      </c>
    </row>
    <row r="130" spans="1:4">
      <c r="A130" t="s">
        <v>1902</v>
      </c>
      <c r="B130" t="s">
        <v>406</v>
      </c>
      <c r="D130" t="s">
        <v>1711</v>
      </c>
    </row>
    <row r="131" spans="1:4">
      <c r="A131" t="s">
        <v>1902</v>
      </c>
      <c r="B131" t="s">
        <v>1924</v>
      </c>
      <c r="D131" t="s">
        <v>1925</v>
      </c>
    </row>
    <row r="132" spans="1:4">
      <c r="A132" t="s">
        <v>1902</v>
      </c>
      <c r="B132" t="s">
        <v>1999</v>
      </c>
      <c r="D132" t="s">
        <v>2000</v>
      </c>
    </row>
    <row r="133" spans="1:4">
      <c r="A133" t="s">
        <v>1902</v>
      </c>
      <c r="B133" t="s">
        <v>1323</v>
      </c>
      <c r="D133" t="s">
        <v>1721</v>
      </c>
    </row>
    <row r="134" spans="1:4">
      <c r="A134" t="s">
        <v>1902</v>
      </c>
      <c r="B134" t="s">
        <v>1324</v>
      </c>
      <c r="D134" t="s">
        <v>1713</v>
      </c>
    </row>
    <row r="135" spans="1:4">
      <c r="A135" t="s">
        <v>1902</v>
      </c>
      <c r="B135" t="s">
        <v>813</v>
      </c>
      <c r="D135" t="s">
        <v>1729</v>
      </c>
    </row>
    <row r="136" spans="1:4">
      <c r="A136" t="s">
        <v>1902</v>
      </c>
      <c r="B136" t="s">
        <v>814</v>
      </c>
      <c r="D136" t="s">
        <v>1730</v>
      </c>
    </row>
    <row r="137" spans="1:4">
      <c r="A137" t="s">
        <v>1902</v>
      </c>
      <c r="B137" t="s">
        <v>407</v>
      </c>
      <c r="D137" t="s">
        <v>1731</v>
      </c>
    </row>
    <row r="138" spans="1:4">
      <c r="A138" t="s">
        <v>1902</v>
      </c>
      <c r="B138" t="s">
        <v>1390</v>
      </c>
      <c r="D138" t="s">
        <v>1732</v>
      </c>
    </row>
    <row r="139" spans="1:4">
      <c r="A139" t="s">
        <v>1902</v>
      </c>
      <c r="B139" t="s">
        <v>1325</v>
      </c>
      <c r="D139" t="s">
        <v>1734</v>
      </c>
    </row>
    <row r="140" spans="1:4">
      <c r="A140" t="s">
        <v>1902</v>
      </c>
      <c r="B140" t="s">
        <v>408</v>
      </c>
      <c r="D140" t="s">
        <v>1736</v>
      </c>
    </row>
    <row r="141" spans="1:4">
      <c r="A141" t="s">
        <v>1902</v>
      </c>
      <c r="B141" t="s">
        <v>409</v>
      </c>
      <c r="C141" t="s">
        <v>1502</v>
      </c>
      <c r="D141" t="s">
        <v>1503</v>
      </c>
    </row>
    <row r="142" spans="1:4">
      <c r="A142" t="s">
        <v>1902</v>
      </c>
      <c r="B142" t="s">
        <v>410</v>
      </c>
      <c r="D142" t="s">
        <v>1741</v>
      </c>
    </row>
    <row r="143" spans="1:4">
      <c r="A143" t="s">
        <v>1902</v>
      </c>
      <c r="B143" t="s">
        <v>2161</v>
      </c>
      <c r="D143" t="s">
        <v>2162</v>
      </c>
    </row>
    <row r="144" spans="1:4">
      <c r="A144" t="s">
        <v>1902</v>
      </c>
      <c r="B144" t="s">
        <v>1910</v>
      </c>
      <c r="D144" t="s">
        <v>1911</v>
      </c>
    </row>
    <row r="145" spans="1:4">
      <c r="A145" t="s">
        <v>1902</v>
      </c>
      <c r="B145" t="s">
        <v>1326</v>
      </c>
      <c r="D145" t="s">
        <v>1745</v>
      </c>
    </row>
    <row r="146" spans="1:4">
      <c r="A146" t="s">
        <v>1902</v>
      </c>
      <c r="B146" t="s">
        <v>361</v>
      </c>
      <c r="D146" t="s">
        <v>1746</v>
      </c>
    </row>
    <row r="147" spans="1:4">
      <c r="A147" t="s">
        <v>1902</v>
      </c>
      <c r="B147" t="s">
        <v>411</v>
      </c>
      <c r="D147" t="s">
        <v>1750</v>
      </c>
    </row>
    <row r="148" spans="1:4">
      <c r="A148" t="s">
        <v>1902</v>
      </c>
      <c r="B148" t="s">
        <v>2005</v>
      </c>
      <c r="D148" t="s">
        <v>2006</v>
      </c>
    </row>
    <row r="149" spans="1:4">
      <c r="A149" t="s">
        <v>1902</v>
      </c>
      <c r="B149" t="s">
        <v>412</v>
      </c>
      <c r="D149" t="s">
        <v>1751</v>
      </c>
    </row>
    <row r="150" spans="1:4">
      <c r="A150" t="s">
        <v>1902</v>
      </c>
      <c r="B150" t="s">
        <v>413</v>
      </c>
      <c r="D150" t="s">
        <v>1752</v>
      </c>
    </row>
    <row r="151" spans="1:4">
      <c r="A151" t="s">
        <v>1902</v>
      </c>
      <c r="B151" t="s">
        <v>414</v>
      </c>
      <c r="D151" t="s">
        <v>1753</v>
      </c>
    </row>
    <row r="152" spans="1:4">
      <c r="A152" t="s">
        <v>1902</v>
      </c>
      <c r="B152" t="s">
        <v>2007</v>
      </c>
      <c r="D152" t="s">
        <v>2008</v>
      </c>
    </row>
    <row r="153" spans="1:4">
      <c r="A153" t="s">
        <v>1902</v>
      </c>
      <c r="B153" t="s">
        <v>1384</v>
      </c>
      <c r="D153" t="s">
        <v>1926</v>
      </c>
    </row>
    <row r="154" spans="1:4">
      <c r="A154" t="s">
        <v>1902</v>
      </c>
      <c r="B154" t="s">
        <v>821</v>
      </c>
      <c r="D154" t="s">
        <v>1755</v>
      </c>
    </row>
    <row r="155" spans="1:4">
      <c r="A155" t="s">
        <v>1902</v>
      </c>
      <c r="B155" t="s">
        <v>415</v>
      </c>
      <c r="C155" t="s">
        <v>1506</v>
      </c>
      <c r="D155" t="s">
        <v>1507</v>
      </c>
    </row>
    <row r="156" spans="1:4">
      <c r="A156" t="s">
        <v>1902</v>
      </c>
      <c r="B156" t="s">
        <v>416</v>
      </c>
      <c r="C156" t="s">
        <v>1512</v>
      </c>
      <c r="D156" t="s">
        <v>1513</v>
      </c>
    </row>
    <row r="157" spans="1:4">
      <c r="A157" t="s">
        <v>1902</v>
      </c>
      <c r="B157" t="s">
        <v>2163</v>
      </c>
      <c r="D157" t="s">
        <v>2164</v>
      </c>
    </row>
    <row r="158" spans="1:4">
      <c r="A158" t="s">
        <v>1902</v>
      </c>
      <c r="B158" t="s">
        <v>1626</v>
      </c>
      <c r="D158" t="s">
        <v>1767</v>
      </c>
    </row>
    <row r="159" spans="1:4">
      <c r="A159" t="s">
        <v>1902</v>
      </c>
      <c r="B159" t="s">
        <v>830</v>
      </c>
      <c r="D159" t="s">
        <v>1773</v>
      </c>
    </row>
    <row r="160" spans="1:4">
      <c r="A160" t="s">
        <v>1902</v>
      </c>
      <c r="B160" t="s">
        <v>2165</v>
      </c>
      <c r="D160" t="s">
        <v>2166</v>
      </c>
    </row>
    <row r="161" spans="1:4">
      <c r="A161" t="s">
        <v>1902</v>
      </c>
      <c r="B161" t="s">
        <v>2017</v>
      </c>
      <c r="D161" t="s">
        <v>2018</v>
      </c>
    </row>
    <row r="162" spans="1:4">
      <c r="A162" t="s">
        <v>1902</v>
      </c>
      <c r="B162" t="s">
        <v>2099</v>
      </c>
      <c r="D162" t="s">
        <v>2100</v>
      </c>
    </row>
    <row r="163" spans="1:4">
      <c r="A163" t="s">
        <v>1902</v>
      </c>
      <c r="B163" t="s">
        <v>417</v>
      </c>
      <c r="D163" t="s">
        <v>1776</v>
      </c>
    </row>
    <row r="164" spans="1:4">
      <c r="A164" t="s">
        <v>1902</v>
      </c>
      <c r="B164" t="s">
        <v>833</v>
      </c>
      <c r="D164" t="s">
        <v>1778</v>
      </c>
    </row>
    <row r="165" spans="1:4">
      <c r="A165" t="s">
        <v>1902</v>
      </c>
      <c r="B165" t="s">
        <v>418</v>
      </c>
      <c r="D165" t="s">
        <v>1780</v>
      </c>
    </row>
    <row r="166" spans="1:4">
      <c r="A166" t="s">
        <v>1902</v>
      </c>
      <c r="B166" t="s">
        <v>419</v>
      </c>
      <c r="D166" t="s">
        <v>1781</v>
      </c>
    </row>
    <row r="167" spans="1:4">
      <c r="A167" t="s">
        <v>1902</v>
      </c>
      <c r="B167" t="s">
        <v>835</v>
      </c>
      <c r="D167" t="s">
        <v>1784</v>
      </c>
    </row>
    <row r="168" spans="1:4">
      <c r="A168" t="s">
        <v>1902</v>
      </c>
      <c r="B168" t="s">
        <v>420</v>
      </c>
      <c r="C168" t="s">
        <v>1523</v>
      </c>
      <c r="D168" t="s">
        <v>1524</v>
      </c>
    </row>
    <row r="169" spans="1:4">
      <c r="A169" t="s">
        <v>1902</v>
      </c>
      <c r="B169" t="s">
        <v>2022</v>
      </c>
      <c r="D169" t="s">
        <v>2023</v>
      </c>
    </row>
    <row r="170" spans="1:4">
      <c r="A170" t="s">
        <v>1902</v>
      </c>
      <c r="B170" t="s">
        <v>422</v>
      </c>
      <c r="D170" t="s">
        <v>1790</v>
      </c>
    </row>
    <row r="171" spans="1:4">
      <c r="A171" t="s">
        <v>1902</v>
      </c>
      <c r="B171" t="s">
        <v>423</v>
      </c>
      <c r="C171" t="s">
        <v>1533</v>
      </c>
      <c r="D171" t="s">
        <v>1534</v>
      </c>
    </row>
    <row r="172" spans="1:4">
      <c r="A172" t="s">
        <v>1902</v>
      </c>
      <c r="B172" t="s">
        <v>304</v>
      </c>
      <c r="C172" t="s">
        <v>1535</v>
      </c>
      <c r="D172" t="s">
        <v>1536</v>
      </c>
    </row>
    <row r="173" spans="1:4">
      <c r="A173" t="s">
        <v>1902</v>
      </c>
      <c r="B173" t="s">
        <v>841</v>
      </c>
      <c r="D173" t="s">
        <v>1795</v>
      </c>
    </row>
    <row r="174" spans="1:4">
      <c r="A174" t="s">
        <v>1902</v>
      </c>
      <c r="B174" t="s">
        <v>842</v>
      </c>
      <c r="D174" t="s">
        <v>1796</v>
      </c>
    </row>
    <row r="175" spans="1:4">
      <c r="A175" t="s">
        <v>1902</v>
      </c>
      <c r="B175" t="s">
        <v>843</v>
      </c>
      <c r="C175" t="s">
        <v>1537</v>
      </c>
      <c r="D175" t="s">
        <v>1538</v>
      </c>
    </row>
    <row r="176" spans="1:4">
      <c r="A176" t="s">
        <v>1902</v>
      </c>
      <c r="B176" t="s">
        <v>844</v>
      </c>
      <c r="D176" t="s">
        <v>1797</v>
      </c>
    </row>
    <row r="177" spans="1:4">
      <c r="A177" t="s">
        <v>1902</v>
      </c>
      <c r="B177" t="s">
        <v>847</v>
      </c>
      <c r="D177" t="s">
        <v>1800</v>
      </c>
    </row>
    <row r="178" spans="1:4">
      <c r="A178" t="s">
        <v>1902</v>
      </c>
      <c r="B178" t="s">
        <v>848</v>
      </c>
      <c r="D178" t="s">
        <v>1801</v>
      </c>
    </row>
    <row r="179" spans="1:4">
      <c r="A179" t="s">
        <v>1902</v>
      </c>
      <c r="B179" t="s">
        <v>431</v>
      </c>
      <c r="C179" t="s">
        <v>1539</v>
      </c>
      <c r="D179" t="s">
        <v>1540</v>
      </c>
    </row>
    <row r="180" spans="1:4">
      <c r="A180" t="s">
        <v>1902</v>
      </c>
      <c r="B180" t="s">
        <v>2102</v>
      </c>
      <c r="D180" t="s">
        <v>2103</v>
      </c>
    </row>
    <row r="181" spans="1:4">
      <c r="A181" t="s">
        <v>1902</v>
      </c>
      <c r="B181" t="s">
        <v>369</v>
      </c>
      <c r="D181" t="s">
        <v>1809</v>
      </c>
    </row>
    <row r="182" spans="1:4">
      <c r="A182" t="s">
        <v>1902</v>
      </c>
      <c r="B182" t="s">
        <v>432</v>
      </c>
      <c r="C182" t="s">
        <v>1553</v>
      </c>
      <c r="D182" t="s">
        <v>1554</v>
      </c>
    </row>
    <row r="183" spans="1:4">
      <c r="A183" t="s">
        <v>1902</v>
      </c>
      <c r="B183" t="s">
        <v>372</v>
      </c>
      <c r="C183" t="s">
        <v>1561</v>
      </c>
      <c r="D183" t="s">
        <v>1562</v>
      </c>
    </row>
    <row r="184" spans="1:4">
      <c r="A184" t="s">
        <v>1902</v>
      </c>
      <c r="B184" t="s">
        <v>1330</v>
      </c>
      <c r="D184" t="s">
        <v>1822</v>
      </c>
    </row>
    <row r="185" spans="1:4">
      <c r="A185" t="s">
        <v>1902</v>
      </c>
      <c r="B185" t="s">
        <v>2035</v>
      </c>
      <c r="D185" t="s">
        <v>2036</v>
      </c>
    </row>
    <row r="186" spans="1:4">
      <c r="A186" t="s">
        <v>1902</v>
      </c>
      <c r="B186" t="s">
        <v>458</v>
      </c>
      <c r="C186" t="s">
        <v>1565</v>
      </c>
      <c r="D186" t="s">
        <v>1566</v>
      </c>
    </row>
    <row r="187" spans="1:4">
      <c r="A187" t="s">
        <v>1902</v>
      </c>
      <c r="B187" t="s">
        <v>1331</v>
      </c>
      <c r="D187" t="s">
        <v>1827</v>
      </c>
    </row>
    <row r="188" spans="1:4">
      <c r="A188" t="s">
        <v>1902</v>
      </c>
      <c r="B188" t="s">
        <v>459</v>
      </c>
      <c r="D188" t="s">
        <v>1828</v>
      </c>
    </row>
    <row r="189" spans="1:4">
      <c r="A189" t="s">
        <v>1902</v>
      </c>
      <c r="B189" t="s">
        <v>863</v>
      </c>
      <c r="D189" t="s">
        <v>1833</v>
      </c>
    </row>
    <row r="190" spans="1:4">
      <c r="A190" t="s">
        <v>1902</v>
      </c>
      <c r="B190" t="s">
        <v>2105</v>
      </c>
      <c r="C190" t="s">
        <v>1569</v>
      </c>
      <c r="D190" t="s">
        <v>2106</v>
      </c>
    </row>
    <row r="191" spans="1:4">
      <c r="A191" t="s">
        <v>1902</v>
      </c>
      <c r="B191" t="s">
        <v>864</v>
      </c>
      <c r="D191" t="s">
        <v>1835</v>
      </c>
    </row>
    <row r="192" spans="1:4">
      <c r="A192" t="s">
        <v>1902</v>
      </c>
      <c r="B192" t="s">
        <v>1935</v>
      </c>
      <c r="D192" t="s">
        <v>1936</v>
      </c>
    </row>
    <row r="193" spans="1:4">
      <c r="A193" t="s">
        <v>1902</v>
      </c>
      <c r="B193" t="s">
        <v>460</v>
      </c>
      <c r="D193" t="s">
        <v>1838</v>
      </c>
    </row>
    <row r="194" spans="1:4">
      <c r="A194" t="s">
        <v>1902</v>
      </c>
      <c r="B194" t="s">
        <v>461</v>
      </c>
      <c r="C194" t="s">
        <v>1578</v>
      </c>
      <c r="D194" t="s">
        <v>1579</v>
      </c>
    </row>
    <row r="195" spans="1:4">
      <c r="A195" t="s">
        <v>1902</v>
      </c>
      <c r="B195" t="s">
        <v>868</v>
      </c>
      <c r="C195" t="s">
        <v>1580</v>
      </c>
      <c r="D195" t="s">
        <v>1581</v>
      </c>
    </row>
    <row r="196" spans="1:4">
      <c r="A196" t="s">
        <v>1902</v>
      </c>
      <c r="B196" t="s">
        <v>462</v>
      </c>
      <c r="C196" t="s">
        <v>1586</v>
      </c>
      <c r="D196" t="s">
        <v>1587</v>
      </c>
    </row>
    <row r="197" spans="1:4">
      <c r="A197" t="s">
        <v>1902</v>
      </c>
      <c r="B197" t="s">
        <v>2107</v>
      </c>
      <c r="D197" t="s">
        <v>2108</v>
      </c>
    </row>
    <row r="198" spans="1:4">
      <c r="A198" t="s">
        <v>1902</v>
      </c>
      <c r="B198" t="s">
        <v>463</v>
      </c>
      <c r="D198" t="s">
        <v>1848</v>
      </c>
    </row>
    <row r="199" spans="1:4">
      <c r="A199" t="s">
        <v>1902</v>
      </c>
      <c r="B199" t="s">
        <v>882</v>
      </c>
      <c r="D199" t="s">
        <v>1859</v>
      </c>
    </row>
    <row r="200" spans="1:4">
      <c r="A200" t="s">
        <v>1902</v>
      </c>
      <c r="B200" t="s">
        <v>896</v>
      </c>
      <c r="D200" t="s">
        <v>1875</v>
      </c>
    </row>
    <row r="201" spans="1:4">
      <c r="A201" t="s">
        <v>1902</v>
      </c>
      <c r="B201" t="s">
        <v>1332</v>
      </c>
      <c r="D201" t="s">
        <v>1857</v>
      </c>
    </row>
    <row r="202" spans="1:4">
      <c r="A202" t="s">
        <v>1902</v>
      </c>
      <c r="B202" t="s">
        <v>1631</v>
      </c>
      <c r="D202" t="s">
        <v>1877</v>
      </c>
    </row>
    <row r="203" spans="1:4">
      <c r="A203" t="s">
        <v>1902</v>
      </c>
      <c r="B203" t="s">
        <v>465</v>
      </c>
      <c r="D203" t="s">
        <v>1876</v>
      </c>
    </row>
    <row r="204" spans="1:4">
      <c r="A204" t="s">
        <v>1902</v>
      </c>
      <c r="B204" t="s">
        <v>466</v>
      </c>
      <c r="C204" t="s">
        <v>1597</v>
      </c>
      <c r="D204" t="s">
        <v>1598</v>
      </c>
    </row>
    <row r="205" spans="1:4">
      <c r="A205" t="s">
        <v>1902</v>
      </c>
      <c r="B205" t="s">
        <v>467</v>
      </c>
      <c r="C205" t="s">
        <v>1599</v>
      </c>
      <c r="D205" t="s">
        <v>1600</v>
      </c>
    </row>
    <row r="206" spans="1:4">
      <c r="A206" t="s">
        <v>1902</v>
      </c>
      <c r="B206" t="s">
        <v>1294</v>
      </c>
      <c r="D206" t="s">
        <v>1858</v>
      </c>
    </row>
    <row r="207" spans="1:4">
      <c r="A207" t="s">
        <v>1902</v>
      </c>
      <c r="B207" t="s">
        <v>219</v>
      </c>
      <c r="D207" t="s">
        <v>1886</v>
      </c>
    </row>
    <row r="208" spans="1:4">
      <c r="A208" t="s">
        <v>1902</v>
      </c>
      <c r="B208" t="s">
        <v>2186</v>
      </c>
      <c r="D208" t="s">
        <v>2187</v>
      </c>
    </row>
    <row r="209" spans="1:4">
      <c r="A209" t="s">
        <v>1902</v>
      </c>
      <c r="B209" t="s">
        <v>906</v>
      </c>
      <c r="D209" t="s">
        <v>1891</v>
      </c>
    </row>
    <row r="210" spans="1:4">
      <c r="A210" t="s">
        <v>1902</v>
      </c>
      <c r="B210" t="s">
        <v>203</v>
      </c>
      <c r="D210" t="s">
        <v>1892</v>
      </c>
    </row>
    <row r="211" spans="1:4">
      <c r="A211" t="s">
        <v>1902</v>
      </c>
      <c r="B211" t="s">
        <v>473</v>
      </c>
      <c r="D211" t="s">
        <v>1893</v>
      </c>
    </row>
    <row r="212" spans="1:4">
      <c r="A212" t="s">
        <v>1902</v>
      </c>
      <c r="B212" t="s">
        <v>1265</v>
      </c>
      <c r="D212" t="s">
        <v>1896</v>
      </c>
    </row>
    <row r="213" spans="1:4">
      <c r="A213" t="s">
        <v>1902</v>
      </c>
      <c r="B213" t="s">
        <v>380</v>
      </c>
      <c r="D213" t="s">
        <v>1644</v>
      </c>
    </row>
    <row r="214" spans="1:4">
      <c r="A214" t="s">
        <v>1902</v>
      </c>
      <c r="B214" t="s">
        <v>1903</v>
      </c>
      <c r="D214" t="s">
        <v>1907</v>
      </c>
    </row>
    <row r="215" spans="1:4">
      <c r="A215" t="s">
        <v>1902</v>
      </c>
      <c r="B215" t="s">
        <v>381</v>
      </c>
      <c r="D215" t="s">
        <v>1643</v>
      </c>
    </row>
    <row r="216" spans="1:4">
      <c r="A216" t="s">
        <v>1902</v>
      </c>
      <c r="B216" t="s">
        <v>382</v>
      </c>
      <c r="D216" t="s">
        <v>1645</v>
      </c>
    </row>
    <row r="217" spans="1:4">
      <c r="A217" t="s">
        <v>1902</v>
      </c>
      <c r="B217" t="s">
        <v>350</v>
      </c>
      <c r="D217" t="s">
        <v>1648</v>
      </c>
    </row>
    <row r="218" spans="1:4">
      <c r="A218" t="s">
        <v>1902</v>
      </c>
      <c r="B218" t="s">
        <v>778</v>
      </c>
      <c r="D218" t="s">
        <v>1656</v>
      </c>
    </row>
    <row r="219" spans="1:4">
      <c r="A219" t="s">
        <v>1902</v>
      </c>
      <c r="B219" t="s">
        <v>351</v>
      </c>
      <c r="D219" t="s">
        <v>1657</v>
      </c>
    </row>
    <row r="220" spans="1:4">
      <c r="A220" t="s">
        <v>1902</v>
      </c>
      <c r="B220" t="s">
        <v>352</v>
      </c>
      <c r="D220" t="s">
        <v>1661</v>
      </c>
    </row>
    <row r="221" spans="1:4">
      <c r="A221" t="s">
        <v>1902</v>
      </c>
      <c r="B221" t="s">
        <v>353</v>
      </c>
      <c r="D221" t="s">
        <v>1665</v>
      </c>
    </row>
    <row r="222" spans="1:4">
      <c r="A222" t="s">
        <v>1902</v>
      </c>
      <c r="B222" t="s">
        <v>785</v>
      </c>
      <c r="D222" t="s">
        <v>1674</v>
      </c>
    </row>
    <row r="223" spans="1:4">
      <c r="A223" t="s">
        <v>1902</v>
      </c>
      <c r="B223" t="s">
        <v>789</v>
      </c>
      <c r="D223" t="s">
        <v>1680</v>
      </c>
    </row>
    <row r="224" spans="1:4">
      <c r="A224" t="s">
        <v>1902</v>
      </c>
      <c r="B224" t="s">
        <v>314</v>
      </c>
      <c r="D224" t="s">
        <v>1693</v>
      </c>
    </row>
    <row r="225" spans="1:4">
      <c r="A225" t="s">
        <v>1902</v>
      </c>
      <c r="B225" t="s">
        <v>356</v>
      </c>
      <c r="D225" t="s">
        <v>1694</v>
      </c>
    </row>
    <row r="226" spans="1:4">
      <c r="A226" t="s">
        <v>1902</v>
      </c>
      <c r="B226" t="s">
        <v>796</v>
      </c>
      <c r="D226" t="s">
        <v>1699</v>
      </c>
    </row>
    <row r="227" spans="1:4">
      <c r="A227" t="s">
        <v>1902</v>
      </c>
      <c r="B227" t="s">
        <v>357</v>
      </c>
      <c r="D227" t="s">
        <v>1683</v>
      </c>
    </row>
    <row r="228" spans="1:4">
      <c r="A228" t="s">
        <v>1902</v>
      </c>
      <c r="B228" t="s">
        <v>358</v>
      </c>
      <c r="D228" t="s">
        <v>1684</v>
      </c>
    </row>
    <row r="229" spans="1:4">
      <c r="A229" t="s">
        <v>1902</v>
      </c>
      <c r="B229" t="s">
        <v>359</v>
      </c>
      <c r="D229" t="s">
        <v>1685</v>
      </c>
    </row>
    <row r="230" spans="1:4">
      <c r="A230" t="s">
        <v>1902</v>
      </c>
      <c r="B230" t="s">
        <v>360</v>
      </c>
      <c r="D230" t="s">
        <v>1704</v>
      </c>
    </row>
    <row r="231" spans="1:4">
      <c r="A231" t="s">
        <v>1902</v>
      </c>
      <c r="B231" t="s">
        <v>810</v>
      </c>
      <c r="D231" t="s">
        <v>1725</v>
      </c>
    </row>
    <row r="232" spans="1:4">
      <c r="A232" t="s">
        <v>1902</v>
      </c>
      <c r="B232" t="s">
        <v>815</v>
      </c>
      <c r="D232" t="s">
        <v>1733</v>
      </c>
    </row>
    <row r="233" spans="1:4">
      <c r="A233" t="s">
        <v>1902</v>
      </c>
      <c r="B233" t="s">
        <v>817</v>
      </c>
      <c r="D233" t="s">
        <v>1738</v>
      </c>
    </row>
    <row r="234" spans="1:4">
      <c r="A234" t="s">
        <v>1902</v>
      </c>
      <c r="B234" t="s">
        <v>362</v>
      </c>
      <c r="D234" t="s">
        <v>1747</v>
      </c>
    </row>
    <row r="235" spans="1:4">
      <c r="A235" t="s">
        <v>1902</v>
      </c>
      <c r="B235" t="s">
        <v>363</v>
      </c>
      <c r="D235" t="s">
        <v>1749</v>
      </c>
    </row>
    <row r="236" spans="1:4">
      <c r="A236" t="s">
        <v>1902</v>
      </c>
      <c r="B236" t="s">
        <v>364</v>
      </c>
      <c r="D236" t="s">
        <v>1762</v>
      </c>
    </row>
    <row r="237" spans="1:4">
      <c r="A237" t="s">
        <v>1902</v>
      </c>
      <c r="B237" t="s">
        <v>832</v>
      </c>
      <c r="D237" t="s">
        <v>1777</v>
      </c>
    </row>
    <row r="238" spans="1:4">
      <c r="A238" t="s">
        <v>1902</v>
      </c>
      <c r="B238" t="s">
        <v>834</v>
      </c>
      <c r="D238" t="s">
        <v>1779</v>
      </c>
    </row>
    <row r="239" spans="1:4">
      <c r="A239" t="s">
        <v>1902</v>
      </c>
      <c r="B239" t="s">
        <v>366</v>
      </c>
      <c r="D239" t="s">
        <v>1782</v>
      </c>
    </row>
    <row r="240" spans="1:4">
      <c r="A240" t="s">
        <v>1902</v>
      </c>
      <c r="B240" t="s">
        <v>367</v>
      </c>
      <c r="D240" t="s">
        <v>1783</v>
      </c>
    </row>
    <row r="241" spans="1:4">
      <c r="A241" t="s">
        <v>1902</v>
      </c>
      <c r="B241" t="s">
        <v>840</v>
      </c>
      <c r="D241" t="s">
        <v>1793</v>
      </c>
    </row>
    <row r="242" spans="1:4">
      <c r="A242" t="s">
        <v>1902</v>
      </c>
      <c r="B242" t="s">
        <v>368</v>
      </c>
      <c r="D242" t="s">
        <v>1805</v>
      </c>
    </row>
    <row r="243" spans="1:4">
      <c r="A243" t="s">
        <v>1902</v>
      </c>
      <c r="B243" t="s">
        <v>371</v>
      </c>
      <c r="D243" t="s">
        <v>1819</v>
      </c>
    </row>
    <row r="244" spans="1:4">
      <c r="A244" t="s">
        <v>1902</v>
      </c>
      <c r="B244" t="s">
        <v>373</v>
      </c>
      <c r="D244" t="s">
        <v>1821</v>
      </c>
    </row>
    <row r="245" spans="1:4">
      <c r="A245" t="s">
        <v>1902</v>
      </c>
      <c r="B245" t="s">
        <v>374</v>
      </c>
      <c r="D245" t="s">
        <v>1837</v>
      </c>
    </row>
    <row r="246" spans="1:4">
      <c r="A246" t="s">
        <v>1902</v>
      </c>
      <c r="B246" t="s">
        <v>375</v>
      </c>
      <c r="D246" t="s">
        <v>1843</v>
      </c>
    </row>
    <row r="247" spans="1:4">
      <c r="A247" t="s">
        <v>1902</v>
      </c>
      <c r="B247" t="s">
        <v>1946</v>
      </c>
      <c r="D247" t="s">
        <v>1947</v>
      </c>
    </row>
    <row r="248" spans="1:4">
      <c r="A248" t="s">
        <v>1902</v>
      </c>
      <c r="B248" t="s">
        <v>883</v>
      </c>
      <c r="D248" t="s">
        <v>1860</v>
      </c>
    </row>
    <row r="249" spans="1:4">
      <c r="A249" t="s">
        <v>1902</v>
      </c>
      <c r="B249" t="s">
        <v>898</v>
      </c>
      <c r="D249" t="s">
        <v>1879</v>
      </c>
    </row>
    <row r="250" spans="1:4">
      <c r="A250" t="s">
        <v>1902</v>
      </c>
      <c r="B250" t="s">
        <v>376</v>
      </c>
      <c r="D250" t="s">
        <v>1885</v>
      </c>
    </row>
    <row r="251" spans="1:4">
      <c r="A251" t="s">
        <v>1902</v>
      </c>
      <c r="B251" t="s">
        <v>904</v>
      </c>
      <c r="D251" t="s">
        <v>1887</v>
      </c>
    </row>
    <row r="252" spans="1:4">
      <c r="A252" t="s">
        <v>1902</v>
      </c>
      <c r="B252" t="s">
        <v>347</v>
      </c>
      <c r="D252" t="s">
        <v>1888</v>
      </c>
    </row>
    <row r="253" spans="1:4">
      <c r="A253" t="s">
        <v>1902</v>
      </c>
      <c r="B253" t="s">
        <v>377</v>
      </c>
      <c r="D253" t="s">
        <v>1890</v>
      </c>
    </row>
    <row r="254" spans="1:4">
      <c r="A254" t="s">
        <v>1902</v>
      </c>
      <c r="B254" t="s">
        <v>1342</v>
      </c>
      <c r="D254" t="s">
        <v>1884</v>
      </c>
    </row>
    <row r="255" spans="1:4">
      <c r="A255" t="s">
        <v>14</v>
      </c>
      <c r="B255" t="s">
        <v>1393</v>
      </c>
      <c r="D255" t="s">
        <v>1700</v>
      </c>
    </row>
    <row r="256" spans="1:4">
      <c r="A256" t="s">
        <v>14</v>
      </c>
      <c r="B256" t="s">
        <v>2109</v>
      </c>
      <c r="D256" t="s">
        <v>2110</v>
      </c>
    </row>
    <row r="257" spans="1:4">
      <c r="A257" t="s">
        <v>14</v>
      </c>
      <c r="B257" t="s">
        <v>1291</v>
      </c>
      <c r="D257" t="s">
        <v>1758</v>
      </c>
    </row>
    <row r="258" spans="1:4">
      <c r="A258" t="s">
        <v>14</v>
      </c>
      <c r="B258" t="s">
        <v>478</v>
      </c>
      <c r="D258" t="s">
        <v>1759</v>
      </c>
    </row>
    <row r="259" spans="1:4">
      <c r="A259" t="s">
        <v>14</v>
      </c>
      <c r="B259" t="s">
        <v>483</v>
      </c>
      <c r="C259" t="s">
        <v>1508</v>
      </c>
      <c r="D259" t="s">
        <v>1509</v>
      </c>
    </row>
    <row r="260" spans="1:4">
      <c r="A260" t="s">
        <v>14</v>
      </c>
      <c r="B260" t="s">
        <v>484</v>
      </c>
      <c r="C260" t="s">
        <v>1510</v>
      </c>
      <c r="D260" t="s">
        <v>1511</v>
      </c>
    </row>
    <row r="261" spans="1:4">
      <c r="A261" t="s">
        <v>14</v>
      </c>
      <c r="B261" t="s">
        <v>485</v>
      </c>
      <c r="D261" t="s">
        <v>1760</v>
      </c>
    </row>
    <row r="262" spans="1:4">
      <c r="A262" t="s">
        <v>14</v>
      </c>
      <c r="B262" t="s">
        <v>486</v>
      </c>
      <c r="D262" t="s">
        <v>1761</v>
      </c>
    </row>
    <row r="263" spans="1:4">
      <c r="A263" t="s">
        <v>14</v>
      </c>
      <c r="B263" t="s">
        <v>102</v>
      </c>
      <c r="D263" t="s">
        <v>1756</v>
      </c>
    </row>
    <row r="264" spans="1:4">
      <c r="A264" t="s">
        <v>14</v>
      </c>
      <c r="B264" t="s">
        <v>476</v>
      </c>
      <c r="D264" t="s">
        <v>1757</v>
      </c>
    </row>
    <row r="265" spans="1:4">
      <c r="A265" t="s">
        <v>14</v>
      </c>
      <c r="B265" t="s">
        <v>2013</v>
      </c>
      <c r="D265" t="s">
        <v>2014</v>
      </c>
    </row>
    <row r="266" spans="1:4">
      <c r="A266" t="s">
        <v>14</v>
      </c>
      <c r="B266" t="s">
        <v>2011</v>
      </c>
      <c r="D266" t="s">
        <v>2012</v>
      </c>
    </row>
    <row r="267" spans="1:4">
      <c r="A267" t="s">
        <v>14</v>
      </c>
      <c r="B267" t="s">
        <v>1995</v>
      </c>
      <c r="D267" t="s">
        <v>1996</v>
      </c>
    </row>
    <row r="268" spans="1:4">
      <c r="A268" t="s">
        <v>14</v>
      </c>
      <c r="B268" t="s">
        <v>1997</v>
      </c>
      <c r="D268" t="s">
        <v>1998</v>
      </c>
    </row>
    <row r="269" spans="1:4">
      <c r="A269" t="s">
        <v>14</v>
      </c>
      <c r="B269" t="s">
        <v>475</v>
      </c>
      <c r="D269" t="s">
        <v>1714</v>
      </c>
    </row>
    <row r="270" spans="1:4">
      <c r="A270" t="s">
        <v>14</v>
      </c>
      <c r="B270" t="s">
        <v>17</v>
      </c>
      <c r="D270" t="s">
        <v>1927</v>
      </c>
    </row>
    <row r="271" spans="1:4">
      <c r="A271" t="s">
        <v>14</v>
      </c>
      <c r="B271" t="s">
        <v>2049</v>
      </c>
      <c r="D271" t="s">
        <v>2050</v>
      </c>
    </row>
    <row r="272" spans="1:4">
      <c r="A272" t="s">
        <v>14</v>
      </c>
      <c r="B272" t="s">
        <v>837</v>
      </c>
      <c r="D272" t="s">
        <v>1787</v>
      </c>
    </row>
    <row r="273" spans="1:4">
      <c r="A273" t="s">
        <v>14</v>
      </c>
      <c r="B273" t="s">
        <v>2078</v>
      </c>
      <c r="D273" t="s">
        <v>2079</v>
      </c>
    </row>
    <row r="274" spans="1:4">
      <c r="A274" t="s">
        <v>1904</v>
      </c>
      <c r="B274" t="s">
        <v>1987</v>
      </c>
      <c r="C274" t="s">
        <v>1988</v>
      </c>
      <c r="D274" t="s">
        <v>1989</v>
      </c>
    </row>
    <row r="275" spans="1:4">
      <c r="A275" t="s">
        <v>1904</v>
      </c>
      <c r="B275" t="s">
        <v>774</v>
      </c>
      <c r="D275" t="s">
        <v>1649</v>
      </c>
    </row>
    <row r="276" spans="1:4">
      <c r="A276" t="s">
        <v>1904</v>
      </c>
      <c r="B276" t="s">
        <v>1623</v>
      </c>
      <c r="D276" t="s">
        <v>1654</v>
      </c>
    </row>
    <row r="277" spans="1:4">
      <c r="A277" t="s">
        <v>1904</v>
      </c>
      <c r="B277" t="s">
        <v>509</v>
      </c>
      <c r="D277" t="s">
        <v>1642</v>
      </c>
    </row>
    <row r="278" spans="1:4">
      <c r="A278" t="s">
        <v>1904</v>
      </c>
      <c r="B278" t="s">
        <v>474</v>
      </c>
      <c r="D278" t="s">
        <v>1663</v>
      </c>
    </row>
    <row r="279" spans="1:4">
      <c r="A279" t="s">
        <v>1904</v>
      </c>
      <c r="B279" t="s">
        <v>2112</v>
      </c>
      <c r="D279" t="s">
        <v>2113</v>
      </c>
    </row>
    <row r="280" spans="1:4">
      <c r="A280" t="s">
        <v>1904</v>
      </c>
      <c r="B280" t="s">
        <v>1266</v>
      </c>
      <c r="D280" t="s">
        <v>1677</v>
      </c>
    </row>
    <row r="281" spans="1:4">
      <c r="A281" t="s">
        <v>1904</v>
      </c>
      <c r="B281" t="s">
        <v>2148</v>
      </c>
      <c r="C281" t="s">
        <v>2149</v>
      </c>
      <c r="D281" t="s">
        <v>2150</v>
      </c>
    </row>
    <row r="282" spans="1:4">
      <c r="A282" t="s">
        <v>1904</v>
      </c>
      <c r="B282" t="s">
        <v>2151</v>
      </c>
      <c r="D282" t="s">
        <v>2152</v>
      </c>
    </row>
    <row r="283" spans="1:4">
      <c r="A283" t="s">
        <v>1904</v>
      </c>
      <c r="B283" t="s">
        <v>2153</v>
      </c>
      <c r="D283" t="s">
        <v>2154</v>
      </c>
    </row>
    <row r="284" spans="1:4">
      <c r="A284" t="s">
        <v>1904</v>
      </c>
      <c r="B284" t="s">
        <v>2155</v>
      </c>
      <c r="C284" t="s">
        <v>2156</v>
      </c>
      <c r="D284" t="s">
        <v>2157</v>
      </c>
    </row>
    <row r="285" spans="1:4">
      <c r="A285" t="s">
        <v>1904</v>
      </c>
      <c r="B285" t="s">
        <v>799</v>
      </c>
      <c r="D285" t="s">
        <v>1706</v>
      </c>
    </row>
    <row r="286" spans="1:4">
      <c r="A286" t="s">
        <v>1904</v>
      </c>
      <c r="B286" t="s">
        <v>2114</v>
      </c>
      <c r="C286" t="s">
        <v>2115</v>
      </c>
      <c r="D286" t="s">
        <v>2116</v>
      </c>
    </row>
    <row r="287" spans="1:4">
      <c r="A287" t="s">
        <v>1904</v>
      </c>
      <c r="B287" t="s">
        <v>510</v>
      </c>
      <c r="C287" t="s">
        <v>1478</v>
      </c>
      <c r="D287" t="s">
        <v>1479</v>
      </c>
    </row>
    <row r="288" spans="1:4">
      <c r="A288" t="s">
        <v>1904</v>
      </c>
      <c r="B288" t="s">
        <v>1395</v>
      </c>
      <c r="D288" t="s">
        <v>1722</v>
      </c>
    </row>
    <row r="289" spans="1:4">
      <c r="A289" t="s">
        <v>1904</v>
      </c>
      <c r="B289" t="s">
        <v>1406</v>
      </c>
      <c r="C289" t="s">
        <v>1480</v>
      </c>
      <c r="D289" t="s">
        <v>1481</v>
      </c>
    </row>
    <row r="290" spans="1:4">
      <c r="A290" t="s">
        <v>1904</v>
      </c>
      <c r="B290" t="s">
        <v>2001</v>
      </c>
      <c r="D290" t="s">
        <v>2002</v>
      </c>
    </row>
    <row r="291" spans="1:4">
      <c r="A291" t="s">
        <v>1904</v>
      </c>
      <c r="B291" t="s">
        <v>2003</v>
      </c>
      <c r="D291" t="s">
        <v>2004</v>
      </c>
    </row>
    <row r="292" spans="1:4">
      <c r="A292" t="s">
        <v>1904</v>
      </c>
      <c r="B292" t="s">
        <v>818</v>
      </c>
      <c r="D292" t="s">
        <v>1739</v>
      </c>
    </row>
    <row r="293" spans="1:4">
      <c r="A293" t="s">
        <v>1904</v>
      </c>
      <c r="B293" t="s">
        <v>2117</v>
      </c>
      <c r="D293" t="s">
        <v>2118</v>
      </c>
    </row>
    <row r="294" spans="1:4">
      <c r="A294" t="s">
        <v>1904</v>
      </c>
      <c r="B294" t="s">
        <v>1267</v>
      </c>
      <c r="D294" t="s">
        <v>1744</v>
      </c>
    </row>
    <row r="295" spans="1:4">
      <c r="A295" t="s">
        <v>1904</v>
      </c>
      <c r="B295" t="s">
        <v>828</v>
      </c>
      <c r="D295" t="s">
        <v>1771</v>
      </c>
    </row>
    <row r="296" spans="1:4">
      <c r="A296" t="s">
        <v>1904</v>
      </c>
      <c r="B296" t="s">
        <v>1343</v>
      </c>
      <c r="D296" t="s">
        <v>1794</v>
      </c>
    </row>
    <row r="297" spans="1:4">
      <c r="A297" t="s">
        <v>1904</v>
      </c>
      <c r="B297" t="s">
        <v>1912</v>
      </c>
      <c r="D297" t="s">
        <v>1913</v>
      </c>
    </row>
    <row r="298" spans="1:4">
      <c r="A298" t="s">
        <v>1904</v>
      </c>
      <c r="B298" t="s">
        <v>487</v>
      </c>
      <c r="D298" t="s">
        <v>1792</v>
      </c>
    </row>
    <row r="299" spans="1:4">
      <c r="A299" t="s">
        <v>1904</v>
      </c>
      <c r="B299" t="s">
        <v>1292</v>
      </c>
      <c r="D299" t="s">
        <v>1802</v>
      </c>
    </row>
    <row r="300" spans="1:4">
      <c r="A300" t="s">
        <v>1904</v>
      </c>
      <c r="B300" t="s">
        <v>1943</v>
      </c>
      <c r="C300" t="s">
        <v>1944</v>
      </c>
      <c r="D300" t="s">
        <v>1945</v>
      </c>
    </row>
    <row r="301" spans="1:4">
      <c r="A301" t="s">
        <v>1904</v>
      </c>
      <c r="B301" t="s">
        <v>2167</v>
      </c>
      <c r="C301" t="s">
        <v>2168</v>
      </c>
      <c r="D301" t="s">
        <v>2169</v>
      </c>
    </row>
    <row r="302" spans="1:4">
      <c r="A302" t="s">
        <v>1904</v>
      </c>
      <c r="B302" t="s">
        <v>851</v>
      </c>
      <c r="D302" t="s">
        <v>1808</v>
      </c>
    </row>
    <row r="303" spans="1:4">
      <c r="A303" t="s">
        <v>1904</v>
      </c>
      <c r="B303" t="s">
        <v>2170</v>
      </c>
      <c r="D303" t="s">
        <v>2171</v>
      </c>
    </row>
    <row r="304" spans="1:4">
      <c r="A304" t="s">
        <v>1904</v>
      </c>
      <c r="B304" t="s">
        <v>511</v>
      </c>
      <c r="D304" t="s">
        <v>1811</v>
      </c>
    </row>
    <row r="305" spans="1:4">
      <c r="A305" t="s">
        <v>1904</v>
      </c>
      <c r="B305" t="s">
        <v>2172</v>
      </c>
      <c r="D305" t="s">
        <v>2173</v>
      </c>
    </row>
    <row r="306" spans="1:4">
      <c r="A306" t="s">
        <v>1904</v>
      </c>
      <c r="B306" t="s">
        <v>513</v>
      </c>
      <c r="C306" t="s">
        <v>1555</v>
      </c>
      <c r="D306" t="s">
        <v>1556</v>
      </c>
    </row>
    <row r="307" spans="1:4">
      <c r="A307" t="s">
        <v>1904</v>
      </c>
      <c r="B307" t="s">
        <v>514</v>
      </c>
      <c r="D307" t="s">
        <v>1816</v>
      </c>
    </row>
    <row r="308" spans="1:4">
      <c r="A308" t="s">
        <v>1904</v>
      </c>
      <c r="B308" t="s">
        <v>306</v>
      </c>
      <c r="C308" t="s">
        <v>1557</v>
      </c>
      <c r="D308" t="s">
        <v>1558</v>
      </c>
    </row>
    <row r="309" spans="1:4">
      <c r="A309" t="s">
        <v>1904</v>
      </c>
      <c r="B309" t="s">
        <v>854</v>
      </c>
      <c r="C309" t="s">
        <v>1559</v>
      </c>
      <c r="D309" t="s">
        <v>1560</v>
      </c>
    </row>
    <row r="310" spans="1:4">
      <c r="A310" t="s">
        <v>1904</v>
      </c>
      <c r="B310" t="s">
        <v>2174</v>
      </c>
      <c r="C310" t="s">
        <v>2175</v>
      </c>
      <c r="D310" t="s">
        <v>2176</v>
      </c>
    </row>
    <row r="311" spans="1:4">
      <c r="A311" t="s">
        <v>1904</v>
      </c>
      <c r="B311" t="s">
        <v>856</v>
      </c>
      <c r="D311" t="s">
        <v>1818</v>
      </c>
    </row>
    <row r="312" spans="1:4">
      <c r="A312" t="s">
        <v>1904</v>
      </c>
      <c r="B312" t="s">
        <v>515</v>
      </c>
      <c r="D312" t="s">
        <v>1823</v>
      </c>
    </row>
    <row r="313" spans="1:4">
      <c r="A313" t="s">
        <v>1904</v>
      </c>
      <c r="B313" t="s">
        <v>892</v>
      </c>
      <c r="D313" t="s">
        <v>1871</v>
      </c>
    </row>
    <row r="314" spans="1:4">
      <c r="A314" t="s">
        <v>1904</v>
      </c>
      <c r="B314" t="s">
        <v>899</v>
      </c>
      <c r="D314" t="s">
        <v>1880</v>
      </c>
    </row>
    <row r="315" spans="1:4">
      <c r="A315" t="s">
        <v>1904</v>
      </c>
      <c r="B315" t="s">
        <v>497</v>
      </c>
      <c r="D315" t="s">
        <v>1646</v>
      </c>
    </row>
    <row r="316" spans="1:4">
      <c r="A316" t="s">
        <v>1904</v>
      </c>
      <c r="B316" t="s">
        <v>773</v>
      </c>
      <c r="D316" t="s">
        <v>1647</v>
      </c>
    </row>
    <row r="317" spans="1:4">
      <c r="A317" t="s">
        <v>1904</v>
      </c>
      <c r="B317" t="s">
        <v>776</v>
      </c>
      <c r="D317" t="s">
        <v>1653</v>
      </c>
    </row>
    <row r="318" spans="1:4">
      <c r="A318" t="s">
        <v>1904</v>
      </c>
      <c r="B318" t="s">
        <v>908</v>
      </c>
      <c r="D318" t="s">
        <v>1897</v>
      </c>
    </row>
    <row r="319" spans="1:4">
      <c r="A319" t="s">
        <v>1904</v>
      </c>
      <c r="B319" t="s">
        <v>779</v>
      </c>
      <c r="D319" t="s">
        <v>1658</v>
      </c>
    </row>
    <row r="320" spans="1:4">
      <c r="A320" t="s">
        <v>1904</v>
      </c>
      <c r="B320" t="s">
        <v>780</v>
      </c>
      <c r="D320" t="s">
        <v>1659</v>
      </c>
    </row>
    <row r="321" spans="1:4">
      <c r="A321" t="s">
        <v>1904</v>
      </c>
      <c r="B321" t="s">
        <v>782</v>
      </c>
      <c r="D321" t="s">
        <v>1667</v>
      </c>
    </row>
    <row r="322" spans="1:4">
      <c r="A322" t="s">
        <v>1904</v>
      </c>
      <c r="B322" t="s">
        <v>783</v>
      </c>
      <c r="D322" t="s">
        <v>1670</v>
      </c>
    </row>
    <row r="323" spans="1:4">
      <c r="A323" t="s">
        <v>1904</v>
      </c>
      <c r="B323" t="s">
        <v>781</v>
      </c>
      <c r="D323" t="s">
        <v>1664</v>
      </c>
    </row>
    <row r="324" spans="1:4">
      <c r="A324" t="s">
        <v>1904</v>
      </c>
      <c r="B324" t="s">
        <v>1368</v>
      </c>
      <c r="D324" t="s">
        <v>1671</v>
      </c>
    </row>
    <row r="325" spans="1:4">
      <c r="A325" t="s">
        <v>1904</v>
      </c>
      <c r="B325" t="s">
        <v>786</v>
      </c>
      <c r="D325" t="s">
        <v>1675</v>
      </c>
    </row>
    <row r="326" spans="1:4">
      <c r="A326" t="s">
        <v>1904</v>
      </c>
      <c r="B326" t="s">
        <v>784</v>
      </c>
      <c r="D326" t="s">
        <v>1672</v>
      </c>
    </row>
    <row r="327" spans="1:4">
      <c r="A327" t="s">
        <v>1904</v>
      </c>
      <c r="B327" t="s">
        <v>788</v>
      </c>
      <c r="D327" t="s">
        <v>1678</v>
      </c>
    </row>
    <row r="328" spans="1:4">
      <c r="A328" t="s">
        <v>1904</v>
      </c>
      <c r="B328" t="s">
        <v>793</v>
      </c>
      <c r="D328" t="s">
        <v>1697</v>
      </c>
    </row>
    <row r="329" spans="1:4">
      <c r="A329" t="s">
        <v>1904</v>
      </c>
      <c r="B329" t="s">
        <v>790</v>
      </c>
      <c r="D329" t="s">
        <v>1682</v>
      </c>
    </row>
    <row r="330" spans="1:4">
      <c r="A330" t="s">
        <v>1904</v>
      </c>
      <c r="B330" t="s">
        <v>801</v>
      </c>
      <c r="D330" t="s">
        <v>1709</v>
      </c>
    </row>
    <row r="331" spans="1:4">
      <c r="A331" t="s">
        <v>1904</v>
      </c>
      <c r="B331" t="s">
        <v>798</v>
      </c>
      <c r="D331" t="s">
        <v>1705</v>
      </c>
    </row>
    <row r="332" spans="1:4">
      <c r="A332" t="s">
        <v>1904</v>
      </c>
      <c r="B332" t="s">
        <v>800</v>
      </c>
      <c r="D332" t="s">
        <v>1707</v>
      </c>
    </row>
    <row r="333" spans="1:4">
      <c r="A333" t="s">
        <v>1904</v>
      </c>
      <c r="B333" t="s">
        <v>803</v>
      </c>
      <c r="D333" t="s">
        <v>1715</v>
      </c>
    </row>
    <row r="334" spans="1:4">
      <c r="A334" t="s">
        <v>1904</v>
      </c>
      <c r="B334" t="s">
        <v>804</v>
      </c>
      <c r="D334" t="s">
        <v>1716</v>
      </c>
    </row>
    <row r="335" spans="1:4">
      <c r="A335" t="s">
        <v>1904</v>
      </c>
      <c r="B335" t="s">
        <v>805</v>
      </c>
      <c r="D335" t="s">
        <v>1717</v>
      </c>
    </row>
    <row r="336" spans="1:4">
      <c r="A336" t="s">
        <v>1904</v>
      </c>
      <c r="B336" t="s">
        <v>806</v>
      </c>
      <c r="D336" t="s">
        <v>1718</v>
      </c>
    </row>
    <row r="337" spans="1:4">
      <c r="A337" t="s">
        <v>1904</v>
      </c>
      <c r="B337" t="s">
        <v>808</v>
      </c>
      <c r="D337" t="s">
        <v>1720</v>
      </c>
    </row>
    <row r="338" spans="1:4">
      <c r="A338" t="s">
        <v>1904</v>
      </c>
      <c r="B338" t="s">
        <v>1293</v>
      </c>
      <c r="D338" t="s">
        <v>1839</v>
      </c>
    </row>
    <row r="339" spans="1:4">
      <c r="A339" t="s">
        <v>1904</v>
      </c>
      <c r="B339" t="s">
        <v>498</v>
      </c>
      <c r="D339" t="s">
        <v>1723</v>
      </c>
    </row>
    <row r="340" spans="1:4">
      <c r="A340" t="s">
        <v>1904</v>
      </c>
      <c r="B340" t="s">
        <v>809</v>
      </c>
      <c r="D340" t="s">
        <v>1724</v>
      </c>
    </row>
    <row r="341" spans="1:4">
      <c r="A341" t="s">
        <v>1904</v>
      </c>
      <c r="B341" t="s">
        <v>811</v>
      </c>
      <c r="D341" t="s">
        <v>1726</v>
      </c>
    </row>
    <row r="342" spans="1:4">
      <c r="A342" t="s">
        <v>1904</v>
      </c>
      <c r="B342" t="s">
        <v>499</v>
      </c>
      <c r="D342" t="s">
        <v>1727</v>
      </c>
    </row>
    <row r="343" spans="1:4">
      <c r="A343" t="s">
        <v>1904</v>
      </c>
      <c r="B343" t="s">
        <v>812</v>
      </c>
      <c r="D343" t="s">
        <v>1728</v>
      </c>
    </row>
    <row r="344" spans="1:4">
      <c r="A344" t="s">
        <v>1904</v>
      </c>
      <c r="B344" t="s">
        <v>816</v>
      </c>
      <c r="D344" t="s">
        <v>1735</v>
      </c>
    </row>
    <row r="345" spans="1:4">
      <c r="A345" t="s">
        <v>1904</v>
      </c>
      <c r="B345" t="s">
        <v>491</v>
      </c>
      <c r="D345" t="s">
        <v>1737</v>
      </c>
    </row>
    <row r="346" spans="1:4">
      <c r="A346" t="s">
        <v>1904</v>
      </c>
      <c r="B346" t="s">
        <v>819</v>
      </c>
      <c r="D346" t="s">
        <v>1740</v>
      </c>
    </row>
    <row r="347" spans="1:4">
      <c r="A347" t="s">
        <v>1904</v>
      </c>
      <c r="B347" t="s">
        <v>1396</v>
      </c>
      <c r="D347" t="s">
        <v>1742</v>
      </c>
    </row>
    <row r="348" spans="1:4">
      <c r="A348" t="s">
        <v>1904</v>
      </c>
      <c r="B348" t="s">
        <v>820</v>
      </c>
      <c r="D348" t="s">
        <v>1754</v>
      </c>
    </row>
    <row r="349" spans="1:4">
      <c r="A349" t="s">
        <v>1904</v>
      </c>
      <c r="B349" t="s">
        <v>500</v>
      </c>
      <c r="D349" t="s">
        <v>1748</v>
      </c>
    </row>
    <row r="350" spans="1:4">
      <c r="A350" t="s">
        <v>1904</v>
      </c>
      <c r="B350" t="s">
        <v>2119</v>
      </c>
      <c r="D350" t="s">
        <v>2120</v>
      </c>
    </row>
    <row r="351" spans="1:4">
      <c r="A351" t="s">
        <v>1904</v>
      </c>
      <c r="B351" t="s">
        <v>501</v>
      </c>
      <c r="D351" t="s">
        <v>1763</v>
      </c>
    </row>
    <row r="352" spans="1:4">
      <c r="A352" t="s">
        <v>1904</v>
      </c>
      <c r="B352" t="s">
        <v>824</v>
      </c>
      <c r="D352" t="s">
        <v>1769</v>
      </c>
    </row>
    <row r="353" spans="1:4">
      <c r="A353" t="s">
        <v>1904</v>
      </c>
      <c r="B353" t="s">
        <v>825</v>
      </c>
      <c r="C353" t="s">
        <v>1517</v>
      </c>
      <c r="D353" t="s">
        <v>1518</v>
      </c>
    </row>
    <row r="354" spans="1:4">
      <c r="A354" t="s">
        <v>1904</v>
      </c>
      <c r="B354" t="s">
        <v>826</v>
      </c>
      <c r="C354" t="s">
        <v>1519</v>
      </c>
      <c r="D354" t="s">
        <v>1520</v>
      </c>
    </row>
    <row r="355" spans="1:4">
      <c r="A355" t="s">
        <v>1904</v>
      </c>
      <c r="B355" t="s">
        <v>827</v>
      </c>
      <c r="D355" t="s">
        <v>1770</v>
      </c>
    </row>
    <row r="356" spans="1:4">
      <c r="A356" t="s">
        <v>1904</v>
      </c>
      <c r="B356" t="s">
        <v>2015</v>
      </c>
      <c r="D356" t="s">
        <v>2016</v>
      </c>
    </row>
    <row r="357" spans="1:4">
      <c r="A357" t="s">
        <v>1904</v>
      </c>
      <c r="B357" t="s">
        <v>502</v>
      </c>
      <c r="D357" t="s">
        <v>1764</v>
      </c>
    </row>
    <row r="358" spans="1:4">
      <c r="A358" t="s">
        <v>1904</v>
      </c>
      <c r="B358" t="s">
        <v>2043</v>
      </c>
      <c r="D358" t="s">
        <v>2044</v>
      </c>
    </row>
    <row r="359" spans="1:4">
      <c r="A359" t="s">
        <v>1904</v>
      </c>
      <c r="B359" t="s">
        <v>831</v>
      </c>
      <c r="D359" t="s">
        <v>1774</v>
      </c>
    </row>
    <row r="360" spans="1:4">
      <c r="A360" t="s">
        <v>1904</v>
      </c>
      <c r="B360" t="s">
        <v>503</v>
      </c>
      <c r="D360" t="s">
        <v>1775</v>
      </c>
    </row>
    <row r="361" spans="1:4">
      <c r="A361" t="s">
        <v>1904</v>
      </c>
      <c r="B361" t="s">
        <v>836</v>
      </c>
      <c r="D361" t="s">
        <v>1785</v>
      </c>
    </row>
    <row r="362" spans="1:4">
      <c r="A362" t="s">
        <v>1904</v>
      </c>
      <c r="B362" t="s">
        <v>838</v>
      </c>
      <c r="D362" t="s">
        <v>1788</v>
      </c>
    </row>
    <row r="363" spans="1:4">
      <c r="A363" t="s">
        <v>1904</v>
      </c>
      <c r="B363" t="s">
        <v>839</v>
      </c>
      <c r="D363" t="s">
        <v>1791</v>
      </c>
    </row>
    <row r="364" spans="1:4">
      <c r="A364" t="s">
        <v>1904</v>
      </c>
      <c r="B364" t="s">
        <v>845</v>
      </c>
      <c r="D364" t="s">
        <v>1798</v>
      </c>
    </row>
    <row r="365" spans="1:4">
      <c r="A365" t="s">
        <v>1904</v>
      </c>
      <c r="B365" t="s">
        <v>846</v>
      </c>
      <c r="D365" t="s">
        <v>1799</v>
      </c>
    </row>
    <row r="366" spans="1:4">
      <c r="A366" t="s">
        <v>1904</v>
      </c>
      <c r="B366" t="s">
        <v>849</v>
      </c>
      <c r="D366" t="s">
        <v>1804</v>
      </c>
    </row>
    <row r="367" spans="1:4">
      <c r="A367" t="s">
        <v>1904</v>
      </c>
      <c r="B367" t="s">
        <v>1928</v>
      </c>
      <c r="D367" t="s">
        <v>1929</v>
      </c>
    </row>
    <row r="368" spans="1:4">
      <c r="A368" t="s">
        <v>1904</v>
      </c>
      <c r="B368" t="s">
        <v>2031</v>
      </c>
      <c r="D368" t="s">
        <v>2032</v>
      </c>
    </row>
    <row r="369" spans="1:4">
      <c r="A369" t="s">
        <v>1904</v>
      </c>
      <c r="B369" t="s">
        <v>850</v>
      </c>
      <c r="D369" t="s">
        <v>1806</v>
      </c>
    </row>
    <row r="370" spans="1:4">
      <c r="A370" t="s">
        <v>1904</v>
      </c>
      <c r="B370" t="s">
        <v>852</v>
      </c>
      <c r="D370" t="s">
        <v>1810</v>
      </c>
    </row>
    <row r="371" spans="1:4">
      <c r="A371" t="s">
        <v>1904</v>
      </c>
      <c r="B371" t="s">
        <v>504</v>
      </c>
      <c r="D371" t="s">
        <v>1812</v>
      </c>
    </row>
    <row r="372" spans="1:4">
      <c r="A372" t="s">
        <v>1904</v>
      </c>
      <c r="B372" t="s">
        <v>853</v>
      </c>
      <c r="D372" t="s">
        <v>1813</v>
      </c>
    </row>
    <row r="373" spans="1:4">
      <c r="A373" t="s">
        <v>1904</v>
      </c>
      <c r="B373" t="s">
        <v>2033</v>
      </c>
      <c r="D373" t="s">
        <v>2034</v>
      </c>
    </row>
    <row r="374" spans="1:4">
      <c r="A374" t="s">
        <v>1904</v>
      </c>
      <c r="B374" t="s">
        <v>512</v>
      </c>
      <c r="D374" t="s">
        <v>1815</v>
      </c>
    </row>
    <row r="375" spans="1:4">
      <c r="A375" t="s">
        <v>1904</v>
      </c>
      <c r="B375" t="s">
        <v>855</v>
      </c>
      <c r="D375" t="s">
        <v>1817</v>
      </c>
    </row>
    <row r="376" spans="1:4">
      <c r="A376" t="s">
        <v>1904</v>
      </c>
      <c r="B376" t="s">
        <v>505</v>
      </c>
      <c r="D376" t="s">
        <v>1807</v>
      </c>
    </row>
    <row r="377" spans="1:4">
      <c r="A377" t="s">
        <v>1904</v>
      </c>
      <c r="B377" t="s">
        <v>1370</v>
      </c>
      <c r="D377" t="s">
        <v>1824</v>
      </c>
    </row>
    <row r="378" spans="1:4">
      <c r="A378" t="s">
        <v>1904</v>
      </c>
      <c r="B378" t="s">
        <v>857</v>
      </c>
      <c r="D378" t="s">
        <v>1825</v>
      </c>
    </row>
    <row r="379" spans="1:4">
      <c r="A379" t="s">
        <v>1904</v>
      </c>
      <c r="B379" t="s">
        <v>858</v>
      </c>
      <c r="D379" t="s">
        <v>1826</v>
      </c>
    </row>
    <row r="380" spans="1:4">
      <c r="A380" t="s">
        <v>1904</v>
      </c>
      <c r="B380" t="s">
        <v>859</v>
      </c>
      <c r="D380" t="s">
        <v>1829</v>
      </c>
    </row>
    <row r="381" spans="1:4">
      <c r="A381" t="s">
        <v>1904</v>
      </c>
      <c r="B381" t="s">
        <v>860</v>
      </c>
      <c r="D381" t="s">
        <v>1830</v>
      </c>
    </row>
    <row r="382" spans="1:4">
      <c r="A382" t="s">
        <v>1904</v>
      </c>
      <c r="B382" t="s">
        <v>2121</v>
      </c>
      <c r="D382" t="s">
        <v>2122</v>
      </c>
    </row>
    <row r="383" spans="1:4">
      <c r="A383" t="s">
        <v>1904</v>
      </c>
      <c r="B383" t="s">
        <v>862</v>
      </c>
      <c r="D383" t="s">
        <v>1832</v>
      </c>
    </row>
    <row r="384" spans="1:4">
      <c r="A384" t="s">
        <v>1904</v>
      </c>
      <c r="B384" t="s">
        <v>506</v>
      </c>
      <c r="D384" t="s">
        <v>1836</v>
      </c>
    </row>
    <row r="385" spans="1:4">
      <c r="A385" t="s">
        <v>1904</v>
      </c>
      <c r="B385" t="s">
        <v>2037</v>
      </c>
      <c r="D385" t="s">
        <v>2038</v>
      </c>
    </row>
    <row r="386" spans="1:4">
      <c r="A386" t="s">
        <v>1904</v>
      </c>
      <c r="B386" t="s">
        <v>867</v>
      </c>
      <c r="D386" t="s">
        <v>1840</v>
      </c>
    </row>
    <row r="387" spans="1:4">
      <c r="A387" t="s">
        <v>1904</v>
      </c>
      <c r="B387" t="s">
        <v>869</v>
      </c>
      <c r="D387" t="s">
        <v>1841</v>
      </c>
    </row>
    <row r="388" spans="1:4">
      <c r="A388" t="s">
        <v>1904</v>
      </c>
      <c r="B388" t="s">
        <v>870</v>
      </c>
      <c r="D388" t="s">
        <v>1842</v>
      </c>
    </row>
    <row r="389" spans="1:4">
      <c r="A389" t="s">
        <v>1904</v>
      </c>
      <c r="B389" t="s">
        <v>1371</v>
      </c>
      <c r="D389" t="s">
        <v>1846</v>
      </c>
    </row>
    <row r="390" spans="1:4">
      <c r="A390" t="s">
        <v>1904</v>
      </c>
      <c r="B390" t="s">
        <v>873</v>
      </c>
      <c r="D390" t="s">
        <v>1849</v>
      </c>
    </row>
    <row r="391" spans="1:4">
      <c r="A391" t="s">
        <v>1904</v>
      </c>
      <c r="B391" t="s">
        <v>874</v>
      </c>
      <c r="D391" t="s">
        <v>1850</v>
      </c>
    </row>
    <row r="392" spans="1:4">
      <c r="A392" t="s">
        <v>1904</v>
      </c>
      <c r="B392" t="s">
        <v>1397</v>
      </c>
      <c r="D392" t="s">
        <v>1844</v>
      </c>
    </row>
    <row r="393" spans="1:4">
      <c r="A393" t="s">
        <v>1904</v>
      </c>
      <c r="B393" t="s">
        <v>875</v>
      </c>
      <c r="D393" t="s">
        <v>1851</v>
      </c>
    </row>
    <row r="394" spans="1:4">
      <c r="A394" t="s">
        <v>1904</v>
      </c>
      <c r="B394" t="s">
        <v>877</v>
      </c>
      <c r="D394" t="s">
        <v>1852</v>
      </c>
    </row>
    <row r="395" spans="1:4">
      <c r="A395" t="s">
        <v>1904</v>
      </c>
      <c r="B395" t="s">
        <v>878</v>
      </c>
      <c r="D395" t="s">
        <v>1853</v>
      </c>
    </row>
    <row r="396" spans="1:4">
      <c r="A396" t="s">
        <v>1904</v>
      </c>
      <c r="B396" t="s">
        <v>879</v>
      </c>
      <c r="D396" t="s">
        <v>1854</v>
      </c>
    </row>
    <row r="397" spans="1:4">
      <c r="A397" t="s">
        <v>1904</v>
      </c>
      <c r="B397" t="s">
        <v>880</v>
      </c>
      <c r="D397" t="s">
        <v>1855</v>
      </c>
    </row>
    <row r="398" spans="1:4">
      <c r="A398" t="s">
        <v>1904</v>
      </c>
      <c r="B398" t="s">
        <v>2177</v>
      </c>
      <c r="D398" t="s">
        <v>2178</v>
      </c>
    </row>
    <row r="399" spans="1:4">
      <c r="A399" t="s">
        <v>1904</v>
      </c>
      <c r="B399" t="s">
        <v>2179</v>
      </c>
      <c r="D399" t="s">
        <v>2180</v>
      </c>
    </row>
    <row r="400" spans="1:4">
      <c r="A400" t="s">
        <v>1904</v>
      </c>
      <c r="B400" t="s">
        <v>884</v>
      </c>
      <c r="D400" t="s">
        <v>1861</v>
      </c>
    </row>
    <row r="401" spans="1:4">
      <c r="A401" t="s">
        <v>1904</v>
      </c>
      <c r="B401" t="s">
        <v>885</v>
      </c>
      <c r="D401" t="s">
        <v>1862</v>
      </c>
    </row>
    <row r="402" spans="1:4">
      <c r="A402" t="s">
        <v>1904</v>
      </c>
      <c r="B402" t="s">
        <v>886</v>
      </c>
      <c r="D402" t="s">
        <v>1863</v>
      </c>
    </row>
    <row r="403" spans="1:4">
      <c r="A403" t="s">
        <v>1904</v>
      </c>
      <c r="B403" t="s">
        <v>887</v>
      </c>
      <c r="D403" t="s">
        <v>1864</v>
      </c>
    </row>
    <row r="404" spans="1:4">
      <c r="A404" t="s">
        <v>1904</v>
      </c>
      <c r="B404" t="s">
        <v>1268</v>
      </c>
      <c r="D404" t="s">
        <v>1865</v>
      </c>
    </row>
    <row r="405" spans="1:4">
      <c r="A405" t="s">
        <v>1904</v>
      </c>
      <c r="B405" t="s">
        <v>888</v>
      </c>
      <c r="D405" t="s">
        <v>1866</v>
      </c>
    </row>
    <row r="406" spans="1:4">
      <c r="A406" t="s">
        <v>1904</v>
      </c>
      <c r="B406" t="s">
        <v>889</v>
      </c>
      <c r="D406" t="s">
        <v>1867</v>
      </c>
    </row>
    <row r="407" spans="1:4">
      <c r="A407" t="s">
        <v>1904</v>
      </c>
      <c r="B407" t="s">
        <v>890</v>
      </c>
      <c r="D407" t="s">
        <v>1868</v>
      </c>
    </row>
    <row r="408" spans="1:4">
      <c r="A408" t="s">
        <v>1904</v>
      </c>
      <c r="B408" t="s">
        <v>2045</v>
      </c>
      <c r="D408" t="s">
        <v>2046</v>
      </c>
    </row>
    <row r="409" spans="1:4">
      <c r="A409" t="s">
        <v>1904</v>
      </c>
      <c r="B409" t="s">
        <v>1630</v>
      </c>
      <c r="D409" t="s">
        <v>1869</v>
      </c>
    </row>
    <row r="410" spans="1:4">
      <c r="A410" t="s">
        <v>1904</v>
      </c>
      <c r="B410" t="s">
        <v>2123</v>
      </c>
      <c r="D410" t="s">
        <v>2124</v>
      </c>
    </row>
    <row r="411" spans="1:4">
      <c r="A411" t="s">
        <v>1904</v>
      </c>
      <c r="B411" t="s">
        <v>891</v>
      </c>
      <c r="D411" t="s">
        <v>1870</v>
      </c>
    </row>
    <row r="412" spans="1:4">
      <c r="A412" t="s">
        <v>1904</v>
      </c>
      <c r="B412" t="s">
        <v>2047</v>
      </c>
      <c r="D412" t="s">
        <v>2048</v>
      </c>
    </row>
    <row r="413" spans="1:4">
      <c r="A413" t="s">
        <v>1904</v>
      </c>
      <c r="B413" t="s">
        <v>893</v>
      </c>
      <c r="D413" t="s">
        <v>1872</v>
      </c>
    </row>
    <row r="414" spans="1:4">
      <c r="A414" t="s">
        <v>1904</v>
      </c>
      <c r="B414" t="s">
        <v>894</v>
      </c>
      <c r="D414" t="s">
        <v>1873</v>
      </c>
    </row>
    <row r="415" spans="1:4">
      <c r="A415" t="s">
        <v>1904</v>
      </c>
      <c r="B415" t="s">
        <v>2183</v>
      </c>
      <c r="C415" t="s">
        <v>2184</v>
      </c>
      <c r="D415" t="s">
        <v>2185</v>
      </c>
    </row>
    <row r="416" spans="1:4">
      <c r="A416" t="s">
        <v>1904</v>
      </c>
      <c r="B416" t="s">
        <v>900</v>
      </c>
      <c r="D416" t="s">
        <v>1881</v>
      </c>
    </row>
    <row r="417" spans="1:4">
      <c r="A417" t="s">
        <v>1904</v>
      </c>
      <c r="B417" t="s">
        <v>507</v>
      </c>
      <c r="D417" t="s">
        <v>1894</v>
      </c>
    </row>
    <row r="418" spans="1:4">
      <c r="A418" t="s">
        <v>1904</v>
      </c>
      <c r="B418" t="s">
        <v>901</v>
      </c>
      <c r="D418" t="s">
        <v>1882</v>
      </c>
    </row>
    <row r="419" spans="1:4">
      <c r="A419" t="s">
        <v>1904</v>
      </c>
      <c r="B419" t="s">
        <v>902</v>
      </c>
      <c r="D419" t="s">
        <v>1883</v>
      </c>
    </row>
    <row r="420" spans="1:4">
      <c r="A420" t="s">
        <v>1904</v>
      </c>
      <c r="B420" t="s">
        <v>508</v>
      </c>
      <c r="D420" t="s">
        <v>1895</v>
      </c>
    </row>
    <row r="421" spans="1:4">
      <c r="A421" t="s">
        <v>1904</v>
      </c>
      <c r="B421" t="s">
        <v>2053</v>
      </c>
      <c r="D421" t="s">
        <v>2054</v>
      </c>
    </row>
    <row r="422" spans="1:4">
      <c r="A422" t="s">
        <v>1904</v>
      </c>
      <c r="B422" t="s">
        <v>488</v>
      </c>
      <c r="D422" t="s">
        <v>1651</v>
      </c>
    </row>
    <row r="423" spans="1:4">
      <c r="A423" t="s">
        <v>1904</v>
      </c>
      <c r="B423" t="s">
        <v>775</v>
      </c>
      <c r="D423" t="s">
        <v>1652</v>
      </c>
    </row>
    <row r="424" spans="1:4">
      <c r="A424" t="s">
        <v>1904</v>
      </c>
      <c r="B424" t="s">
        <v>777</v>
      </c>
      <c r="D424" t="s">
        <v>1655</v>
      </c>
    </row>
    <row r="425" spans="1:4">
      <c r="A425" t="s">
        <v>1904</v>
      </c>
      <c r="B425" t="s">
        <v>489</v>
      </c>
      <c r="D425" t="s">
        <v>1666</v>
      </c>
    </row>
    <row r="426" spans="1:4">
      <c r="A426" t="s">
        <v>1904</v>
      </c>
      <c r="B426" t="s">
        <v>490</v>
      </c>
      <c r="D426" t="s">
        <v>1679</v>
      </c>
    </row>
    <row r="427" spans="1:4">
      <c r="A427" t="s">
        <v>1904</v>
      </c>
      <c r="B427" t="s">
        <v>807</v>
      </c>
      <c r="D427" t="s">
        <v>1719</v>
      </c>
    </row>
    <row r="428" spans="1:4">
      <c r="A428" t="s">
        <v>1904</v>
      </c>
      <c r="B428" t="s">
        <v>492</v>
      </c>
      <c r="D428" t="s">
        <v>1743</v>
      </c>
    </row>
    <row r="429" spans="1:4">
      <c r="A429" t="s">
        <v>1904</v>
      </c>
      <c r="B429" t="s">
        <v>822</v>
      </c>
      <c r="D429" t="s">
        <v>1765</v>
      </c>
    </row>
    <row r="430" spans="1:4">
      <c r="A430" t="s">
        <v>1904</v>
      </c>
      <c r="B430" t="s">
        <v>823</v>
      </c>
      <c r="D430" t="s">
        <v>1766</v>
      </c>
    </row>
    <row r="431" spans="1:4">
      <c r="A431" t="s">
        <v>1904</v>
      </c>
      <c r="B431" t="s">
        <v>493</v>
      </c>
      <c r="D431" t="s">
        <v>1768</v>
      </c>
    </row>
    <row r="432" spans="1:4">
      <c r="A432" t="s">
        <v>1904</v>
      </c>
      <c r="B432" t="s">
        <v>494</v>
      </c>
      <c r="D432" t="s">
        <v>1789</v>
      </c>
    </row>
    <row r="433" spans="1:4">
      <c r="A433" t="s">
        <v>1904</v>
      </c>
      <c r="B433" t="s">
        <v>495</v>
      </c>
      <c r="D433" t="s">
        <v>1803</v>
      </c>
    </row>
    <row r="434" spans="1:4">
      <c r="A434" t="s">
        <v>1904</v>
      </c>
      <c r="B434" t="s">
        <v>370</v>
      </c>
      <c r="D434" t="s">
        <v>1814</v>
      </c>
    </row>
    <row r="435" spans="1:4">
      <c r="A435" t="s">
        <v>1904</v>
      </c>
      <c r="B435" t="s">
        <v>496</v>
      </c>
      <c r="D435" t="s">
        <v>1820</v>
      </c>
    </row>
    <row r="436" spans="1:4">
      <c r="A436" t="s">
        <v>1904</v>
      </c>
      <c r="B436" t="s">
        <v>861</v>
      </c>
      <c r="D436" t="s">
        <v>1831</v>
      </c>
    </row>
    <row r="437" spans="1:4">
      <c r="A437" t="s">
        <v>1904</v>
      </c>
      <c r="B437" t="s">
        <v>871</v>
      </c>
      <c r="D437" t="s">
        <v>1845</v>
      </c>
    </row>
    <row r="438" spans="1:4">
      <c r="A438" t="s">
        <v>1904</v>
      </c>
      <c r="B438" t="s">
        <v>872</v>
      </c>
      <c r="D438" t="s">
        <v>1847</v>
      </c>
    </row>
    <row r="439" spans="1:4">
      <c r="A439" t="s">
        <v>1904</v>
      </c>
      <c r="B439" t="s">
        <v>881</v>
      </c>
      <c r="D439" t="s">
        <v>1856</v>
      </c>
    </row>
    <row r="440" spans="1:4">
      <c r="A440" t="s">
        <v>1904</v>
      </c>
      <c r="B440" t="s">
        <v>895</v>
      </c>
      <c r="D440" t="s">
        <v>1874</v>
      </c>
    </row>
    <row r="441" spans="1:4">
      <c r="A441" t="s">
        <v>1904</v>
      </c>
      <c r="B441" t="s">
        <v>897</v>
      </c>
      <c r="D441" t="s">
        <v>1878</v>
      </c>
    </row>
    <row r="442" spans="1:4">
      <c r="A442" t="s">
        <v>1904</v>
      </c>
      <c r="B442" t="s">
        <v>2055</v>
      </c>
      <c r="D442" t="s">
        <v>2056</v>
      </c>
    </row>
  </sheetData>
  <phoneticPr fontId="63"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94FBF-F070-4367-9A85-1E0AC1E9EBE1}">
  <dimension ref="A1"/>
  <sheetViews>
    <sheetView workbookViewId="0"/>
  </sheetViews>
  <sheetFormatPr defaultRowHeight="14"/>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Ark1">
    <tabColor theme="8" tint="0.59999389629810485"/>
  </sheetPr>
  <dimension ref="A1:BN152"/>
  <sheetViews>
    <sheetView showGridLines="0" showZeros="0" zoomScale="80" zoomScaleNormal="80" zoomScaleSheetLayoutView="80" workbookViewId="0">
      <pane xSplit="2" ySplit="17" topLeftCell="C18" activePane="bottomRight" state="frozen"/>
      <selection pane="topRight" activeCell="C1" sqref="C1"/>
      <selection pane="bottomLeft" activeCell="A18" sqref="A18"/>
      <selection pane="bottomRight" activeCell="G25" sqref="G25"/>
    </sheetView>
  </sheetViews>
  <sheetFormatPr defaultColWidth="16.75" defaultRowHeight="13" outlineLevelRow="1" outlineLevelCol="1"/>
  <cols>
    <col min="1" max="1" width="53.58203125" style="7" customWidth="1"/>
    <col min="2" max="2" width="11.58203125" style="7" hidden="1" customWidth="1"/>
    <col min="3" max="8" width="11.58203125" style="7" customWidth="1"/>
    <col min="9" max="12" width="11.58203125" style="7" hidden="1" customWidth="1" outlineLevel="1"/>
    <col min="13" max="13" width="11.58203125" style="7" customWidth="1" collapsed="1"/>
    <col min="14" max="14" width="35.25" style="7" customWidth="1"/>
    <col min="15" max="15" width="27.08203125" style="7" customWidth="1"/>
    <col min="16" max="16" width="6" style="7" customWidth="1"/>
    <col min="17" max="18" width="25.08203125" style="6" customWidth="1"/>
    <col min="19" max="24" width="12.58203125" style="7" customWidth="1"/>
    <col min="25" max="29" width="12.58203125" style="7" hidden="1" customWidth="1" outlineLevel="1"/>
    <col min="30" max="30" width="4.08203125" style="7" customWidth="1" collapsed="1"/>
    <col min="31" max="31" width="10.75" style="7" customWidth="1"/>
    <col min="32" max="32" width="14.75" style="7" customWidth="1"/>
    <col min="33" max="33" width="1.08203125" style="7" customWidth="1"/>
    <col min="34" max="34" width="10.75" style="7" bestFit="1" customWidth="1"/>
    <col min="35" max="35" width="14.75" style="7" bestFit="1" customWidth="1"/>
    <col min="36" max="36" width="1.08203125" style="7" customWidth="1"/>
    <col min="37" max="37" width="10.75" style="7" bestFit="1" customWidth="1"/>
    <col min="38" max="38" width="14.75" style="7" bestFit="1" customWidth="1"/>
    <col min="39" max="39" width="1.08203125" style="7" customWidth="1"/>
    <col min="40" max="40" width="10.75" style="7" customWidth="1"/>
    <col min="41" max="41" width="14.75" style="7" bestFit="1" customWidth="1"/>
    <col min="42" max="42" width="1.08203125" style="7" customWidth="1"/>
    <col min="43" max="43" width="10.75" style="7" bestFit="1" customWidth="1"/>
    <col min="44" max="44" width="14.75" style="7" bestFit="1" customWidth="1"/>
    <col min="45" max="45" width="1.08203125" style="7" customWidth="1"/>
    <col min="46" max="46" width="10.75" style="7" bestFit="1" customWidth="1"/>
    <col min="47" max="47" width="14.75" style="7" bestFit="1" customWidth="1"/>
    <col min="48" max="48" width="1.08203125" style="7" customWidth="1"/>
    <col min="49" max="49" width="10.75" style="7" bestFit="1" customWidth="1"/>
    <col min="50" max="50" width="14.75" style="7" bestFit="1" customWidth="1"/>
    <col min="51" max="51" width="1.08203125" style="7" customWidth="1"/>
    <col min="52" max="52" width="10.75" style="7" hidden="1" customWidth="1" outlineLevel="1"/>
    <col min="53" max="53" width="14.75" style="7" hidden="1" customWidth="1" outlineLevel="1"/>
    <col min="54" max="54" width="1.08203125" style="7" hidden="1" customWidth="1" outlineLevel="1"/>
    <col min="55" max="55" width="10.75" style="7" hidden="1" customWidth="1" outlineLevel="1"/>
    <col min="56" max="56" width="14.75" style="7" hidden="1" customWidth="1" outlineLevel="1"/>
    <col min="57" max="57" width="1.08203125" style="7" hidden="1" customWidth="1" outlineLevel="1"/>
    <col min="58" max="58" width="10.75" style="7" hidden="1" customWidth="1" outlineLevel="1"/>
    <col min="59" max="59" width="14.75" style="7" hidden="1" customWidth="1" outlineLevel="1"/>
    <col min="60" max="60" width="1.08203125" style="7" hidden="1" customWidth="1" outlineLevel="1"/>
    <col min="61" max="61" width="10.75" style="7" hidden="1" customWidth="1" outlineLevel="1"/>
    <col min="62" max="62" width="14.75" style="7" hidden="1" customWidth="1" outlineLevel="1"/>
    <col min="63" max="63" width="16.75" style="7" collapsed="1"/>
    <col min="64" max="16384" width="16.75" style="7"/>
  </cols>
  <sheetData>
    <row r="1" spans="1:62" s="5" customFormat="1" ht="22.4" customHeight="1">
      <c r="A1" s="40" t="s">
        <v>28</v>
      </c>
      <c r="B1" s="7"/>
      <c r="E1" s="339" t="s">
        <v>732</v>
      </c>
      <c r="N1" s="339"/>
      <c r="Q1" s="16"/>
      <c r="R1" s="16"/>
    </row>
    <row r="2" spans="1:62" s="5" customFormat="1" ht="15.65" customHeight="1">
      <c r="A2" s="340" t="s">
        <v>160</v>
      </c>
      <c r="B2" s="7"/>
      <c r="C2" s="277"/>
      <c r="D2" s="339"/>
      <c r="E2" s="339" t="s">
        <v>32</v>
      </c>
      <c r="M2" s="344" t="s">
        <v>1360</v>
      </c>
      <c r="N2" s="339"/>
      <c r="O2" s="339"/>
      <c r="P2" s="339"/>
      <c r="Q2" s="16"/>
      <c r="R2" s="16"/>
    </row>
    <row r="3" spans="1:62" s="5" customFormat="1" ht="15.65" customHeight="1" thickBot="1">
      <c r="A3" s="340" t="s">
        <v>151</v>
      </c>
      <c r="B3" s="7"/>
      <c r="C3" s="541"/>
      <c r="D3" s="542"/>
      <c r="E3" s="542"/>
      <c r="F3" s="542"/>
      <c r="G3" s="542"/>
      <c r="H3" s="543"/>
      <c r="I3" s="69"/>
      <c r="J3" s="353"/>
      <c r="K3" s="353"/>
      <c r="L3" s="353"/>
      <c r="M3" s="191"/>
      <c r="N3" s="179"/>
      <c r="O3" s="351"/>
      <c r="P3" s="351"/>
      <c r="Q3" s="168"/>
      <c r="R3" s="168"/>
      <c r="S3" s="345"/>
      <c r="T3"/>
      <c r="U3" s="352"/>
      <c r="V3" s="179"/>
      <c r="W3" s="179"/>
      <c r="X3" s="179"/>
      <c r="Y3" s="179"/>
      <c r="Z3" s="179"/>
      <c r="AA3" s="179"/>
      <c r="AB3" s="179"/>
      <c r="AC3" s="179"/>
      <c r="AD3" s="179"/>
      <c r="AE3" s="179"/>
      <c r="AF3" s="179"/>
      <c r="AG3" s="179"/>
      <c r="AH3" s="179"/>
      <c r="AI3" s="179"/>
      <c r="AJ3" s="179"/>
      <c r="AK3" s="179"/>
      <c r="AL3" s="179"/>
      <c r="AM3" s="179"/>
      <c r="AN3" s="179"/>
      <c r="AO3" s="179"/>
      <c r="AP3" s="179"/>
      <c r="AQ3" s="179"/>
      <c r="AR3" s="179"/>
      <c r="AS3" s="179"/>
      <c r="AT3" s="179"/>
      <c r="AU3" s="179"/>
      <c r="AV3" s="179"/>
      <c r="AW3" s="179"/>
      <c r="AX3" s="179"/>
      <c r="AY3" s="179"/>
      <c r="AZ3" s="179"/>
      <c r="BA3" s="179"/>
      <c r="BB3" s="179"/>
      <c r="BC3" s="179"/>
      <c r="BD3" s="179"/>
      <c r="BE3" s="179"/>
      <c r="BF3" s="179"/>
      <c r="BG3" s="179"/>
      <c r="BH3" s="179"/>
      <c r="BI3" s="179"/>
      <c r="BJ3" s="179"/>
    </row>
    <row r="4" spans="1:62" s="5" customFormat="1" ht="15.65" customHeight="1" thickBot="1">
      <c r="A4" s="340" t="s">
        <v>737</v>
      </c>
      <c r="B4" s="7"/>
      <c r="C4" s="541"/>
      <c r="D4" s="542"/>
      <c r="E4" s="542"/>
      <c r="F4" s="542"/>
      <c r="G4" s="542"/>
      <c r="H4" s="543"/>
      <c r="I4" s="69"/>
      <c r="J4" s="336"/>
      <c r="K4" s="336"/>
      <c r="L4" s="354"/>
      <c r="M4" s="396"/>
      <c r="N4" s="334" t="s">
        <v>586</v>
      </c>
      <c r="O4" s="394">
        <f>IFERROR((R89-R84+R112-R126)/(R84-R112+R126),0)</f>
        <v>0</v>
      </c>
      <c r="P4" s="351"/>
      <c r="Q4" s="168"/>
      <c r="R4" s="168"/>
      <c r="S4"/>
      <c r="T4" s="179"/>
      <c r="U4" s="352"/>
      <c r="V4" s="179"/>
      <c r="W4" s="179"/>
      <c r="X4" s="179"/>
      <c r="Y4" s="179"/>
      <c r="Z4" s="179"/>
      <c r="AA4" s="179"/>
      <c r="AB4" s="179"/>
      <c r="AC4" s="179"/>
      <c r="AD4" s="179"/>
      <c r="AE4" s="179"/>
      <c r="AF4" s="179"/>
      <c r="AG4" s="179"/>
      <c r="AH4" s="179"/>
      <c r="AI4" s="179"/>
      <c r="AJ4" s="179"/>
      <c r="AK4" s="179"/>
      <c r="AL4" s="179"/>
      <c r="AM4" s="179"/>
      <c r="AN4" s="179"/>
      <c r="AO4" s="179"/>
      <c r="AP4" s="179"/>
      <c r="AQ4" s="179"/>
      <c r="AR4" s="179"/>
      <c r="AS4" s="179"/>
      <c r="AT4" s="179"/>
      <c r="AU4" s="179"/>
      <c r="AV4" s="179"/>
      <c r="AW4" s="179"/>
      <c r="AX4" s="179"/>
      <c r="AY4" s="179"/>
      <c r="AZ4" s="179"/>
      <c r="BA4" s="179"/>
      <c r="BB4" s="179"/>
      <c r="BC4" s="179"/>
      <c r="BD4" s="179"/>
      <c r="BE4" s="179"/>
      <c r="BF4" s="179"/>
      <c r="BG4" s="179"/>
      <c r="BH4" s="179"/>
      <c r="BI4" s="179"/>
      <c r="BJ4" s="179"/>
    </row>
    <row r="5" spans="1:62" s="5" customFormat="1" ht="15.65" customHeight="1" thickBot="1">
      <c r="A5" s="340" t="s">
        <v>609</v>
      </c>
      <c r="B5" s="7"/>
      <c r="C5" s="544"/>
      <c r="D5" s="545"/>
      <c r="E5" s="545"/>
      <c r="F5" s="545"/>
      <c r="G5" s="545"/>
      <c r="H5" s="546"/>
      <c r="I5" s="69"/>
      <c r="J5" s="336"/>
      <c r="K5" s="336"/>
      <c r="L5" s="355"/>
      <c r="M5" s="396"/>
      <c r="N5" s="335" t="s">
        <v>610</v>
      </c>
      <c r="O5" s="395">
        <f>IFERROR((AC126/AC68),0)</f>
        <v>0</v>
      </c>
      <c r="P5" s="345"/>
      <c r="Q5" s="168"/>
      <c r="R5" s="168"/>
      <c r="S5" s="179"/>
      <c r="T5" s="179"/>
      <c r="U5" s="352"/>
      <c r="V5" s="179"/>
      <c r="W5" s="179"/>
      <c r="X5" s="179"/>
      <c r="Y5" s="179"/>
      <c r="Z5" s="179"/>
      <c r="AA5" s="179"/>
      <c r="AB5" s="179"/>
      <c r="AC5" s="179"/>
      <c r="AD5" s="179"/>
      <c r="AE5" s="179"/>
      <c r="AF5" s="179"/>
      <c r="AG5" s="179"/>
      <c r="AH5" s="179"/>
      <c r="AI5" s="179"/>
      <c r="AJ5" s="179"/>
      <c r="AK5" s="179"/>
      <c r="AL5" s="179"/>
      <c r="AM5" s="179"/>
      <c r="AN5" s="179"/>
      <c r="AO5" s="179"/>
      <c r="AP5" s="179"/>
      <c r="AQ5" s="179"/>
      <c r="AR5" s="179"/>
      <c r="AS5" s="179"/>
      <c r="AT5" s="179"/>
      <c r="AU5" s="179"/>
      <c r="AV5" s="179"/>
      <c r="AW5" s="179"/>
      <c r="AX5" s="179"/>
      <c r="AY5" s="179"/>
      <c r="AZ5" s="179"/>
      <c r="BA5" s="179"/>
      <c r="BB5" s="179"/>
      <c r="BC5" s="179"/>
      <c r="BD5" s="179"/>
      <c r="BE5" s="179"/>
      <c r="BF5" s="179"/>
      <c r="BG5" s="179"/>
      <c r="BH5" s="179"/>
      <c r="BI5" s="179"/>
      <c r="BJ5" s="179"/>
    </row>
    <row r="6" spans="1:62" s="5" customFormat="1" ht="15.65" customHeight="1" thickBot="1">
      <c r="A6" s="340" t="s">
        <v>29</v>
      </c>
      <c r="B6" s="7"/>
      <c r="C6" s="279">
        <v>0</v>
      </c>
      <c r="D6" s="558" t="s">
        <v>31</v>
      </c>
      <c r="E6" s="559"/>
      <c r="F6" s="559"/>
      <c r="G6" s="560" t="str">
        <f>IF(C8="Bench Fee","Salary, operations and Bench Fee",IFERROR(VLOOKUP(C5,Lister!I19:S52,9,FALSE),"Salary and operations"))</f>
        <v>Salary and operations</v>
      </c>
      <c r="H6" s="561"/>
      <c r="I6" s="74"/>
      <c r="J6" s="336"/>
      <c r="K6" s="336"/>
      <c r="L6" s="355"/>
      <c r="M6" s="396"/>
      <c r="N6" s="335" t="s">
        <v>672</v>
      </c>
      <c r="O6" s="395">
        <f>IFERROR(AC103/AC73,0)</f>
        <v>0</v>
      </c>
      <c r="P6" s="345"/>
      <c r="Q6" s="168"/>
      <c r="R6" s="356"/>
      <c r="S6" s="179"/>
      <c r="T6" s="179"/>
      <c r="U6" s="179"/>
      <c r="V6" s="179"/>
      <c r="W6" s="179"/>
      <c r="X6" s="179"/>
      <c r="Y6" s="179"/>
      <c r="Z6" s="179"/>
      <c r="AA6" s="179"/>
      <c r="AB6" s="179"/>
      <c r="AC6" s="179"/>
      <c r="AD6" s="179"/>
      <c r="AE6" s="179"/>
      <c r="AF6" s="179"/>
      <c r="AG6" s="179"/>
      <c r="AH6" s="179"/>
      <c r="AI6" s="179"/>
      <c r="AJ6" s="179"/>
      <c r="AK6" s="179"/>
      <c r="AL6" s="179"/>
      <c r="AM6" s="179"/>
      <c r="AN6" s="179"/>
      <c r="AO6" s="179"/>
      <c r="AP6" s="179"/>
      <c r="AQ6" s="179"/>
      <c r="AR6" s="179"/>
      <c r="AS6" s="179"/>
      <c r="AT6" s="179"/>
      <c r="AU6" s="179"/>
      <c r="AV6" s="179"/>
      <c r="AW6" s="179"/>
      <c r="AX6" s="179"/>
      <c r="AY6" s="179"/>
      <c r="AZ6" s="179"/>
      <c r="BA6" s="179"/>
      <c r="BB6" s="179"/>
      <c r="BC6" s="179"/>
      <c r="BD6" s="179"/>
      <c r="BE6" s="179"/>
      <c r="BF6" s="179"/>
      <c r="BG6" s="179"/>
      <c r="BH6" s="179"/>
      <c r="BI6" s="179"/>
      <c r="BJ6" s="179"/>
    </row>
    <row r="7" spans="1:62" s="5" customFormat="1" ht="15.65" customHeight="1">
      <c r="A7" s="340" t="s">
        <v>30</v>
      </c>
      <c r="B7" s="7"/>
      <c r="C7" s="279">
        <f>IFERROR(IF(C12=Lister!A50,1460,VLOOKUP(C5,Lister!I20:M52,3,FALSE)),0)</f>
        <v>0</v>
      </c>
      <c r="D7" s="550" t="s">
        <v>748</v>
      </c>
      <c r="E7" s="551"/>
      <c r="F7" s="552"/>
      <c r="G7" s="562" t="str">
        <f>IFERROR(VLOOKUP(C5,Lister!I19:S52,11,FALSE),"Salary and operations")</f>
        <v>Salary and operations</v>
      </c>
      <c r="H7" s="563"/>
      <c r="I7" s="72"/>
      <c r="J7" s="336"/>
      <c r="K7" s="336"/>
      <c r="L7" s="336"/>
      <c r="M7" s="336"/>
      <c r="N7" s="337"/>
      <c r="O7" s="345"/>
      <c r="P7" s="345"/>
      <c r="Q7" s="168"/>
      <c r="R7" s="168"/>
      <c r="S7" s="179"/>
      <c r="T7" s="179"/>
      <c r="U7" s="179"/>
      <c r="V7" s="179"/>
      <c r="W7" s="179"/>
      <c r="X7" s="179"/>
      <c r="Y7" s="179"/>
      <c r="Z7" s="179"/>
      <c r="AA7" s="179"/>
      <c r="AB7" s="179"/>
      <c r="AC7" s="179"/>
      <c r="AD7" s="179"/>
      <c r="AE7" s="179"/>
      <c r="AF7" s="179"/>
      <c r="AG7" s="179"/>
      <c r="AH7" s="179"/>
      <c r="AI7" s="179"/>
      <c r="AJ7" s="179"/>
      <c r="AK7" s="179"/>
      <c r="AL7" s="179"/>
      <c r="AM7" s="179"/>
      <c r="AN7" s="179"/>
      <c r="AO7" s="179"/>
      <c r="AP7" s="179"/>
      <c r="AQ7" s="179"/>
      <c r="AR7" s="179"/>
      <c r="AS7" s="179"/>
      <c r="AT7" s="179"/>
      <c r="AU7" s="179"/>
      <c r="AV7" s="179"/>
      <c r="AW7" s="179"/>
      <c r="AX7" s="179"/>
      <c r="AY7" s="179"/>
      <c r="AZ7" s="179"/>
      <c r="BA7" s="179"/>
      <c r="BB7" s="179"/>
      <c r="BC7" s="179"/>
      <c r="BD7" s="179"/>
      <c r="BE7" s="179"/>
      <c r="BF7" s="179"/>
      <c r="BG7" s="179"/>
      <c r="BH7" s="179"/>
      <c r="BI7" s="179"/>
      <c r="BJ7" s="179"/>
    </row>
    <row r="8" spans="1:62" s="5" customFormat="1" ht="15.65" customHeight="1">
      <c r="A8" s="4" t="s">
        <v>591</v>
      </c>
      <c r="B8" s="7"/>
      <c r="C8" s="544" t="str">
        <f>IFERROR((VLOOKUP(C5,Lister!I20:O52,7,FALSE)),"None")</f>
        <v>None</v>
      </c>
      <c r="D8" s="546"/>
      <c r="E8" s="4" t="s">
        <v>530</v>
      </c>
      <c r="F8" s="4"/>
      <c r="G8" s="346"/>
      <c r="H8" s="388"/>
      <c r="I8" s="69"/>
      <c r="J8" s="353"/>
      <c r="K8" s="353"/>
      <c r="L8" s="353"/>
      <c r="M8" s="4"/>
      <c r="N8" s="345"/>
      <c r="O8" s="345"/>
      <c r="P8" s="345"/>
      <c r="Q8" s="168"/>
      <c r="R8" s="168"/>
      <c r="S8" s="179"/>
      <c r="T8" s="179"/>
      <c r="U8" s="179"/>
      <c r="V8" s="179"/>
      <c r="W8" s="179"/>
      <c r="X8" s="179"/>
      <c r="Y8" s="179"/>
      <c r="Z8" s="179"/>
      <c r="AA8" s="179"/>
      <c r="AB8" s="179"/>
      <c r="AC8" s="179"/>
      <c r="AD8" s="179"/>
      <c r="AE8" s="179"/>
      <c r="AF8" s="179"/>
      <c r="AG8" s="179"/>
      <c r="AH8" s="179"/>
      <c r="AI8" s="179"/>
      <c r="AJ8" s="179"/>
      <c r="AK8" s="179"/>
      <c r="AL8" s="179"/>
      <c r="AM8" s="179"/>
      <c r="AN8" s="179"/>
      <c r="AO8" s="179"/>
      <c r="AP8" s="179"/>
      <c r="AQ8" s="179"/>
      <c r="AR8" s="179"/>
      <c r="AS8" s="179"/>
      <c r="AT8" s="179"/>
      <c r="AU8" s="179"/>
      <c r="AV8" s="179"/>
      <c r="AW8" s="179"/>
      <c r="AX8" s="179"/>
      <c r="AY8" s="179"/>
      <c r="AZ8" s="179"/>
      <c r="BA8" s="179"/>
      <c r="BB8" s="179"/>
      <c r="BC8" s="179"/>
      <c r="BD8" s="179"/>
      <c r="BE8" s="179"/>
      <c r="BF8" s="179"/>
      <c r="BG8" s="179"/>
      <c r="BH8" s="179"/>
      <c r="BI8" s="179"/>
      <c r="BJ8" s="179"/>
    </row>
    <row r="9" spans="1:62" s="5" customFormat="1" ht="15.65" customHeight="1" thickBot="1">
      <c r="A9" s="341" t="s">
        <v>1351</v>
      </c>
      <c r="B9" s="221"/>
      <c r="C9" s="390"/>
      <c r="D9" s="347"/>
      <c r="E9" s="341"/>
      <c r="F9" s="341"/>
      <c r="G9" s="349" t="s">
        <v>1352</v>
      </c>
      <c r="H9" s="390"/>
      <c r="I9" s="260"/>
      <c r="J9" s="357"/>
      <c r="K9" s="353"/>
      <c r="L9" s="353"/>
      <c r="M9" s="345"/>
      <c r="N9" s="345"/>
      <c r="O9" s="345"/>
      <c r="P9" s="345"/>
      <c r="Q9" s="168"/>
      <c r="R9" s="168"/>
      <c r="S9" s="179"/>
      <c r="T9" s="179"/>
      <c r="U9" s="179"/>
      <c r="V9" s="179"/>
      <c r="W9" s="179"/>
      <c r="X9" s="179"/>
      <c r="Y9" s="179"/>
      <c r="Z9" s="179"/>
      <c r="AA9" s="179"/>
      <c r="AB9" s="179"/>
      <c r="AC9" s="179"/>
      <c r="AD9" s="179"/>
      <c r="AE9" s="179"/>
      <c r="AF9" s="179"/>
      <c r="AG9" s="179"/>
      <c r="AH9" s="179"/>
      <c r="AI9" s="179"/>
      <c r="AJ9" s="179"/>
      <c r="AK9" s="179"/>
      <c r="AL9" s="179"/>
      <c r="AM9" s="179"/>
      <c r="AN9" s="179"/>
      <c r="AO9" s="179"/>
      <c r="AP9" s="179"/>
      <c r="AQ9" s="179"/>
      <c r="AR9" s="179"/>
      <c r="AS9" s="179"/>
      <c r="AT9" s="179"/>
      <c r="AU9" s="179"/>
      <c r="AV9" s="179"/>
      <c r="AW9" s="179"/>
      <c r="AX9" s="179"/>
      <c r="AY9" s="179"/>
      <c r="AZ9" s="179"/>
      <c r="BA9" s="179"/>
      <c r="BB9" s="179"/>
      <c r="BC9" s="179"/>
      <c r="BD9" s="179"/>
      <c r="BE9" s="179"/>
      <c r="BF9" s="179"/>
      <c r="BG9" s="179"/>
      <c r="BH9" s="179"/>
      <c r="BI9" s="179"/>
      <c r="BJ9" s="179"/>
    </row>
    <row r="10" spans="1:62" s="5" customFormat="1" ht="15.65" customHeight="1" thickBot="1">
      <c r="A10" s="4" t="s">
        <v>1248</v>
      </c>
      <c r="B10" s="221"/>
      <c r="C10" s="280" t="str">
        <f>+IF(OR(C2="FOOD",C2="BCE"),"Yes","No")</f>
        <v>No</v>
      </c>
      <c r="D10" s="348"/>
      <c r="E10" s="341"/>
      <c r="F10" s="341"/>
      <c r="G10" s="349" t="s">
        <v>1279</v>
      </c>
      <c r="H10" s="389"/>
      <c r="I10" s="108"/>
      <c r="J10" s="357"/>
      <c r="K10" s="353"/>
      <c r="L10" s="353"/>
      <c r="M10" s="350"/>
      <c r="N10" s="345"/>
      <c r="O10" s="345"/>
      <c r="P10" s="345"/>
      <c r="Q10" s="168"/>
      <c r="R10" s="168"/>
      <c r="S10" s="179"/>
      <c r="T10" s="179"/>
      <c r="U10" s="179"/>
      <c r="V10" s="179"/>
      <c r="W10" s="179"/>
      <c r="X10" s="179"/>
      <c r="Y10" s="179"/>
      <c r="Z10" s="179"/>
      <c r="AA10" s="179"/>
      <c r="AB10" s="179"/>
      <c r="AC10" s="179"/>
      <c r="AD10" s="179"/>
      <c r="AE10" s="179"/>
      <c r="AF10" s="179"/>
      <c r="AG10" s="179"/>
      <c r="AH10" s="179"/>
      <c r="AI10" s="179"/>
      <c r="AJ10" s="179"/>
      <c r="AK10" s="179"/>
      <c r="AL10" s="179"/>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row>
    <row r="11" spans="1:62" s="1" customFormat="1" ht="19.399999999999999" customHeight="1" thickBot="1">
      <c r="A11" s="342" t="s">
        <v>1237</v>
      </c>
      <c r="B11" s="261"/>
      <c r="C11" s="376"/>
      <c r="D11" s="377"/>
      <c r="E11" s="377"/>
      <c r="F11" s="377"/>
      <c r="G11" s="378"/>
      <c r="H11" s="378"/>
      <c r="I11" s="358"/>
      <c r="J11" s="358"/>
      <c r="K11" s="358"/>
      <c r="L11" s="358"/>
      <c r="M11" s="359"/>
      <c r="N11" s="359"/>
      <c r="O11" s="360"/>
      <c r="P11" s="361"/>
      <c r="Q11" s="362"/>
      <c r="R11" s="362"/>
      <c r="S11" s="352"/>
      <c r="T11" s="352"/>
      <c r="U11" s="352"/>
      <c r="V11" s="352"/>
      <c r="W11" s="352"/>
      <c r="X11" s="352"/>
      <c r="Y11" s="352"/>
      <c r="Z11" s="352"/>
      <c r="AA11" s="352"/>
      <c r="AB11" s="352"/>
      <c r="AC11" s="352"/>
      <c r="AD11" s="352"/>
      <c r="AE11" s="352"/>
      <c r="AF11" s="352"/>
      <c r="AG11" s="352"/>
      <c r="AH11" s="352"/>
      <c r="AI11" s="352"/>
      <c r="AJ11" s="352"/>
      <c r="AK11" s="352"/>
      <c r="AL11" s="352"/>
      <c r="AM11" s="352"/>
      <c r="AN11" s="352"/>
      <c r="AO11" s="352"/>
      <c r="AP11" s="352"/>
      <c r="AQ11" s="352"/>
      <c r="AR11" s="352"/>
      <c r="AS11" s="352"/>
      <c r="AT11" s="352"/>
      <c r="AU11" s="352"/>
      <c r="AV11" s="352"/>
      <c r="AW11" s="352"/>
      <c r="AX11" s="352"/>
      <c r="AY11" s="352"/>
      <c r="AZ11" s="352"/>
      <c r="BA11" s="352"/>
      <c r="BB11" s="352"/>
      <c r="BC11" s="352"/>
      <c r="BD11" s="352"/>
      <c r="BE11" s="352"/>
      <c r="BF11" s="352"/>
      <c r="BG11" s="352"/>
      <c r="BH11" s="352"/>
      <c r="BI11" s="352"/>
      <c r="BJ11" s="352"/>
    </row>
    <row r="12" spans="1:62" s="5" customFormat="1" ht="15.65" customHeight="1">
      <c r="A12" s="107" t="s">
        <v>749</v>
      </c>
      <c r="B12" s="7"/>
      <c r="C12" s="281"/>
      <c r="D12" s="551"/>
      <c r="E12" s="551"/>
      <c r="F12" s="551"/>
      <c r="G12" s="551"/>
      <c r="H12" s="379"/>
      <c r="I12" s="353"/>
      <c r="J12" s="564"/>
      <c r="K12" s="565"/>
      <c r="L12" s="565"/>
      <c r="M12" s="565"/>
      <c r="N12" s="565"/>
      <c r="O12" s="566"/>
      <c r="P12" s="363"/>
      <c r="Q12" s="168"/>
      <c r="R12" s="168"/>
      <c r="S12" s="364"/>
      <c r="T12" s="179"/>
      <c r="U12" s="179"/>
      <c r="V12" s="179"/>
      <c r="W12" s="179"/>
      <c r="X12" s="179"/>
      <c r="Y12" s="179"/>
      <c r="Z12" s="179"/>
      <c r="AA12" s="179"/>
      <c r="AB12" s="179"/>
      <c r="AC12" s="179"/>
      <c r="AD12" s="179"/>
      <c r="AE12" s="364"/>
      <c r="AF12" s="179"/>
      <c r="AG12" s="179"/>
      <c r="AH12" s="179"/>
      <c r="AI12" s="179"/>
      <c r="AJ12" s="179"/>
      <c r="AK12" s="179"/>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79"/>
    </row>
    <row r="13" spans="1:62" s="5" customFormat="1" ht="15.65" customHeight="1">
      <c r="A13" s="107" t="s">
        <v>531</v>
      </c>
      <c r="B13" s="7"/>
      <c r="C13" s="282">
        <f>+IF(C12=2,10,0)</f>
        <v>0</v>
      </c>
      <c r="D13" s="550"/>
      <c r="E13" s="551"/>
      <c r="F13" s="551"/>
      <c r="G13" s="551"/>
      <c r="H13" s="380"/>
      <c r="I13" s="381"/>
      <c r="J13" s="365"/>
      <c r="K13" s="365"/>
      <c r="L13" s="365"/>
      <c r="M13" s="365"/>
      <c r="N13" s="365"/>
      <c r="O13" s="366"/>
      <c r="P13" s="365"/>
      <c r="Q13" s="367"/>
      <c r="R13" s="367"/>
      <c r="T13" s="367"/>
      <c r="U13" s="367"/>
      <c r="V13" s="367"/>
      <c r="W13" s="367"/>
      <c r="X13" s="367"/>
      <c r="Y13" s="179"/>
      <c r="Z13" s="179"/>
      <c r="AA13" s="179"/>
      <c r="AB13" s="179"/>
      <c r="AC13" s="179"/>
      <c r="AD13" s="179"/>
      <c r="AE13" s="179"/>
      <c r="AF13" s="179"/>
      <c r="AG13" s="179"/>
      <c r="AH13" s="179"/>
      <c r="AI13" s="179"/>
      <c r="AJ13" s="179"/>
      <c r="AK13" s="179"/>
      <c r="AL13" s="179"/>
      <c r="AM13" s="179"/>
      <c r="AN13" s="179"/>
      <c r="AO13" s="179"/>
      <c r="AP13" s="179"/>
      <c r="AQ13" s="179"/>
      <c r="AR13" s="179"/>
      <c r="AS13" s="179"/>
      <c r="AT13" s="179"/>
      <c r="AU13" s="179"/>
      <c r="AV13" s="179"/>
      <c r="AW13" s="179"/>
      <c r="AX13" s="179"/>
      <c r="AY13" s="179"/>
      <c r="AZ13" s="179"/>
      <c r="BA13" s="179"/>
      <c r="BB13" s="179"/>
      <c r="BC13" s="179"/>
      <c r="BD13" s="179"/>
      <c r="BE13" s="179"/>
      <c r="BF13" s="179"/>
      <c r="BG13" s="179"/>
      <c r="BH13" s="179"/>
      <c r="BI13" s="179"/>
      <c r="BJ13" s="179"/>
    </row>
    <row r="14" spans="1:62" s="5" customFormat="1" ht="29.25" customHeight="1">
      <c r="A14" s="4" t="s">
        <v>533</v>
      </c>
      <c r="B14" s="9"/>
      <c r="C14" s="282"/>
      <c r="D14" s="553" t="s">
        <v>713</v>
      </c>
      <c r="E14" s="554"/>
      <c r="F14" s="554"/>
      <c r="G14" s="554"/>
      <c r="H14" s="555"/>
      <c r="I14" s="283"/>
      <c r="J14" s="368"/>
      <c r="K14" s="369"/>
      <c r="L14" s="365"/>
      <c r="M14" s="365"/>
      <c r="N14" s="365"/>
      <c r="O14" s="366"/>
      <c r="P14" s="365"/>
      <c r="Q14" s="367"/>
      <c r="R14" s="367"/>
      <c r="T14" s="367"/>
      <c r="U14" s="367"/>
      <c r="V14" s="367"/>
      <c r="W14" s="367"/>
      <c r="X14" s="367"/>
      <c r="Y14" s="179"/>
      <c r="Z14" s="179"/>
      <c r="AA14" s="179"/>
      <c r="AB14" s="179"/>
      <c r="AC14" s="179"/>
      <c r="AD14" s="179"/>
      <c r="AE14" s="179"/>
      <c r="AF14" s="179"/>
      <c r="AG14" s="179"/>
      <c r="AH14" s="179"/>
      <c r="AI14" s="179"/>
      <c r="AJ14" s="179"/>
      <c r="AK14" s="179"/>
      <c r="AL14" s="179"/>
      <c r="AM14" s="179"/>
      <c r="AN14" s="179"/>
      <c r="AO14" s="179"/>
      <c r="AP14" s="179"/>
      <c r="AQ14" s="179"/>
      <c r="AR14" s="179"/>
      <c r="AS14" s="179"/>
      <c r="AT14" s="179"/>
      <c r="AU14" s="179"/>
      <c r="AV14" s="179"/>
      <c r="AW14" s="179"/>
      <c r="AX14" s="179"/>
      <c r="AY14" s="179"/>
      <c r="AZ14" s="179"/>
      <c r="BA14" s="179"/>
      <c r="BB14" s="179"/>
      <c r="BC14" s="179"/>
      <c r="BD14" s="179"/>
      <c r="BE14" s="179"/>
      <c r="BF14" s="179"/>
      <c r="BG14" s="179"/>
      <c r="BH14" s="179"/>
      <c r="BI14" s="179"/>
      <c r="BJ14" s="179"/>
    </row>
    <row r="15" spans="1:62" s="5" customFormat="1" ht="15.65" customHeight="1">
      <c r="A15" s="107" t="s">
        <v>534</v>
      </c>
      <c r="B15" s="7"/>
      <c r="C15" s="282"/>
      <c r="D15" s="382"/>
      <c r="E15" s="370"/>
      <c r="F15" s="370"/>
      <c r="G15" s="370"/>
      <c r="H15" s="370"/>
      <c r="I15" s="250"/>
      <c r="J15" s="370"/>
      <c r="K15" s="370"/>
      <c r="L15" s="363"/>
      <c r="M15" s="365"/>
      <c r="N15" s="365"/>
      <c r="O15" s="366"/>
      <c r="P15" s="365"/>
      <c r="Q15" s="367"/>
      <c r="R15" s="367"/>
      <c r="T15" s="367"/>
      <c r="U15" s="367"/>
      <c r="V15" s="367"/>
      <c r="W15" s="367"/>
      <c r="X15" s="367"/>
      <c r="Y15" s="179"/>
      <c r="Z15" s="179"/>
      <c r="AA15" s="179"/>
      <c r="AB15" s="179"/>
      <c r="AC15" s="179"/>
      <c r="AD15" s="179"/>
      <c r="AE15" s="179"/>
      <c r="AF15" s="179"/>
      <c r="AG15" s="179"/>
      <c r="AH15" s="179"/>
      <c r="AI15" s="179"/>
      <c r="AJ15" s="179"/>
      <c r="AK15" s="179"/>
      <c r="AL15" s="179"/>
      <c r="AM15" s="179"/>
      <c r="AN15" s="179"/>
      <c r="AO15" s="179"/>
      <c r="AP15" s="179"/>
      <c r="AQ15" s="179"/>
      <c r="AR15" s="179"/>
      <c r="AS15" s="179"/>
      <c r="AT15" s="179"/>
      <c r="AU15" s="179"/>
      <c r="AV15" s="179"/>
      <c r="AW15" s="179"/>
      <c r="AX15" s="179"/>
      <c r="AY15" s="179"/>
      <c r="AZ15" s="179"/>
      <c r="BA15" s="179"/>
      <c r="BB15" s="179"/>
      <c r="BC15" s="179"/>
      <c r="BD15" s="179"/>
      <c r="BE15" s="179"/>
      <c r="BF15" s="179"/>
      <c r="BG15" s="179"/>
      <c r="BH15" s="179"/>
      <c r="BI15" s="179"/>
      <c r="BJ15" s="179"/>
    </row>
    <row r="16" spans="1:62" s="5" customFormat="1" ht="27" customHeight="1">
      <c r="A16" s="107" t="s">
        <v>750</v>
      </c>
      <c r="B16" s="7"/>
      <c r="C16" s="282"/>
      <c r="D16" s="553" t="s">
        <v>2085</v>
      </c>
      <c r="E16" s="556"/>
      <c r="F16" s="556"/>
      <c r="G16" s="556"/>
      <c r="H16" s="557"/>
      <c r="I16" s="284"/>
      <c r="J16" s="368"/>
      <c r="K16" s="369"/>
      <c r="L16" s="371"/>
      <c r="M16" s="371"/>
      <c r="N16" s="371"/>
      <c r="O16" s="372"/>
      <c r="P16" s="373"/>
      <c r="Q16" s="168"/>
      <c r="R16" s="168"/>
      <c r="S16" s="179"/>
      <c r="T16" s="179"/>
      <c r="U16" s="179"/>
      <c r="V16" s="179"/>
      <c r="W16" s="179"/>
      <c r="X16" s="179"/>
      <c r="Y16" s="179"/>
      <c r="Z16" s="179"/>
      <c r="AA16" s="179"/>
      <c r="AB16" s="179"/>
      <c r="AC16" s="179"/>
      <c r="AD16" s="179"/>
      <c r="AE16" s="179"/>
      <c r="AF16" s="179"/>
      <c r="AG16" s="179"/>
      <c r="AH16" s="179"/>
      <c r="AI16" s="179"/>
      <c r="AJ16" s="179"/>
      <c r="AK16" s="179"/>
      <c r="AL16" s="179"/>
      <c r="AM16" s="179"/>
      <c r="AN16" s="179"/>
      <c r="AO16" s="179"/>
      <c r="AP16" s="179"/>
      <c r="AQ16" s="179"/>
      <c r="AR16" s="179"/>
      <c r="AS16" s="179"/>
      <c r="AT16" s="179"/>
      <c r="AU16" s="179"/>
      <c r="AV16" s="179"/>
      <c r="AW16" s="179"/>
      <c r="AX16" s="179"/>
      <c r="AY16" s="179"/>
      <c r="AZ16" s="179"/>
      <c r="BA16" s="179"/>
      <c r="BB16" s="179"/>
      <c r="BC16" s="179"/>
      <c r="BD16" s="179"/>
      <c r="BE16" s="179"/>
      <c r="BF16" s="179"/>
      <c r="BG16" s="179"/>
      <c r="BH16" s="179"/>
      <c r="BI16" s="179"/>
      <c r="BJ16" s="179"/>
    </row>
    <row r="17" spans="1:62" s="5" customFormat="1" ht="14.5" thickBot="1">
      <c r="A17" s="343"/>
      <c r="B17" s="108"/>
      <c r="C17" s="246"/>
      <c r="D17" s="109"/>
      <c r="E17" s="247"/>
      <c r="F17" s="247"/>
      <c r="G17" s="247"/>
      <c r="H17" s="248"/>
      <c r="I17" s="248"/>
      <c r="J17" s="374"/>
      <c r="K17" s="374"/>
      <c r="L17" s="374"/>
      <c r="M17" s="374"/>
      <c r="N17" s="374"/>
      <c r="O17" s="375"/>
      <c r="P17" s="373"/>
      <c r="Q17" s="168"/>
      <c r="R17" s="168"/>
      <c r="S17" s="179"/>
      <c r="T17" s="179"/>
      <c r="U17" s="179"/>
      <c r="V17" s="179"/>
      <c r="W17" s="179"/>
      <c r="X17" s="179"/>
      <c r="Y17" s="179"/>
      <c r="Z17" s="179"/>
      <c r="AA17" s="179"/>
      <c r="AB17" s="179"/>
      <c r="AC17" s="179"/>
      <c r="AD17" s="179"/>
      <c r="AE17" s="179"/>
      <c r="AF17" s="179"/>
      <c r="AG17" s="179"/>
      <c r="AH17" s="179"/>
      <c r="AI17" s="179"/>
      <c r="AJ17" s="179"/>
      <c r="AK17" s="179"/>
      <c r="AL17" s="179"/>
      <c r="AM17" s="179"/>
      <c r="AN17" s="179"/>
      <c r="AO17" s="179"/>
      <c r="AP17" s="179"/>
      <c r="AQ17" s="179"/>
      <c r="AR17" s="179"/>
      <c r="AS17" s="179"/>
      <c r="AT17" s="179"/>
      <c r="AU17" s="179"/>
      <c r="AV17" s="179"/>
      <c r="AW17" s="179"/>
      <c r="AX17" s="179"/>
      <c r="AY17" s="179"/>
      <c r="AZ17" s="179"/>
      <c r="BA17" s="179"/>
      <c r="BB17" s="179"/>
      <c r="BC17" s="179"/>
      <c r="BD17" s="179"/>
      <c r="BE17" s="179"/>
      <c r="BF17" s="179"/>
      <c r="BG17" s="179"/>
      <c r="BH17" s="179"/>
      <c r="BI17" s="179"/>
      <c r="BJ17" s="179"/>
    </row>
    <row r="18" spans="1:62" ht="15.65" customHeight="1">
      <c r="A18" s="63"/>
      <c r="D18" s="9"/>
      <c r="S18" s="229"/>
      <c r="V18" s="229" t="s">
        <v>608</v>
      </c>
      <c r="AE18" s="29" t="s">
        <v>90</v>
      </c>
      <c r="AF18" s="29" t="s">
        <v>89</v>
      </c>
      <c r="AH18" s="29" t="s">
        <v>90</v>
      </c>
      <c r="AI18" s="29" t="s">
        <v>89</v>
      </c>
      <c r="AK18" s="29" t="s">
        <v>90</v>
      </c>
      <c r="AL18" s="29" t="s">
        <v>89</v>
      </c>
      <c r="AN18" s="29" t="s">
        <v>90</v>
      </c>
      <c r="AO18" s="29" t="s">
        <v>89</v>
      </c>
      <c r="AQ18" s="29" t="s">
        <v>90</v>
      </c>
      <c r="AR18" s="29" t="s">
        <v>89</v>
      </c>
      <c r="AT18" s="29" t="s">
        <v>90</v>
      </c>
      <c r="AU18" s="29" t="s">
        <v>89</v>
      </c>
      <c r="AW18" s="29" t="s">
        <v>90</v>
      </c>
      <c r="AX18" s="29" t="s">
        <v>89</v>
      </c>
      <c r="AZ18" s="29" t="s">
        <v>90</v>
      </c>
      <c r="BA18" s="29" t="s">
        <v>89</v>
      </c>
      <c r="BC18" s="29" t="s">
        <v>90</v>
      </c>
      <c r="BD18" s="29" t="s">
        <v>89</v>
      </c>
      <c r="BF18" s="29" t="s">
        <v>90</v>
      </c>
      <c r="BG18" s="29" t="s">
        <v>89</v>
      </c>
      <c r="BI18" s="29" t="s">
        <v>90</v>
      </c>
      <c r="BJ18" s="29" t="s">
        <v>89</v>
      </c>
    </row>
    <row r="19" spans="1:62" ht="15.65" customHeight="1">
      <c r="A19" s="4" t="s">
        <v>79</v>
      </c>
      <c r="B19" s="8"/>
      <c r="C19" s="45">
        <f>+Takstblad!C3</f>
        <v>2026</v>
      </c>
      <c r="D19" s="8">
        <f t="shared" ref="D19:L19" si="0">+C19+1</f>
        <v>2027</v>
      </c>
      <c r="E19" s="8">
        <f t="shared" si="0"/>
        <v>2028</v>
      </c>
      <c r="F19" s="8">
        <f t="shared" si="0"/>
        <v>2029</v>
      </c>
      <c r="G19" s="8">
        <f t="shared" si="0"/>
        <v>2030</v>
      </c>
      <c r="H19" s="8">
        <f t="shared" si="0"/>
        <v>2031</v>
      </c>
      <c r="I19" s="8">
        <f t="shared" si="0"/>
        <v>2032</v>
      </c>
      <c r="J19" s="8">
        <f t="shared" si="0"/>
        <v>2033</v>
      </c>
      <c r="K19" s="8">
        <f t="shared" si="0"/>
        <v>2034</v>
      </c>
      <c r="L19" s="8">
        <f t="shared" si="0"/>
        <v>2035</v>
      </c>
      <c r="M19" s="8" t="s">
        <v>34</v>
      </c>
      <c r="N19" s="8" t="s">
        <v>33</v>
      </c>
      <c r="O19" s="8" t="s">
        <v>111</v>
      </c>
      <c r="P19" s="8"/>
      <c r="Q19" s="23" t="s">
        <v>73</v>
      </c>
      <c r="R19" s="4" t="s">
        <v>34</v>
      </c>
      <c r="S19" s="45">
        <f t="shared" ref="S19:AB19" si="1">+C19</f>
        <v>2026</v>
      </c>
      <c r="T19" s="8">
        <f t="shared" si="1"/>
        <v>2027</v>
      </c>
      <c r="U19" s="8">
        <f t="shared" si="1"/>
        <v>2028</v>
      </c>
      <c r="V19" s="8">
        <f t="shared" si="1"/>
        <v>2029</v>
      </c>
      <c r="W19" s="8">
        <f t="shared" si="1"/>
        <v>2030</v>
      </c>
      <c r="X19" s="8">
        <f t="shared" si="1"/>
        <v>2031</v>
      </c>
      <c r="Y19" s="8">
        <f t="shared" si="1"/>
        <v>2032</v>
      </c>
      <c r="Z19" s="8">
        <f t="shared" si="1"/>
        <v>2033</v>
      </c>
      <c r="AA19" s="8">
        <f t="shared" si="1"/>
        <v>2034</v>
      </c>
      <c r="AB19" s="8">
        <f t="shared" si="1"/>
        <v>2035</v>
      </c>
      <c r="AC19" s="4" t="s">
        <v>34</v>
      </c>
      <c r="AE19" s="549" t="s">
        <v>34</v>
      </c>
      <c r="AF19" s="548"/>
      <c r="AH19" s="547">
        <f>+S19</f>
        <v>2026</v>
      </c>
      <c r="AI19" s="548"/>
      <c r="AJ19" s="221"/>
      <c r="AK19" s="549">
        <f>+T19</f>
        <v>2027</v>
      </c>
      <c r="AL19" s="548"/>
      <c r="AM19" s="221"/>
      <c r="AN19" s="549">
        <f>+U19</f>
        <v>2028</v>
      </c>
      <c r="AO19" s="548"/>
      <c r="AQ19" s="549">
        <f>+V19</f>
        <v>2029</v>
      </c>
      <c r="AR19" s="548"/>
      <c r="AS19" s="221"/>
      <c r="AT19" s="549">
        <f>+W19</f>
        <v>2030</v>
      </c>
      <c r="AU19" s="548"/>
      <c r="AW19" s="549">
        <f>+X19</f>
        <v>2031</v>
      </c>
      <c r="AX19" s="548"/>
      <c r="AY19" s="221"/>
      <c r="AZ19" s="549">
        <f>Y19</f>
        <v>2032</v>
      </c>
      <c r="BA19" s="548"/>
      <c r="BB19" s="221"/>
      <c r="BC19" s="549">
        <f>+Z19</f>
        <v>2033</v>
      </c>
      <c r="BD19" s="548"/>
      <c r="BE19" s="221"/>
      <c r="BF19" s="549">
        <f>+AA19</f>
        <v>2034</v>
      </c>
      <c r="BG19" s="548"/>
      <c r="BH19" s="221"/>
      <c r="BI19" s="549">
        <f>+AB19</f>
        <v>2035</v>
      </c>
      <c r="BJ19" s="548"/>
    </row>
    <row r="20" spans="1:62" ht="15.65" customHeight="1">
      <c r="A20" s="212" t="s">
        <v>1238</v>
      </c>
      <c r="B20" s="213" t="str">
        <f>+VLOOKUP(A20,Takstblad!$A$5:$B$30,2,FALSE)</f>
        <v/>
      </c>
      <c r="C20" s="285"/>
      <c r="D20" s="285"/>
      <c r="E20" s="285"/>
      <c r="F20" s="285"/>
      <c r="G20" s="285"/>
      <c r="H20" s="285"/>
      <c r="I20" s="285"/>
      <c r="J20" s="285"/>
      <c r="K20" s="285"/>
      <c r="L20" s="285"/>
      <c r="M20" s="19">
        <f>SUM(C20:L20)</f>
        <v>0</v>
      </c>
      <c r="N20" s="285"/>
      <c r="O20" s="285" t="s">
        <v>113</v>
      </c>
      <c r="P20" s="212"/>
      <c r="Q20" s="214"/>
      <c r="R20" s="216">
        <f>+AC20</f>
        <v>0</v>
      </c>
      <c r="S20" s="215">
        <f>+IFERROR(IF(S$19=Takstblad!C$3,VLOOKUP($A20,takstblad,3,FALSE)*C20,"fejl i år"),0)</f>
        <v>0</v>
      </c>
      <c r="T20" s="215">
        <f>+IFERROR(IF(T$19=Takstblad!D$3,VLOOKUP($A20,takstblad,4,FALSE)*D20,"fejl i år"),0)</f>
        <v>0</v>
      </c>
      <c r="U20" s="215">
        <f>+IFERROR(IF(U$19=Takstblad!E$3,VLOOKUP($A20,takstblad,5,FALSE)*E20,"fejl i år"),0)</f>
        <v>0</v>
      </c>
      <c r="V20" s="215">
        <f>+IFERROR(IF(V$19=Takstblad!F$3,VLOOKUP($A20,takstblad,6,FALSE)*F20,"fejl i år"),0)</f>
        <v>0</v>
      </c>
      <c r="W20" s="215">
        <f>+IFERROR(IF(W$19=Takstblad!G$3,VLOOKUP($A20,takstblad,7,FALSE)*G20,"fejl i år"),0)</f>
        <v>0</v>
      </c>
      <c r="X20" s="215">
        <f>+IFERROR(IF(X$19=Takstblad!H$3,VLOOKUP($A20,takstblad,8,FALSE)*H20,"fejl i år"),0)</f>
        <v>0</v>
      </c>
      <c r="Y20" s="215">
        <f>+IFERROR(IF(Y$19=Takstblad!I$3,VLOOKUP($A20,takstblad,9,FALSE)*I20,"fejl i år"),0)</f>
        <v>0</v>
      </c>
      <c r="Z20" s="215">
        <f>+IFERROR(IF(Z$19=Takstblad!J$3,VLOOKUP($A20,takstblad,10,FALSE)*J20,"fejl i år"),0)</f>
        <v>0</v>
      </c>
      <c r="AA20" s="215">
        <f>+IFERROR(IF(AA$19=Takstblad!K$3,VLOOKUP($A20,takstblad,11,FALSE)*K20,"fejl i år"),0)</f>
        <v>0</v>
      </c>
      <c r="AB20" s="215">
        <f>+IFERROR(IF(AB$19=Takstblad!L$3,VLOOKUP($A20,takstblad,12,FALSE)*L20,"fejl i år"),0)</f>
        <v>0</v>
      </c>
      <c r="AC20" s="216">
        <f>SUM(S20:AB20)</f>
        <v>0</v>
      </c>
      <c r="AD20" s="221"/>
      <c r="AE20" s="217">
        <f>+M20*($C$7/12)</f>
        <v>0</v>
      </c>
      <c r="AF20" s="217">
        <f>IFERROR(AC20/AE20,0)</f>
        <v>0</v>
      </c>
      <c r="AG20" s="221"/>
      <c r="AH20" s="217">
        <f>+C20*($C$7/12)</f>
        <v>0</v>
      </c>
      <c r="AI20" s="217">
        <f t="shared" ref="AI20:AI29" si="2">IFERROR(S20/AH20,0)</f>
        <v>0</v>
      </c>
      <c r="AJ20" s="221"/>
      <c r="AK20" s="217">
        <f>+D20*($C$7/12)</f>
        <v>0</v>
      </c>
      <c r="AL20" s="217">
        <f>IFERROR(T20/AK20,0)</f>
        <v>0</v>
      </c>
      <c r="AM20" s="221"/>
      <c r="AN20" s="217">
        <f>+E20*($C$7/12)</f>
        <v>0</v>
      </c>
      <c r="AO20" s="217">
        <f>IFERROR(U20/AN20,0)</f>
        <v>0</v>
      </c>
      <c r="AP20" s="221"/>
      <c r="AQ20" s="217">
        <f>+F20*($C$7/12)</f>
        <v>0</v>
      </c>
      <c r="AR20" s="217">
        <f>IFERROR(V20/AQ20,0)</f>
        <v>0</v>
      </c>
      <c r="AS20" s="221"/>
      <c r="AT20" s="217">
        <f>+G20*($C$7/12)</f>
        <v>0</v>
      </c>
      <c r="AU20" s="217">
        <f>IFERROR(W20/AT20,0)</f>
        <v>0</v>
      </c>
      <c r="AV20" s="221"/>
      <c r="AW20" s="217">
        <f>+H20*($C$7/12)</f>
        <v>0</v>
      </c>
      <c r="AX20" s="217">
        <f>IFERROR(X20/AW20,0)</f>
        <v>0</v>
      </c>
      <c r="AY20" s="221"/>
      <c r="AZ20" s="217">
        <f>+I20*($C$7/12)</f>
        <v>0</v>
      </c>
      <c r="BA20" s="217">
        <f t="shared" ref="BA20:BA29" si="3">IFERROR(Y20/AZ20,0)</f>
        <v>0</v>
      </c>
      <c r="BB20" s="221"/>
      <c r="BC20" s="217">
        <f>+J20*($C$7/12)</f>
        <v>0</v>
      </c>
      <c r="BD20" s="217">
        <f t="shared" ref="BD20:BD28" si="4">IFERROR(Z20/BC20,0)</f>
        <v>0</v>
      </c>
      <c r="BE20" s="221"/>
      <c r="BF20" s="217">
        <f>+K20*($C$7/12)</f>
        <v>0</v>
      </c>
      <c r="BG20" s="217">
        <f>IFERROR(AA20/BF20,0)</f>
        <v>0</v>
      </c>
      <c r="BH20" s="221"/>
      <c r="BI20" s="217">
        <f>+L20*($C$7/12)</f>
        <v>0</v>
      </c>
      <c r="BJ20" s="217">
        <f>IFERROR(AB20/BI20,0)</f>
        <v>0</v>
      </c>
    </row>
    <row r="21" spans="1:62" ht="15.65" customHeight="1">
      <c r="A21" s="7" t="s">
        <v>1238</v>
      </c>
      <c r="B21" s="4" t="str">
        <f>+VLOOKUP(A21,Takstblad!$A$5:$B$30,2,FALSE)</f>
        <v/>
      </c>
      <c r="C21" s="285"/>
      <c r="D21" s="285"/>
      <c r="E21" s="285"/>
      <c r="F21" s="285"/>
      <c r="G21" s="285"/>
      <c r="H21" s="285"/>
      <c r="I21" s="285"/>
      <c r="J21" s="285"/>
      <c r="K21" s="285"/>
      <c r="L21" s="285"/>
      <c r="M21" s="19">
        <f t="shared" ref="M21:M29" si="5">SUM(C21:L21)</f>
        <v>0</v>
      </c>
      <c r="N21" s="285"/>
      <c r="O21" s="285" t="s">
        <v>113</v>
      </c>
      <c r="Q21" s="24"/>
      <c r="R21" s="21">
        <f t="shared" ref="R21:R29" si="6">+AC21</f>
        <v>0</v>
      </c>
      <c r="S21" s="25">
        <f>+IFERROR(IF(S$19=Takstblad!C$3,VLOOKUP($A21,takstblad,3,FALSE)*C21,"fejl i år"),0)</f>
        <v>0</v>
      </c>
      <c r="T21" s="25">
        <f>+IFERROR(IF(T$19=Takstblad!D$3,VLOOKUP($A21,takstblad,4,FALSE)*D21,"fejl i år"),0)</f>
        <v>0</v>
      </c>
      <c r="U21" s="25">
        <f>+IFERROR(IF(U$19=Takstblad!E$3,VLOOKUP($A21,takstblad,5,FALSE)*E21,"fejl i år"),0)</f>
        <v>0</v>
      </c>
      <c r="V21" s="25">
        <f>+IFERROR(IF(V$19=Takstblad!F$3,VLOOKUP($A21,takstblad,6,FALSE)*F21,"fejl i år"),0)</f>
        <v>0</v>
      </c>
      <c r="W21" s="25">
        <f>+IFERROR(IF(W$19=Takstblad!G$3,VLOOKUP($A21,takstblad,7,FALSE)*G21,"fejl i år"),0)</f>
        <v>0</v>
      </c>
      <c r="X21" s="25">
        <f>+IFERROR(IF(X$19=Takstblad!H$3,VLOOKUP($A21,takstblad,8,FALSE)*H21,"fejl i år"),0)</f>
        <v>0</v>
      </c>
      <c r="Y21" s="25">
        <f>+IFERROR(IF(Y$19=Takstblad!I$3,VLOOKUP($A21,takstblad,9,FALSE)*I21,"fejl i år"),0)</f>
        <v>0</v>
      </c>
      <c r="Z21" s="25">
        <f>+IFERROR(IF(Z$19=Takstblad!J$3,VLOOKUP($A21,takstblad,10,FALSE)*J21,"fejl i år"),0)</f>
        <v>0</v>
      </c>
      <c r="AA21" s="25">
        <f>+IFERROR(IF(AA$19=Takstblad!K$3,VLOOKUP($A21,takstblad,11,FALSE)*K21,"fejl i år"),0)</f>
        <v>0</v>
      </c>
      <c r="AB21" s="25">
        <f>+IFERROR(IF(AB$19=Takstblad!L$3,VLOOKUP($A21,takstblad,12,FALSE)*L21,"fejl i år"),0)</f>
        <v>0</v>
      </c>
      <c r="AC21" s="21">
        <f t="shared" ref="AC21:AC39" si="7">SUM(S21:AB21)</f>
        <v>0</v>
      </c>
      <c r="AD21" s="221"/>
      <c r="AE21" s="25">
        <f t="shared" ref="AE21:AE29" si="8">+M21*($C$7/12)</f>
        <v>0</v>
      </c>
      <c r="AF21" s="25">
        <f t="shared" ref="AF21:AF29" si="9">IFERROR(AC21/AE21,0)</f>
        <v>0</v>
      </c>
      <c r="AG21" s="221"/>
      <c r="AH21" s="25">
        <f t="shared" ref="AH21:AH29" si="10">+C21*($C$7/12)</f>
        <v>0</v>
      </c>
      <c r="AI21" s="25">
        <f t="shared" si="2"/>
        <v>0</v>
      </c>
      <c r="AJ21" s="221"/>
      <c r="AK21" s="25">
        <f t="shared" ref="AK21:AK29" si="11">+D21*($C$7/12)</f>
        <v>0</v>
      </c>
      <c r="AL21" s="25">
        <f t="shared" ref="AL21:AL40" si="12">IFERROR(T21/AK21,0)</f>
        <v>0</v>
      </c>
      <c r="AM21" s="221"/>
      <c r="AN21" s="25">
        <f t="shared" ref="AN21:AN29" si="13">+E21*($C$7/12)</f>
        <v>0</v>
      </c>
      <c r="AO21" s="25">
        <f t="shared" ref="AO21:AO40" si="14">IFERROR(U21/AN21,0)</f>
        <v>0</v>
      </c>
      <c r="AP21" s="221"/>
      <c r="AQ21" s="25">
        <f t="shared" ref="AQ21:AQ29" si="15">+F21*($C$7/12)</f>
        <v>0</v>
      </c>
      <c r="AR21" s="25">
        <f t="shared" ref="AR21:AR40" si="16">IFERROR(V21/AQ21,0)</f>
        <v>0</v>
      </c>
      <c r="AS21" s="221"/>
      <c r="AT21" s="25">
        <f t="shared" ref="AT21:AT29" si="17">+G21*($C$7/12)</f>
        <v>0</v>
      </c>
      <c r="AU21" s="25">
        <f t="shared" ref="AU21:AU40" si="18">IFERROR(W21/AT21,0)</f>
        <v>0</v>
      </c>
      <c r="AV21" s="221"/>
      <c r="AW21" s="25">
        <f t="shared" ref="AW21:AW29" si="19">+H21*($C$7/12)</f>
        <v>0</v>
      </c>
      <c r="AX21" s="25">
        <f t="shared" ref="AX21:AX29" si="20">IFERROR(X21/AW21,0)</f>
        <v>0</v>
      </c>
      <c r="AY21" s="221"/>
      <c r="AZ21" s="25">
        <f t="shared" ref="AZ21:AZ29" si="21">+I21*($C$7/12)</f>
        <v>0</v>
      </c>
      <c r="BA21" s="25">
        <f t="shared" si="3"/>
        <v>0</v>
      </c>
      <c r="BB21" s="221"/>
      <c r="BC21" s="25">
        <f t="shared" ref="BC21:BC29" si="22">+J21*($C$7/12)</f>
        <v>0</v>
      </c>
      <c r="BD21" s="25">
        <f t="shared" si="4"/>
        <v>0</v>
      </c>
      <c r="BE21" s="221"/>
      <c r="BF21" s="25">
        <f t="shared" ref="BF21:BF29" si="23">+K21*($C$7/12)</f>
        <v>0</v>
      </c>
      <c r="BG21" s="25">
        <f t="shared" ref="BG21:BG29" si="24">IFERROR(AA21/BF21,0)</f>
        <v>0</v>
      </c>
      <c r="BH21" s="221"/>
      <c r="BI21" s="25">
        <f t="shared" ref="BI21:BI29" si="25">+L21*($C$7/12)</f>
        <v>0</v>
      </c>
      <c r="BJ21" s="25">
        <f t="shared" ref="BJ21:BJ29" si="26">IFERROR(AB21/BI21,0)</f>
        <v>0</v>
      </c>
    </row>
    <row r="22" spans="1:62" ht="15.65" customHeight="1">
      <c r="A22" s="212" t="s">
        <v>1238</v>
      </c>
      <c r="B22" s="213" t="str">
        <f>+VLOOKUP(A22,Takstblad!$A$5:$B$30,2,FALSE)</f>
        <v/>
      </c>
      <c r="C22" s="285"/>
      <c r="D22" s="285"/>
      <c r="E22" s="285"/>
      <c r="F22" s="285"/>
      <c r="G22" s="285"/>
      <c r="H22" s="285"/>
      <c r="I22" s="285"/>
      <c r="J22" s="285"/>
      <c r="K22" s="285"/>
      <c r="L22" s="285"/>
      <c r="M22" s="19">
        <f t="shared" si="5"/>
        <v>0</v>
      </c>
      <c r="N22" s="285"/>
      <c r="O22" s="285" t="s">
        <v>113</v>
      </c>
      <c r="P22" s="212"/>
      <c r="Q22" s="214"/>
      <c r="R22" s="216">
        <f t="shared" si="6"/>
        <v>0</v>
      </c>
      <c r="S22" s="215">
        <f>+IFERROR(IF(S$19=Takstblad!C$3,VLOOKUP($A22,takstblad,3,FALSE)*C22,"fejl i år"),0)</f>
        <v>0</v>
      </c>
      <c r="T22" s="215">
        <f>+IFERROR(IF(T$19=Takstblad!D$3,VLOOKUP($A22,takstblad,4,FALSE)*D22,"fejl i år"),0)</f>
        <v>0</v>
      </c>
      <c r="U22" s="215">
        <f>+IFERROR(IF(U$19=Takstblad!E$3,VLOOKUP($A22,takstblad,5,FALSE)*E22,"fejl i år"),0)</f>
        <v>0</v>
      </c>
      <c r="V22" s="215">
        <f>+IFERROR(IF(V$19=Takstblad!F$3,VLOOKUP($A22,takstblad,6,FALSE)*F22,"fejl i år"),0)</f>
        <v>0</v>
      </c>
      <c r="W22" s="215">
        <f>+IFERROR(IF(W$19=Takstblad!G$3,VLOOKUP($A22,takstblad,7,FALSE)*G22,"fejl i år"),0)</f>
        <v>0</v>
      </c>
      <c r="X22" s="215">
        <f>+IFERROR(IF(X$19=Takstblad!H$3,VLOOKUP($A22,takstblad,8,FALSE)*H22,"fejl i år"),0)</f>
        <v>0</v>
      </c>
      <c r="Y22" s="215">
        <f>+IFERROR(IF(Y$19=Takstblad!I$3,VLOOKUP($A22,takstblad,9,FALSE)*I22,"fejl i år"),0)</f>
        <v>0</v>
      </c>
      <c r="Z22" s="215">
        <f>+IFERROR(IF(Z$19=Takstblad!J$3,VLOOKUP($A22,takstblad,10,FALSE)*J22,"fejl i år"),0)</f>
        <v>0</v>
      </c>
      <c r="AA22" s="215">
        <f>+IFERROR(IF(AA$19=Takstblad!K$3,VLOOKUP($A22,takstblad,11,FALSE)*K22,"fejl i år"),0)</f>
        <v>0</v>
      </c>
      <c r="AB22" s="215">
        <f>+IFERROR(IF(AB$19=Takstblad!L$3,VLOOKUP($A22,takstblad,12,FALSE)*L22,"fejl i år"),0)</f>
        <v>0</v>
      </c>
      <c r="AC22" s="216">
        <f t="shared" si="7"/>
        <v>0</v>
      </c>
      <c r="AD22" s="221"/>
      <c r="AE22" s="217">
        <f t="shared" si="8"/>
        <v>0</v>
      </c>
      <c r="AF22" s="217">
        <f t="shared" si="9"/>
        <v>0</v>
      </c>
      <c r="AG22" s="221"/>
      <c r="AH22" s="217">
        <f t="shared" si="10"/>
        <v>0</v>
      </c>
      <c r="AI22" s="217">
        <f t="shared" si="2"/>
        <v>0</v>
      </c>
      <c r="AJ22" s="221"/>
      <c r="AK22" s="217">
        <f t="shared" si="11"/>
        <v>0</v>
      </c>
      <c r="AL22" s="217">
        <f t="shared" si="12"/>
        <v>0</v>
      </c>
      <c r="AM22" s="221"/>
      <c r="AN22" s="217">
        <f t="shared" si="13"/>
        <v>0</v>
      </c>
      <c r="AO22" s="217">
        <f t="shared" si="14"/>
        <v>0</v>
      </c>
      <c r="AP22" s="221"/>
      <c r="AQ22" s="217">
        <f t="shared" si="15"/>
        <v>0</v>
      </c>
      <c r="AR22" s="217">
        <f t="shared" si="16"/>
        <v>0</v>
      </c>
      <c r="AS22" s="221"/>
      <c r="AT22" s="217">
        <f t="shared" si="17"/>
        <v>0</v>
      </c>
      <c r="AU22" s="217">
        <f t="shared" si="18"/>
        <v>0</v>
      </c>
      <c r="AV22" s="221"/>
      <c r="AW22" s="217">
        <f t="shared" si="19"/>
        <v>0</v>
      </c>
      <c r="AX22" s="217">
        <f t="shared" si="20"/>
        <v>0</v>
      </c>
      <c r="AY22" s="221"/>
      <c r="AZ22" s="217">
        <f t="shared" si="21"/>
        <v>0</v>
      </c>
      <c r="BA22" s="217">
        <f t="shared" si="3"/>
        <v>0</v>
      </c>
      <c r="BB22" s="221"/>
      <c r="BC22" s="217">
        <f t="shared" si="22"/>
        <v>0</v>
      </c>
      <c r="BD22" s="217">
        <f t="shared" si="4"/>
        <v>0</v>
      </c>
      <c r="BE22" s="221"/>
      <c r="BF22" s="217">
        <f t="shared" si="23"/>
        <v>0</v>
      </c>
      <c r="BG22" s="217">
        <f t="shared" si="24"/>
        <v>0</v>
      </c>
      <c r="BH22" s="221"/>
      <c r="BI22" s="217">
        <f t="shared" si="25"/>
        <v>0</v>
      </c>
      <c r="BJ22" s="217">
        <f t="shared" si="26"/>
        <v>0</v>
      </c>
    </row>
    <row r="23" spans="1:62" ht="15.65" customHeight="1">
      <c r="A23" s="7" t="s">
        <v>1238</v>
      </c>
      <c r="B23" s="4" t="str">
        <f>+VLOOKUP(A23,Takstblad!$A$5:$B$30,2,FALSE)</f>
        <v/>
      </c>
      <c r="C23" s="285"/>
      <c r="D23" s="285"/>
      <c r="E23" s="285"/>
      <c r="F23" s="285"/>
      <c r="G23" s="285"/>
      <c r="H23" s="285"/>
      <c r="I23" s="285"/>
      <c r="J23" s="285"/>
      <c r="K23" s="285"/>
      <c r="L23" s="285"/>
      <c r="M23" s="19">
        <f t="shared" si="5"/>
        <v>0</v>
      </c>
      <c r="N23" s="285"/>
      <c r="O23" s="285" t="s">
        <v>113</v>
      </c>
      <c r="Q23" s="16"/>
      <c r="R23" s="21">
        <f t="shared" si="6"/>
        <v>0</v>
      </c>
      <c r="S23" s="25">
        <f>+IFERROR(IF(S$19=Takstblad!C$3,VLOOKUP($A23,takstblad,3,FALSE)*C23,"fejl i år"),0)</f>
        <v>0</v>
      </c>
      <c r="T23" s="25">
        <f>+IFERROR(IF(T$19=Takstblad!D$3,VLOOKUP($A23,takstblad,4,FALSE)*D23,"fejl i år"),0)</f>
        <v>0</v>
      </c>
      <c r="U23" s="25">
        <f>+IFERROR(IF(U$19=Takstblad!E$3,VLOOKUP($A23,takstblad,5,FALSE)*E23,"fejl i år"),0)</f>
        <v>0</v>
      </c>
      <c r="V23" s="25">
        <f>+IFERROR(IF(V$19=Takstblad!F$3,VLOOKUP($A23,takstblad,6,FALSE)*F23,"fejl i år"),0)</f>
        <v>0</v>
      </c>
      <c r="W23" s="25">
        <f>+IFERROR(IF(W$19=Takstblad!G$3,VLOOKUP($A23,takstblad,7,FALSE)*G23,"fejl i år"),0)</f>
        <v>0</v>
      </c>
      <c r="X23" s="25">
        <f>+IFERROR(IF(X$19=Takstblad!H$3,VLOOKUP($A23,takstblad,8,FALSE)*H23,"fejl i år"),0)</f>
        <v>0</v>
      </c>
      <c r="Y23" s="25">
        <f>+IFERROR(IF(Y$19=Takstblad!I$3,VLOOKUP($A23,takstblad,9,FALSE)*I23,"fejl i år"),0)</f>
        <v>0</v>
      </c>
      <c r="Z23" s="25">
        <f>+IFERROR(IF(Z$19=Takstblad!J$3,VLOOKUP($A23,takstblad,10,FALSE)*J23,"fejl i år"),0)</f>
        <v>0</v>
      </c>
      <c r="AA23" s="25">
        <f>+IFERROR(IF(AA$19=Takstblad!K$3,VLOOKUP($A23,takstblad,11,FALSE)*K23,"fejl i år"),0)</f>
        <v>0</v>
      </c>
      <c r="AB23" s="25">
        <f>+IFERROR(IF(AB$19=Takstblad!L$3,VLOOKUP($A23,takstblad,12,FALSE)*L23,"fejl i år"),0)</f>
        <v>0</v>
      </c>
      <c r="AC23" s="21">
        <f t="shared" si="7"/>
        <v>0</v>
      </c>
      <c r="AD23" s="221"/>
      <c r="AE23" s="25">
        <f t="shared" si="8"/>
        <v>0</v>
      </c>
      <c r="AF23" s="25">
        <f t="shared" si="9"/>
        <v>0</v>
      </c>
      <c r="AG23" s="221"/>
      <c r="AH23" s="25">
        <f t="shared" si="10"/>
        <v>0</v>
      </c>
      <c r="AI23" s="25">
        <f t="shared" si="2"/>
        <v>0</v>
      </c>
      <c r="AJ23" s="221"/>
      <c r="AK23" s="25">
        <f t="shared" si="11"/>
        <v>0</v>
      </c>
      <c r="AL23" s="25">
        <f t="shared" si="12"/>
        <v>0</v>
      </c>
      <c r="AM23" s="221"/>
      <c r="AN23" s="25">
        <f t="shared" si="13"/>
        <v>0</v>
      </c>
      <c r="AO23" s="25">
        <f t="shared" si="14"/>
        <v>0</v>
      </c>
      <c r="AP23" s="221"/>
      <c r="AQ23" s="25">
        <f t="shared" si="15"/>
        <v>0</v>
      </c>
      <c r="AR23" s="25">
        <f t="shared" si="16"/>
        <v>0</v>
      </c>
      <c r="AS23" s="221"/>
      <c r="AT23" s="25">
        <f t="shared" si="17"/>
        <v>0</v>
      </c>
      <c r="AU23" s="25">
        <f t="shared" si="18"/>
        <v>0</v>
      </c>
      <c r="AV23" s="221"/>
      <c r="AW23" s="25">
        <f t="shared" si="19"/>
        <v>0</v>
      </c>
      <c r="AX23" s="25">
        <f t="shared" si="20"/>
        <v>0</v>
      </c>
      <c r="AY23" s="221"/>
      <c r="AZ23" s="25">
        <f t="shared" si="21"/>
        <v>0</v>
      </c>
      <c r="BA23" s="25">
        <f t="shared" si="3"/>
        <v>0</v>
      </c>
      <c r="BB23" s="221"/>
      <c r="BC23" s="25">
        <f t="shared" si="22"/>
        <v>0</v>
      </c>
      <c r="BD23" s="25">
        <f t="shared" si="4"/>
        <v>0</v>
      </c>
      <c r="BE23" s="221"/>
      <c r="BF23" s="25">
        <f t="shared" si="23"/>
        <v>0</v>
      </c>
      <c r="BG23" s="25">
        <f t="shared" si="24"/>
        <v>0</v>
      </c>
      <c r="BH23" s="221"/>
      <c r="BI23" s="25">
        <f t="shared" si="25"/>
        <v>0</v>
      </c>
      <c r="BJ23" s="25">
        <f t="shared" si="26"/>
        <v>0</v>
      </c>
    </row>
    <row r="24" spans="1:62" ht="15.65" customHeight="1">
      <c r="A24" s="212" t="s">
        <v>1238</v>
      </c>
      <c r="B24" s="213" t="str">
        <f>+VLOOKUP(A24,Takstblad!$A$5:$B$30,2,FALSE)</f>
        <v/>
      </c>
      <c r="C24" s="285"/>
      <c r="D24" s="285"/>
      <c r="E24" s="285"/>
      <c r="F24" s="285"/>
      <c r="G24" s="285"/>
      <c r="H24" s="285"/>
      <c r="I24" s="285"/>
      <c r="J24" s="285"/>
      <c r="K24" s="285"/>
      <c r="L24" s="285"/>
      <c r="M24" s="19">
        <f t="shared" si="5"/>
        <v>0</v>
      </c>
      <c r="N24" s="285"/>
      <c r="O24" s="285" t="s">
        <v>113</v>
      </c>
      <c r="P24" s="212"/>
      <c r="Q24" s="214"/>
      <c r="R24" s="216">
        <f t="shared" si="6"/>
        <v>0</v>
      </c>
      <c r="S24" s="215">
        <f>+IFERROR(IF(S$19=Takstblad!C$3,VLOOKUP($A24,takstblad,3,FALSE)*C24,"fejl i år"),0)</f>
        <v>0</v>
      </c>
      <c r="T24" s="215">
        <f>+IFERROR(IF(T$19=Takstblad!D$3,VLOOKUP($A24,takstblad,4,FALSE)*D24,"fejl i år"),0)</f>
        <v>0</v>
      </c>
      <c r="U24" s="215">
        <f>+IFERROR(IF(U$19=Takstblad!E$3,VLOOKUP($A24,takstblad,5,FALSE)*E24,"fejl i år"),0)</f>
        <v>0</v>
      </c>
      <c r="V24" s="215">
        <f>+IFERROR(IF(V$19=Takstblad!F$3,VLOOKUP($A24,takstblad,6,FALSE)*F24,"fejl i år"),0)</f>
        <v>0</v>
      </c>
      <c r="W24" s="215">
        <f>+IFERROR(IF(W$19=Takstblad!G$3,VLOOKUP($A24,takstblad,7,FALSE)*G24,"fejl i år"),0)</f>
        <v>0</v>
      </c>
      <c r="X24" s="215">
        <f>+IFERROR(IF(X$19=Takstblad!H$3,VLOOKUP($A24,takstblad,8,FALSE)*H24,"fejl i år"),0)</f>
        <v>0</v>
      </c>
      <c r="Y24" s="215">
        <f>+IFERROR(IF(Y$19=Takstblad!I$3,VLOOKUP($A24,takstblad,9,FALSE)*I24,"fejl i år"),0)</f>
        <v>0</v>
      </c>
      <c r="Z24" s="215">
        <f>+IFERROR(IF(Z$19=Takstblad!J$3,VLOOKUP($A24,takstblad,10,FALSE)*J24,"fejl i år"),0)</f>
        <v>0</v>
      </c>
      <c r="AA24" s="215">
        <f>+IFERROR(IF(AA$19=Takstblad!K$3,VLOOKUP($A24,takstblad,11,FALSE)*K24,"fejl i år"),0)</f>
        <v>0</v>
      </c>
      <c r="AB24" s="215">
        <f>+IFERROR(IF(AB$19=Takstblad!L$3,VLOOKUP($A24,takstblad,12,FALSE)*L24,"fejl i år"),0)</f>
        <v>0</v>
      </c>
      <c r="AC24" s="216">
        <f t="shared" si="7"/>
        <v>0</v>
      </c>
      <c r="AD24" s="221"/>
      <c r="AE24" s="217">
        <f>+M24*($C$7/12)</f>
        <v>0</v>
      </c>
      <c r="AF24" s="217">
        <f>IFERROR(AC24/AE24,0)</f>
        <v>0</v>
      </c>
      <c r="AG24" s="221"/>
      <c r="AH24" s="217">
        <f>+C24*($C$7/12)</f>
        <v>0</v>
      </c>
      <c r="AI24" s="217">
        <f t="shared" si="2"/>
        <v>0</v>
      </c>
      <c r="AJ24" s="221"/>
      <c r="AK24" s="217">
        <f t="shared" si="11"/>
        <v>0</v>
      </c>
      <c r="AL24" s="217">
        <f t="shared" si="12"/>
        <v>0</v>
      </c>
      <c r="AM24" s="221"/>
      <c r="AN24" s="217">
        <f t="shared" si="13"/>
        <v>0</v>
      </c>
      <c r="AO24" s="217">
        <f t="shared" si="14"/>
        <v>0</v>
      </c>
      <c r="AP24" s="221"/>
      <c r="AQ24" s="217">
        <f t="shared" si="15"/>
        <v>0</v>
      </c>
      <c r="AR24" s="217">
        <f t="shared" si="16"/>
        <v>0</v>
      </c>
      <c r="AS24" s="221"/>
      <c r="AT24" s="217">
        <f t="shared" si="17"/>
        <v>0</v>
      </c>
      <c r="AU24" s="217">
        <f t="shared" si="18"/>
        <v>0</v>
      </c>
      <c r="AV24" s="221"/>
      <c r="AW24" s="217">
        <f t="shared" si="19"/>
        <v>0</v>
      </c>
      <c r="AX24" s="217">
        <f t="shared" si="20"/>
        <v>0</v>
      </c>
      <c r="AY24" s="221"/>
      <c r="AZ24" s="217">
        <f t="shared" si="21"/>
        <v>0</v>
      </c>
      <c r="BA24" s="217">
        <f t="shared" si="3"/>
        <v>0</v>
      </c>
      <c r="BB24" s="221"/>
      <c r="BC24" s="217">
        <f t="shared" si="22"/>
        <v>0</v>
      </c>
      <c r="BD24" s="217">
        <f t="shared" si="4"/>
        <v>0</v>
      </c>
      <c r="BE24" s="221"/>
      <c r="BF24" s="217">
        <f t="shared" si="23"/>
        <v>0</v>
      </c>
      <c r="BG24" s="217">
        <f t="shared" si="24"/>
        <v>0</v>
      </c>
      <c r="BH24" s="221"/>
      <c r="BI24" s="217">
        <f t="shared" si="25"/>
        <v>0</v>
      </c>
      <c r="BJ24" s="217">
        <f t="shared" si="26"/>
        <v>0</v>
      </c>
    </row>
    <row r="25" spans="1:62" ht="15.65" customHeight="1">
      <c r="A25" s="7" t="s">
        <v>1238</v>
      </c>
      <c r="B25" s="4" t="str">
        <f>+VLOOKUP(A25,Takstblad!$A$5:$B$30,2,FALSE)</f>
        <v/>
      </c>
      <c r="C25" s="285"/>
      <c r="D25" s="285"/>
      <c r="E25" s="285"/>
      <c r="F25" s="285"/>
      <c r="G25" s="285"/>
      <c r="H25" s="285"/>
      <c r="I25" s="285"/>
      <c r="J25" s="285"/>
      <c r="K25" s="285"/>
      <c r="L25" s="285"/>
      <c r="M25" s="19">
        <f t="shared" si="5"/>
        <v>0</v>
      </c>
      <c r="N25" s="285"/>
      <c r="O25" s="285" t="s">
        <v>113</v>
      </c>
      <c r="Q25" s="16"/>
      <c r="R25" s="21">
        <f t="shared" si="6"/>
        <v>0</v>
      </c>
      <c r="S25" s="25">
        <f>+IFERROR(IF(S$19=Takstblad!C$3,VLOOKUP($A25,takstblad,3,FALSE)*C25,"fejl i år"),0)</f>
        <v>0</v>
      </c>
      <c r="T25" s="25">
        <f>+IFERROR(IF(T$19=Takstblad!D$3,VLOOKUP($A25,takstblad,4,FALSE)*D25,"fejl i år"),0)</f>
        <v>0</v>
      </c>
      <c r="U25" s="25">
        <f>+IFERROR(IF(U$19=Takstblad!E$3,VLOOKUP($A25,takstblad,5,FALSE)*E25,"fejl i år"),0)</f>
        <v>0</v>
      </c>
      <c r="V25" s="25">
        <f>+IFERROR(IF(V$19=Takstblad!F$3,VLOOKUP($A25,takstblad,6,FALSE)*F25,"fejl i år"),0)</f>
        <v>0</v>
      </c>
      <c r="W25" s="25">
        <f>+IFERROR(IF(W$19=Takstblad!G$3,VLOOKUP($A25,takstblad,7,FALSE)*G25,"fejl i år"),0)</f>
        <v>0</v>
      </c>
      <c r="X25" s="25">
        <f>+IFERROR(IF(X$19=Takstblad!H$3,VLOOKUP($A25,takstblad,8,FALSE)*H25,"fejl i år"),0)</f>
        <v>0</v>
      </c>
      <c r="Y25" s="25">
        <f>+IFERROR(IF(Y$19=Takstblad!I$3,VLOOKUP($A25,takstblad,9,FALSE)*I25,"fejl i år"),0)</f>
        <v>0</v>
      </c>
      <c r="Z25" s="25">
        <f>+IFERROR(IF(Z$19=Takstblad!J$3,VLOOKUP($A25,takstblad,10,FALSE)*J25,"fejl i år"),0)</f>
        <v>0</v>
      </c>
      <c r="AA25" s="25">
        <f>+IFERROR(IF(AA$19=Takstblad!K$3,VLOOKUP($A25,takstblad,11,FALSE)*K25,"fejl i år"),0)</f>
        <v>0</v>
      </c>
      <c r="AB25" s="25">
        <f>+IFERROR(IF(AB$19=Takstblad!L$3,VLOOKUP($A25,takstblad,12,FALSE)*L25,"fejl i år"),0)</f>
        <v>0</v>
      </c>
      <c r="AC25" s="21">
        <f t="shared" si="7"/>
        <v>0</v>
      </c>
      <c r="AD25" s="221"/>
      <c r="AE25" s="25">
        <f>+M25*($C$7/12)</f>
        <v>0</v>
      </c>
      <c r="AF25" s="25">
        <f>IFERROR(AC25/AE25,0)</f>
        <v>0</v>
      </c>
      <c r="AG25" s="221"/>
      <c r="AH25" s="25">
        <f t="shared" si="10"/>
        <v>0</v>
      </c>
      <c r="AI25" s="25">
        <f t="shared" si="2"/>
        <v>0</v>
      </c>
      <c r="AJ25" s="221"/>
      <c r="AK25" s="25">
        <f t="shared" si="11"/>
        <v>0</v>
      </c>
      <c r="AL25" s="25">
        <f t="shared" si="12"/>
        <v>0</v>
      </c>
      <c r="AM25" s="221"/>
      <c r="AN25" s="25">
        <f t="shared" si="13"/>
        <v>0</v>
      </c>
      <c r="AO25" s="25">
        <f t="shared" si="14"/>
        <v>0</v>
      </c>
      <c r="AP25" s="221"/>
      <c r="AQ25" s="25">
        <f t="shared" si="15"/>
        <v>0</v>
      </c>
      <c r="AR25" s="25">
        <f t="shared" si="16"/>
        <v>0</v>
      </c>
      <c r="AS25" s="221"/>
      <c r="AT25" s="25">
        <f t="shared" si="17"/>
        <v>0</v>
      </c>
      <c r="AU25" s="25">
        <f t="shared" si="18"/>
        <v>0</v>
      </c>
      <c r="AV25" s="221"/>
      <c r="AW25" s="25">
        <f t="shared" si="19"/>
        <v>0</v>
      </c>
      <c r="AX25" s="25">
        <f t="shared" si="20"/>
        <v>0</v>
      </c>
      <c r="AY25" s="221"/>
      <c r="AZ25" s="25">
        <f>+I25*($C$7/12)</f>
        <v>0</v>
      </c>
      <c r="BA25" s="25">
        <f t="shared" si="3"/>
        <v>0</v>
      </c>
      <c r="BB25" s="221"/>
      <c r="BC25" s="25">
        <f t="shared" si="22"/>
        <v>0</v>
      </c>
      <c r="BD25" s="25">
        <f t="shared" si="4"/>
        <v>0</v>
      </c>
      <c r="BE25" s="221"/>
      <c r="BF25" s="25">
        <f t="shared" si="23"/>
        <v>0</v>
      </c>
      <c r="BG25" s="25">
        <f t="shared" si="24"/>
        <v>0</v>
      </c>
      <c r="BH25" s="221"/>
      <c r="BI25" s="25">
        <f t="shared" si="25"/>
        <v>0</v>
      </c>
      <c r="BJ25" s="25">
        <f t="shared" si="26"/>
        <v>0</v>
      </c>
    </row>
    <row r="26" spans="1:62" ht="15.65" customHeight="1">
      <c r="A26" s="212" t="s">
        <v>1238</v>
      </c>
      <c r="B26" s="213" t="str">
        <f>+VLOOKUP(A26,Takstblad!$A$5:$B$30,2,FALSE)</f>
        <v/>
      </c>
      <c r="C26" s="285"/>
      <c r="D26" s="285"/>
      <c r="E26" s="285"/>
      <c r="F26" s="285"/>
      <c r="G26" s="285"/>
      <c r="H26" s="285"/>
      <c r="I26" s="285"/>
      <c r="J26" s="285"/>
      <c r="K26" s="285"/>
      <c r="L26" s="285"/>
      <c r="M26" s="19">
        <f t="shared" si="5"/>
        <v>0</v>
      </c>
      <c r="N26" s="285"/>
      <c r="O26" s="285" t="s">
        <v>113</v>
      </c>
      <c r="P26" s="212"/>
      <c r="Q26" s="214"/>
      <c r="R26" s="216">
        <f t="shared" si="6"/>
        <v>0</v>
      </c>
      <c r="S26" s="215">
        <f>+IFERROR(IF(S$19=Takstblad!C$3,VLOOKUP($A26,takstblad,3,FALSE)*C26,"fejl i år"),0)</f>
        <v>0</v>
      </c>
      <c r="T26" s="215">
        <f>+IFERROR(IF(T$19=Takstblad!D$3,VLOOKUP($A26,takstblad,4,FALSE)*D26,"fejl i år"),0)</f>
        <v>0</v>
      </c>
      <c r="U26" s="215">
        <f>+IFERROR(IF(U$19=Takstblad!E$3,VLOOKUP($A26,takstblad,5,FALSE)*E26,"fejl i år"),0)</f>
        <v>0</v>
      </c>
      <c r="V26" s="215">
        <f>+IFERROR(IF(V$19=Takstblad!F$3,VLOOKUP($A26,takstblad,6,FALSE)*F26,"fejl i år"),0)</f>
        <v>0</v>
      </c>
      <c r="W26" s="215">
        <f>+IFERROR(IF(W$19=Takstblad!G$3,VLOOKUP($A26,takstblad,7,FALSE)*G26,"fejl i år"),0)</f>
        <v>0</v>
      </c>
      <c r="X26" s="215">
        <f>+IFERROR(IF(X$19=Takstblad!H$3,VLOOKUP($A26,takstblad,8,FALSE)*H26,"fejl i år"),0)</f>
        <v>0</v>
      </c>
      <c r="Y26" s="215">
        <f>+IFERROR(IF(Y$19=Takstblad!I$3,VLOOKUP($A26,takstblad,9,FALSE)*I26,"fejl i år"),0)</f>
        <v>0</v>
      </c>
      <c r="Z26" s="215">
        <f>+IFERROR(IF(Z$19=Takstblad!J$3,VLOOKUP($A26,takstblad,10,FALSE)*J26,"fejl i år"),0)</f>
        <v>0</v>
      </c>
      <c r="AA26" s="215">
        <f>+IFERROR(IF(AA$19=Takstblad!K$3,VLOOKUP($A26,takstblad,11,FALSE)*K26,"fejl i år"),0)</f>
        <v>0</v>
      </c>
      <c r="AB26" s="215">
        <f>+IFERROR(IF(AB$19=Takstblad!L$3,VLOOKUP($A26,takstblad,12,FALSE)*L26,"fejl i år"),0)</f>
        <v>0</v>
      </c>
      <c r="AC26" s="216">
        <f t="shared" si="7"/>
        <v>0</v>
      </c>
      <c r="AD26" s="221"/>
      <c r="AE26" s="217">
        <f t="shared" si="8"/>
        <v>0</v>
      </c>
      <c r="AF26" s="217">
        <f t="shared" si="9"/>
        <v>0</v>
      </c>
      <c r="AG26" s="221"/>
      <c r="AH26" s="217">
        <f t="shared" si="10"/>
        <v>0</v>
      </c>
      <c r="AI26" s="217">
        <f t="shared" si="2"/>
        <v>0</v>
      </c>
      <c r="AJ26" s="221"/>
      <c r="AK26" s="217">
        <f t="shared" si="11"/>
        <v>0</v>
      </c>
      <c r="AL26" s="217">
        <f t="shared" si="12"/>
        <v>0</v>
      </c>
      <c r="AM26" s="221"/>
      <c r="AN26" s="217">
        <f t="shared" si="13"/>
        <v>0</v>
      </c>
      <c r="AO26" s="217">
        <f t="shared" si="14"/>
        <v>0</v>
      </c>
      <c r="AP26" s="221"/>
      <c r="AQ26" s="217">
        <f t="shared" si="15"/>
        <v>0</v>
      </c>
      <c r="AR26" s="217">
        <f t="shared" si="16"/>
        <v>0</v>
      </c>
      <c r="AS26" s="221"/>
      <c r="AT26" s="217">
        <f t="shared" si="17"/>
        <v>0</v>
      </c>
      <c r="AU26" s="217">
        <f t="shared" si="18"/>
        <v>0</v>
      </c>
      <c r="AV26" s="221"/>
      <c r="AW26" s="217">
        <f t="shared" si="19"/>
        <v>0</v>
      </c>
      <c r="AX26" s="217">
        <f t="shared" si="20"/>
        <v>0</v>
      </c>
      <c r="AY26" s="221"/>
      <c r="AZ26" s="217">
        <f t="shared" si="21"/>
        <v>0</v>
      </c>
      <c r="BA26" s="217">
        <f t="shared" si="3"/>
        <v>0</v>
      </c>
      <c r="BB26" s="221"/>
      <c r="BC26" s="217">
        <f t="shared" si="22"/>
        <v>0</v>
      </c>
      <c r="BD26" s="217">
        <f t="shared" si="4"/>
        <v>0</v>
      </c>
      <c r="BE26" s="221"/>
      <c r="BF26" s="217">
        <f t="shared" si="23"/>
        <v>0</v>
      </c>
      <c r="BG26" s="217">
        <f t="shared" si="24"/>
        <v>0</v>
      </c>
      <c r="BH26" s="221"/>
      <c r="BI26" s="217">
        <f t="shared" si="25"/>
        <v>0</v>
      </c>
      <c r="BJ26" s="217">
        <f t="shared" si="26"/>
        <v>0</v>
      </c>
    </row>
    <row r="27" spans="1:62" ht="15.65" customHeight="1">
      <c r="A27" s="7" t="s">
        <v>1238</v>
      </c>
      <c r="B27" s="4" t="str">
        <f>+VLOOKUP(A27,Takstblad!$A$5:$B$30,2,FALSE)</f>
        <v/>
      </c>
      <c r="C27" s="285"/>
      <c r="D27" s="285"/>
      <c r="E27" s="285"/>
      <c r="F27" s="285"/>
      <c r="G27" s="285"/>
      <c r="H27" s="285"/>
      <c r="I27" s="285"/>
      <c r="J27" s="285"/>
      <c r="K27" s="285"/>
      <c r="L27" s="285"/>
      <c r="M27" s="19">
        <f t="shared" si="5"/>
        <v>0</v>
      </c>
      <c r="N27" s="285"/>
      <c r="O27" s="285" t="s">
        <v>113</v>
      </c>
      <c r="Q27" s="16"/>
      <c r="R27" s="21">
        <f t="shared" si="6"/>
        <v>0</v>
      </c>
      <c r="S27" s="25">
        <f>+IFERROR(IF(S$19=Takstblad!C$3,VLOOKUP($A27,takstblad,3,FALSE)*C27,"fejl i år"),0)</f>
        <v>0</v>
      </c>
      <c r="T27" s="25">
        <f>+IFERROR(IF(T$19=Takstblad!D$3,VLOOKUP($A27,takstblad,4,FALSE)*D27,"fejl i år"),0)</f>
        <v>0</v>
      </c>
      <c r="U27" s="25">
        <f>+IFERROR(IF(U$19=Takstblad!E$3,VLOOKUP($A27,takstblad,5,FALSE)*E27,"fejl i år"),0)</f>
        <v>0</v>
      </c>
      <c r="V27" s="25">
        <f>+IFERROR(IF(V$19=Takstblad!F$3,VLOOKUP($A27,takstblad,6,FALSE)*F27,"fejl i år"),0)</f>
        <v>0</v>
      </c>
      <c r="W27" s="25">
        <f>+IFERROR(IF(W$19=Takstblad!G$3,VLOOKUP($A27,takstblad,7,FALSE)*G27,"fejl i år"),0)</f>
        <v>0</v>
      </c>
      <c r="X27" s="25">
        <f>+IFERROR(IF(X$19=Takstblad!H$3,VLOOKUP($A27,takstblad,8,FALSE)*H27,"fejl i år"),0)</f>
        <v>0</v>
      </c>
      <c r="Y27" s="25">
        <f>+IFERROR(IF(Y$19=Takstblad!I$3,VLOOKUP($A27,takstblad,9,FALSE)*I27,"fejl i år"),0)</f>
        <v>0</v>
      </c>
      <c r="Z27" s="25">
        <f>+IFERROR(IF(Z$19=Takstblad!J$3,VLOOKUP($A27,takstblad,10,FALSE)*J27,"fejl i år"),0)</f>
        <v>0</v>
      </c>
      <c r="AA27" s="25">
        <f>+IFERROR(IF(AA$19=Takstblad!K$3,VLOOKUP($A27,takstblad,11,FALSE)*K27,"fejl i år"),0)</f>
        <v>0</v>
      </c>
      <c r="AB27" s="25">
        <f>+IFERROR(IF(AB$19=Takstblad!L$3,VLOOKUP($A27,takstblad,12,FALSE)*L27,"fejl i år"),0)</f>
        <v>0</v>
      </c>
      <c r="AC27" s="21">
        <f t="shared" si="7"/>
        <v>0</v>
      </c>
      <c r="AD27" s="221"/>
      <c r="AE27" s="25">
        <f t="shared" si="8"/>
        <v>0</v>
      </c>
      <c r="AF27" s="25">
        <f t="shared" si="9"/>
        <v>0</v>
      </c>
      <c r="AG27" s="221"/>
      <c r="AH27" s="25">
        <f t="shared" si="10"/>
        <v>0</v>
      </c>
      <c r="AI27" s="25">
        <f t="shared" si="2"/>
        <v>0</v>
      </c>
      <c r="AJ27" s="221"/>
      <c r="AK27" s="25">
        <f t="shared" si="11"/>
        <v>0</v>
      </c>
      <c r="AL27" s="25">
        <f t="shared" si="12"/>
        <v>0</v>
      </c>
      <c r="AM27" s="221"/>
      <c r="AN27" s="25">
        <f t="shared" si="13"/>
        <v>0</v>
      </c>
      <c r="AO27" s="25">
        <f t="shared" si="14"/>
        <v>0</v>
      </c>
      <c r="AP27" s="221"/>
      <c r="AQ27" s="25">
        <f t="shared" si="15"/>
        <v>0</v>
      </c>
      <c r="AR27" s="25">
        <f t="shared" si="16"/>
        <v>0</v>
      </c>
      <c r="AS27" s="221"/>
      <c r="AT27" s="25">
        <f t="shared" si="17"/>
        <v>0</v>
      </c>
      <c r="AU27" s="25">
        <f t="shared" si="18"/>
        <v>0</v>
      </c>
      <c r="AV27" s="221"/>
      <c r="AW27" s="25">
        <f t="shared" si="19"/>
        <v>0</v>
      </c>
      <c r="AX27" s="25">
        <f t="shared" si="20"/>
        <v>0</v>
      </c>
      <c r="AY27" s="221"/>
      <c r="AZ27" s="25">
        <f t="shared" si="21"/>
        <v>0</v>
      </c>
      <c r="BA27" s="25">
        <f t="shared" si="3"/>
        <v>0</v>
      </c>
      <c r="BB27" s="221"/>
      <c r="BC27" s="25">
        <f t="shared" si="22"/>
        <v>0</v>
      </c>
      <c r="BD27" s="25">
        <f t="shared" si="4"/>
        <v>0</v>
      </c>
      <c r="BE27" s="221"/>
      <c r="BF27" s="25">
        <f t="shared" si="23"/>
        <v>0</v>
      </c>
      <c r="BG27" s="25">
        <f t="shared" si="24"/>
        <v>0</v>
      </c>
      <c r="BH27" s="221"/>
      <c r="BI27" s="25">
        <f t="shared" si="25"/>
        <v>0</v>
      </c>
      <c r="BJ27" s="25">
        <f t="shared" si="26"/>
        <v>0</v>
      </c>
    </row>
    <row r="28" spans="1:62" ht="15.65" customHeight="1">
      <c r="A28" s="212" t="s">
        <v>1238</v>
      </c>
      <c r="B28" s="213" t="str">
        <f>+VLOOKUP(A28,Takstblad!$A$5:$B$30,2,FALSE)</f>
        <v/>
      </c>
      <c r="C28" s="285"/>
      <c r="D28" s="285"/>
      <c r="E28" s="285"/>
      <c r="F28" s="285"/>
      <c r="G28" s="285"/>
      <c r="H28" s="285"/>
      <c r="I28" s="285"/>
      <c r="J28" s="285"/>
      <c r="K28" s="285"/>
      <c r="L28" s="285"/>
      <c r="M28" s="19">
        <f t="shared" si="5"/>
        <v>0</v>
      </c>
      <c r="N28" s="285"/>
      <c r="O28" s="285" t="s">
        <v>113</v>
      </c>
      <c r="P28" s="212"/>
      <c r="Q28" s="214"/>
      <c r="R28" s="216">
        <f t="shared" si="6"/>
        <v>0</v>
      </c>
      <c r="S28" s="215">
        <f>+IFERROR(IF(S$19=Takstblad!C$3,VLOOKUP($A28,takstblad,3,FALSE)*C28,"fejl i år"),0)</f>
        <v>0</v>
      </c>
      <c r="T28" s="215">
        <f>+IFERROR(IF(T$19=Takstblad!D$3,VLOOKUP($A28,takstblad,4,FALSE)*D28,"fejl i år"),0)</f>
        <v>0</v>
      </c>
      <c r="U28" s="215">
        <f>+IFERROR(IF(U$19=Takstblad!E$3,VLOOKUP($A28,takstblad,5,FALSE)*E28,"fejl i år"),0)</f>
        <v>0</v>
      </c>
      <c r="V28" s="215">
        <f>+IFERROR(IF(V$19=Takstblad!F$3,VLOOKUP($A28,takstblad,6,FALSE)*F28,"fejl i år"),0)</f>
        <v>0</v>
      </c>
      <c r="W28" s="215">
        <f>+IFERROR(IF(W$19=Takstblad!G$3,VLOOKUP($A28,takstblad,7,FALSE)*G28,"fejl i år"),0)</f>
        <v>0</v>
      </c>
      <c r="X28" s="215">
        <f>+IFERROR(IF(X$19=Takstblad!H$3,VLOOKUP($A28,takstblad,8,FALSE)*H28,"fejl i år"),0)</f>
        <v>0</v>
      </c>
      <c r="Y28" s="215">
        <f>+IFERROR(IF(Y$19=Takstblad!I$3,VLOOKUP($A28,takstblad,9,FALSE)*I28,"fejl i år"),0)</f>
        <v>0</v>
      </c>
      <c r="Z28" s="215">
        <f>+IFERROR(IF(Z$19=Takstblad!J$3,VLOOKUP($A28,takstblad,10,FALSE)*J28,"fejl i år"),0)</f>
        <v>0</v>
      </c>
      <c r="AA28" s="215">
        <f>+IFERROR(IF(AA$19=Takstblad!K$3,VLOOKUP($A28,takstblad,11,FALSE)*K28,"fejl i år"),0)</f>
        <v>0</v>
      </c>
      <c r="AB28" s="215">
        <f>+IFERROR(IF(AB$19=Takstblad!L$3,VLOOKUP($A28,takstblad,12,FALSE)*L28,"fejl i år"),0)</f>
        <v>0</v>
      </c>
      <c r="AC28" s="216">
        <f t="shared" si="7"/>
        <v>0</v>
      </c>
      <c r="AD28" s="221"/>
      <c r="AE28" s="217">
        <f t="shared" si="8"/>
        <v>0</v>
      </c>
      <c r="AF28" s="217">
        <f t="shared" si="9"/>
        <v>0</v>
      </c>
      <c r="AG28" s="221"/>
      <c r="AH28" s="217">
        <f t="shared" si="10"/>
        <v>0</v>
      </c>
      <c r="AI28" s="217">
        <f t="shared" si="2"/>
        <v>0</v>
      </c>
      <c r="AJ28" s="221"/>
      <c r="AK28" s="217">
        <f t="shared" si="11"/>
        <v>0</v>
      </c>
      <c r="AL28" s="217">
        <f t="shared" si="12"/>
        <v>0</v>
      </c>
      <c r="AM28" s="221"/>
      <c r="AN28" s="217">
        <f t="shared" si="13"/>
        <v>0</v>
      </c>
      <c r="AO28" s="217">
        <f t="shared" si="14"/>
        <v>0</v>
      </c>
      <c r="AP28" s="221"/>
      <c r="AQ28" s="217">
        <f t="shared" si="15"/>
        <v>0</v>
      </c>
      <c r="AR28" s="217">
        <f t="shared" si="16"/>
        <v>0</v>
      </c>
      <c r="AS28" s="221"/>
      <c r="AT28" s="217">
        <f t="shared" si="17"/>
        <v>0</v>
      </c>
      <c r="AU28" s="217">
        <f t="shared" si="18"/>
        <v>0</v>
      </c>
      <c r="AV28" s="221"/>
      <c r="AW28" s="217">
        <f t="shared" si="19"/>
        <v>0</v>
      </c>
      <c r="AX28" s="217">
        <f t="shared" si="20"/>
        <v>0</v>
      </c>
      <c r="AY28" s="221"/>
      <c r="AZ28" s="217">
        <f t="shared" si="21"/>
        <v>0</v>
      </c>
      <c r="BA28" s="217">
        <f t="shared" si="3"/>
        <v>0</v>
      </c>
      <c r="BB28" s="221"/>
      <c r="BC28" s="217">
        <f t="shared" si="22"/>
        <v>0</v>
      </c>
      <c r="BD28" s="217">
        <f t="shared" si="4"/>
        <v>0</v>
      </c>
      <c r="BE28" s="221"/>
      <c r="BF28" s="217">
        <f t="shared" si="23"/>
        <v>0</v>
      </c>
      <c r="BG28" s="217">
        <f t="shared" si="24"/>
        <v>0</v>
      </c>
      <c r="BH28" s="221"/>
      <c r="BI28" s="217">
        <f t="shared" si="25"/>
        <v>0</v>
      </c>
      <c r="BJ28" s="217">
        <f t="shared" si="26"/>
        <v>0</v>
      </c>
    </row>
    <row r="29" spans="1:62" ht="15.65" customHeight="1" thickBot="1">
      <c r="A29" s="7" t="s">
        <v>1238</v>
      </c>
      <c r="B29" s="4" t="str">
        <f>+VLOOKUP(A29,Takstblad!$A$5:$B$30,2,FALSE)</f>
        <v/>
      </c>
      <c r="C29" s="285"/>
      <c r="D29" s="285"/>
      <c r="E29" s="285"/>
      <c r="F29" s="285"/>
      <c r="G29" s="285"/>
      <c r="H29" s="285"/>
      <c r="I29" s="285"/>
      <c r="J29" s="285"/>
      <c r="K29" s="286"/>
      <c r="L29" s="286"/>
      <c r="M29" s="47">
        <f t="shared" si="5"/>
        <v>0</v>
      </c>
      <c r="N29" s="285"/>
      <c r="O29" s="285" t="s">
        <v>113</v>
      </c>
      <c r="Q29" s="16"/>
      <c r="R29" s="21">
        <f t="shared" si="6"/>
        <v>0</v>
      </c>
      <c r="S29" s="25">
        <f>+IFERROR(IF(S$19=Takstblad!C$3,VLOOKUP($A29,takstblad,3,FALSE)*C29,"fejl i år"),0)</f>
        <v>0</v>
      </c>
      <c r="T29" s="25">
        <f>+IFERROR(IF(T$19=Takstblad!D$3,VLOOKUP($A29,takstblad,4,FALSE)*D29,"fejl i år"),0)</f>
        <v>0</v>
      </c>
      <c r="U29" s="25">
        <f>+IFERROR(IF(U$19=Takstblad!E$3,VLOOKUP($A29,takstblad,5,FALSE)*E29,"fejl i år"),0)</f>
        <v>0</v>
      </c>
      <c r="V29" s="25">
        <f>+IFERROR(IF(V$19=Takstblad!F$3,VLOOKUP($A29,takstblad,6,FALSE)*F29,"fejl i år"),0)</f>
        <v>0</v>
      </c>
      <c r="W29" s="25">
        <f>+IFERROR(IF(W$19=Takstblad!G$3,VLOOKUP($A29,takstblad,7,FALSE)*G29,"fejl i år"),0)</f>
        <v>0</v>
      </c>
      <c r="X29" s="25">
        <f>+IFERROR(IF(X$19=Takstblad!H$3,VLOOKUP($A29,takstblad,8,FALSE)*H29,"fejl i år"),0)</f>
        <v>0</v>
      </c>
      <c r="Y29" s="25">
        <f>+IFERROR(IF(Y$19=Takstblad!I$3,VLOOKUP($A29,takstblad,9,FALSE)*I29,"fejl i år"),0)</f>
        <v>0</v>
      </c>
      <c r="Z29" s="25">
        <f>+IFERROR(IF(Z$19=Takstblad!J$3,VLOOKUP($A29,takstblad,10,FALSE)*J29,"fejl i år"),0)</f>
        <v>0</v>
      </c>
      <c r="AA29" s="25">
        <f>+IFERROR(IF(AA$19=Takstblad!K$3,VLOOKUP($A29,takstblad,11,FALSE)*K29,"fejl i år"),0)</f>
        <v>0</v>
      </c>
      <c r="AB29" s="25">
        <f>+IFERROR(IF(AB$19=Takstblad!L$3,VLOOKUP($A29,takstblad,12,FALSE)*L29,"fejl i år"),0)</f>
        <v>0</v>
      </c>
      <c r="AC29" s="21">
        <f t="shared" si="7"/>
        <v>0</v>
      </c>
      <c r="AD29" s="221"/>
      <c r="AE29" s="25">
        <f t="shared" si="8"/>
        <v>0</v>
      </c>
      <c r="AF29" s="25">
        <f t="shared" si="9"/>
        <v>0</v>
      </c>
      <c r="AG29" s="221"/>
      <c r="AH29" s="25">
        <f t="shared" si="10"/>
        <v>0</v>
      </c>
      <c r="AI29" s="25">
        <f t="shared" si="2"/>
        <v>0</v>
      </c>
      <c r="AJ29" s="221"/>
      <c r="AK29" s="25">
        <f t="shared" si="11"/>
        <v>0</v>
      </c>
      <c r="AL29" s="25">
        <f t="shared" si="12"/>
        <v>0</v>
      </c>
      <c r="AM29" s="221"/>
      <c r="AN29" s="25">
        <f t="shared" si="13"/>
        <v>0</v>
      </c>
      <c r="AO29" s="25">
        <f t="shared" si="14"/>
        <v>0</v>
      </c>
      <c r="AP29" s="221"/>
      <c r="AQ29" s="25">
        <f t="shared" si="15"/>
        <v>0</v>
      </c>
      <c r="AR29" s="25">
        <f t="shared" si="16"/>
        <v>0</v>
      </c>
      <c r="AS29" s="221"/>
      <c r="AT29" s="25">
        <f t="shared" si="17"/>
        <v>0</v>
      </c>
      <c r="AU29" s="25">
        <f t="shared" si="18"/>
        <v>0</v>
      </c>
      <c r="AV29" s="221"/>
      <c r="AW29" s="25">
        <f t="shared" si="19"/>
        <v>0</v>
      </c>
      <c r="AX29" s="25">
        <f t="shared" si="20"/>
        <v>0</v>
      </c>
      <c r="AY29" s="221"/>
      <c r="AZ29" s="25">
        <f t="shared" si="21"/>
        <v>0</v>
      </c>
      <c r="BA29" s="25">
        <f t="shared" si="3"/>
        <v>0</v>
      </c>
      <c r="BB29" s="221"/>
      <c r="BC29" s="25">
        <f t="shared" si="22"/>
        <v>0</v>
      </c>
      <c r="BD29" s="25">
        <f>IFERROR(Z29/BC29,0)</f>
        <v>0</v>
      </c>
      <c r="BE29" s="221"/>
      <c r="BF29" s="25">
        <f t="shared" si="23"/>
        <v>0</v>
      </c>
      <c r="BG29" s="25">
        <f t="shared" si="24"/>
        <v>0</v>
      </c>
      <c r="BH29" s="221"/>
      <c r="BI29" s="25">
        <f t="shared" si="25"/>
        <v>0</v>
      </c>
      <c r="BJ29" s="25">
        <f t="shared" si="26"/>
        <v>0</v>
      </c>
    </row>
    <row r="30" spans="1:62" ht="15.65" hidden="1" customHeight="1" outlineLevel="1">
      <c r="A30" s="212" t="s">
        <v>1238</v>
      </c>
      <c r="B30" s="4" t="str">
        <f>+VLOOKUP(A30,Takstblad!$A$5:$B$30,2,FALSE)</f>
        <v/>
      </c>
      <c r="C30" s="285"/>
      <c r="D30" s="285"/>
      <c r="E30" s="285"/>
      <c r="F30" s="285"/>
      <c r="G30" s="285"/>
      <c r="H30" s="285"/>
      <c r="I30" s="285"/>
      <c r="J30" s="285"/>
      <c r="K30" s="286"/>
      <c r="L30" s="286"/>
      <c r="M30" s="47">
        <f t="shared" ref="M30:M39" si="27">SUM(C30:L30)</f>
        <v>0</v>
      </c>
      <c r="N30" s="285"/>
      <c r="O30" s="285" t="s">
        <v>113</v>
      </c>
      <c r="P30" s="212"/>
      <c r="Q30" s="214"/>
      <c r="R30" s="216">
        <f t="shared" ref="R30:R39" si="28">+AC30</f>
        <v>0</v>
      </c>
      <c r="S30" s="215">
        <f>+IFERROR(IF(S$19=Takstblad!C$3,VLOOKUP($A30,takstblad,3,FALSE)*C30,"fejl i år"),0)</f>
        <v>0</v>
      </c>
      <c r="T30" s="215">
        <f>+IFERROR(IF(T$19=Takstblad!D$3,VLOOKUP($A30,takstblad,4,FALSE)*D30,"fejl i år"),0)</f>
        <v>0</v>
      </c>
      <c r="U30" s="215">
        <f>+IFERROR(IF(U$19=Takstblad!E$3,VLOOKUP($A30,takstblad,5,FALSE)*E30,"fejl i år"),0)</f>
        <v>0</v>
      </c>
      <c r="V30" s="215">
        <f>+IFERROR(IF(V$19=Takstblad!F$3,VLOOKUP($A30,takstblad,6,FALSE)*F30,"fejl i år"),0)</f>
        <v>0</v>
      </c>
      <c r="W30" s="215">
        <f>+IFERROR(IF(W$19=Takstblad!G$3,VLOOKUP($A30,takstblad,7,FALSE)*G30,"fejl i år"),0)</f>
        <v>0</v>
      </c>
      <c r="X30" s="215">
        <f>+IFERROR(IF(X$19=Takstblad!H$3,VLOOKUP($A30,takstblad,8,FALSE)*H30,"fejl i år"),0)</f>
        <v>0</v>
      </c>
      <c r="Y30" s="215">
        <f>+IFERROR(IF(Y$19=Takstblad!I$3,VLOOKUP($A30,takstblad,9,FALSE)*I30,"fejl i år"),0)</f>
        <v>0</v>
      </c>
      <c r="Z30" s="215">
        <f>+IFERROR(IF(Z$19=Takstblad!J$3,VLOOKUP($A30,takstblad,10,FALSE)*J30,"fejl i år"),0)</f>
        <v>0</v>
      </c>
      <c r="AA30" s="215">
        <f>+IFERROR(IF(AA$19=Takstblad!K$3,VLOOKUP($A30,takstblad,11,FALSE)*K30,"fejl i år"),0)</f>
        <v>0</v>
      </c>
      <c r="AB30" s="215">
        <f>+IFERROR(IF(AB$19=Takstblad!L$3,VLOOKUP($A30,takstblad,12,FALSE)*L30,"fejl i år"),0)</f>
        <v>0</v>
      </c>
      <c r="AC30" s="216">
        <f t="shared" si="7"/>
        <v>0</v>
      </c>
      <c r="AD30" s="221"/>
      <c r="AE30" s="217">
        <f t="shared" ref="AE30:AE39" si="29">+M30*($C$7/12)</f>
        <v>0</v>
      </c>
      <c r="AF30" s="217">
        <f t="shared" ref="AF30:AF39" si="30">IFERROR(AC30/AE30,0)</f>
        <v>0</v>
      </c>
      <c r="AG30" s="221"/>
      <c r="AH30" s="217">
        <f t="shared" ref="AH30:AH39" si="31">+C30*($C$7/12)</f>
        <v>0</v>
      </c>
      <c r="AI30" s="217">
        <f t="shared" ref="AI30:AI39" si="32">IFERROR(S30/AH30,0)</f>
        <v>0</v>
      </c>
      <c r="AJ30" s="221"/>
      <c r="AK30" s="217">
        <f t="shared" ref="AK30:AK39" si="33">+D30*($C$7/12)</f>
        <v>0</v>
      </c>
      <c r="AL30" s="217">
        <f t="shared" ref="AL30:AL39" si="34">IFERROR(T30/AK30,0)</f>
        <v>0</v>
      </c>
      <c r="AM30" s="221"/>
      <c r="AN30" s="217">
        <f t="shared" ref="AN30:AN39" si="35">+E30*($C$7/12)</f>
        <v>0</v>
      </c>
      <c r="AO30" s="217">
        <f t="shared" ref="AO30:AO39" si="36">IFERROR(U30/AN30,0)</f>
        <v>0</v>
      </c>
      <c r="AP30" s="221"/>
      <c r="AQ30" s="217">
        <f t="shared" ref="AQ30:AQ39" si="37">+F30*($C$7/12)</f>
        <v>0</v>
      </c>
      <c r="AR30" s="217">
        <f t="shared" ref="AR30:AR39" si="38">IFERROR(V30/AQ30,0)</f>
        <v>0</v>
      </c>
      <c r="AS30" s="221"/>
      <c r="AT30" s="217">
        <f t="shared" ref="AT30:AT39" si="39">+G30*($C$7/12)</f>
        <v>0</v>
      </c>
      <c r="AU30" s="217">
        <f t="shared" ref="AU30:AU39" si="40">IFERROR(W30/AT30,0)</f>
        <v>0</v>
      </c>
      <c r="AV30" s="221"/>
      <c r="AW30" s="217">
        <f t="shared" ref="AW30:AW39" si="41">+H30*($C$7/12)</f>
        <v>0</v>
      </c>
      <c r="AX30" s="217">
        <f t="shared" ref="AX30:AX39" si="42">IFERROR(X30/AW30,0)</f>
        <v>0</v>
      </c>
      <c r="AY30" s="221"/>
      <c r="AZ30" s="217">
        <f t="shared" ref="AZ30:AZ39" si="43">+I30*($C$7/12)</f>
        <v>0</v>
      </c>
      <c r="BA30" s="217">
        <f t="shared" ref="BA30:BA39" si="44">IFERROR(Y30/AZ30,0)</f>
        <v>0</v>
      </c>
      <c r="BB30" s="221"/>
      <c r="BC30" s="217">
        <f t="shared" ref="BC30:BC39" si="45">+J30*($C$7/12)</f>
        <v>0</v>
      </c>
      <c r="BD30" s="217">
        <f>IFERROR(Z30/BC30,0)</f>
        <v>0</v>
      </c>
      <c r="BE30" s="221"/>
      <c r="BF30" s="217">
        <f t="shared" ref="BF30:BF39" si="46">+K30*($C$7/12)</f>
        <v>0</v>
      </c>
      <c r="BG30" s="217">
        <f t="shared" ref="BG30:BG39" si="47">IFERROR(AA30/BF30,0)</f>
        <v>0</v>
      </c>
      <c r="BH30" s="221"/>
      <c r="BI30" s="217">
        <f t="shared" ref="BI30:BI39" si="48">+L30*($C$7/12)</f>
        <v>0</v>
      </c>
      <c r="BJ30" s="217">
        <f t="shared" ref="BJ30:BJ39" si="49">IFERROR(AB30/BI30,0)</f>
        <v>0</v>
      </c>
    </row>
    <row r="31" spans="1:62" ht="15.65" hidden="1" customHeight="1" outlineLevel="1">
      <c r="A31" s="7" t="s">
        <v>1238</v>
      </c>
      <c r="B31" s="4" t="str">
        <f>+VLOOKUP(A31,Takstblad!$A$5:$B$30,2,FALSE)</f>
        <v/>
      </c>
      <c r="C31" s="285"/>
      <c r="D31" s="285"/>
      <c r="E31" s="285"/>
      <c r="F31" s="285"/>
      <c r="G31" s="285"/>
      <c r="H31" s="285"/>
      <c r="I31" s="285"/>
      <c r="J31" s="285"/>
      <c r="K31" s="286"/>
      <c r="L31" s="286"/>
      <c r="M31" s="47">
        <f t="shared" si="27"/>
        <v>0</v>
      </c>
      <c r="N31" s="285"/>
      <c r="O31" s="285" t="s">
        <v>113</v>
      </c>
      <c r="Q31" s="16"/>
      <c r="R31" s="21">
        <f t="shared" si="28"/>
        <v>0</v>
      </c>
      <c r="S31" s="25">
        <f>+IFERROR(IF(S$19=Takstblad!C$3,VLOOKUP($A31,takstblad,3,FALSE)*C31,"fejl i år"),0)</f>
        <v>0</v>
      </c>
      <c r="T31" s="25">
        <f>+IFERROR(IF(T$19=Takstblad!D$3,VLOOKUP($A31,takstblad,4,FALSE)*D31,"fejl i år"),0)</f>
        <v>0</v>
      </c>
      <c r="U31" s="25">
        <f>+IFERROR(IF(U$19=Takstblad!E$3,VLOOKUP($A31,takstblad,5,FALSE)*E31,"fejl i år"),0)</f>
        <v>0</v>
      </c>
      <c r="V31" s="25">
        <f>+IFERROR(IF(V$19=Takstblad!F$3,VLOOKUP($A31,takstblad,6,FALSE)*F31,"fejl i år"),0)</f>
        <v>0</v>
      </c>
      <c r="W31" s="25">
        <f>+IFERROR(IF(W$19=Takstblad!G$3,VLOOKUP($A31,takstblad,7,FALSE)*G31,"fejl i år"),0)</f>
        <v>0</v>
      </c>
      <c r="X31" s="25">
        <f>+IFERROR(IF(X$19=Takstblad!H$3,VLOOKUP($A31,takstblad,8,FALSE)*H31,"fejl i år"),0)</f>
        <v>0</v>
      </c>
      <c r="Y31" s="25">
        <f>+IFERROR(IF(Y$19=Takstblad!I$3,VLOOKUP($A31,takstblad,9,FALSE)*I31,"fejl i år"),0)</f>
        <v>0</v>
      </c>
      <c r="Z31" s="25">
        <f>+IFERROR(IF(Z$19=Takstblad!J$3,VLOOKUP($A31,takstblad,10,FALSE)*J31,"fejl i år"),0)</f>
        <v>0</v>
      </c>
      <c r="AA31" s="25">
        <f>+IFERROR(IF(AA$19=Takstblad!K$3,VLOOKUP($A31,takstblad,11,FALSE)*K31,"fejl i år"),0)</f>
        <v>0</v>
      </c>
      <c r="AB31" s="25">
        <f>+IFERROR(IF(AB$19=Takstblad!L$3,VLOOKUP($A31,takstblad,12,FALSE)*L31,"fejl i år"),0)</f>
        <v>0</v>
      </c>
      <c r="AC31" s="21">
        <f t="shared" si="7"/>
        <v>0</v>
      </c>
      <c r="AD31" s="221"/>
      <c r="AE31" s="25">
        <f t="shared" si="29"/>
        <v>0</v>
      </c>
      <c r="AF31" s="25">
        <f t="shared" si="30"/>
        <v>0</v>
      </c>
      <c r="AG31" s="221"/>
      <c r="AH31" s="25">
        <f t="shared" si="31"/>
        <v>0</v>
      </c>
      <c r="AI31" s="25">
        <f t="shared" si="32"/>
        <v>0</v>
      </c>
      <c r="AJ31" s="221"/>
      <c r="AK31" s="25">
        <f t="shared" si="33"/>
        <v>0</v>
      </c>
      <c r="AL31" s="25">
        <f t="shared" si="34"/>
        <v>0</v>
      </c>
      <c r="AM31" s="221"/>
      <c r="AN31" s="25">
        <f t="shared" si="35"/>
        <v>0</v>
      </c>
      <c r="AO31" s="25">
        <f t="shared" si="36"/>
        <v>0</v>
      </c>
      <c r="AP31" s="221"/>
      <c r="AQ31" s="25">
        <f t="shared" si="37"/>
        <v>0</v>
      </c>
      <c r="AR31" s="25">
        <f t="shared" si="38"/>
        <v>0</v>
      </c>
      <c r="AS31" s="221"/>
      <c r="AT31" s="25">
        <f t="shared" si="39"/>
        <v>0</v>
      </c>
      <c r="AU31" s="25">
        <f t="shared" si="40"/>
        <v>0</v>
      </c>
      <c r="AV31" s="221"/>
      <c r="AW31" s="25">
        <f t="shared" si="41"/>
        <v>0</v>
      </c>
      <c r="AX31" s="25">
        <f t="shared" si="42"/>
        <v>0</v>
      </c>
      <c r="AY31" s="221"/>
      <c r="AZ31" s="25">
        <f t="shared" si="43"/>
        <v>0</v>
      </c>
      <c r="BA31" s="25">
        <f t="shared" si="44"/>
        <v>0</v>
      </c>
      <c r="BB31" s="221"/>
      <c r="BC31" s="25">
        <f t="shared" si="45"/>
        <v>0</v>
      </c>
      <c r="BD31" s="25">
        <f t="shared" ref="BD31:BD39" si="50">IFERROR(Z31/BC31,0)</f>
        <v>0</v>
      </c>
      <c r="BE31" s="221"/>
      <c r="BF31" s="25">
        <f t="shared" si="46"/>
        <v>0</v>
      </c>
      <c r="BG31" s="25">
        <f t="shared" si="47"/>
        <v>0</v>
      </c>
      <c r="BH31" s="221"/>
      <c r="BI31" s="25">
        <f t="shared" si="48"/>
        <v>0</v>
      </c>
      <c r="BJ31" s="25">
        <f t="shared" si="49"/>
        <v>0</v>
      </c>
    </row>
    <row r="32" spans="1:62" ht="15.65" hidden="1" customHeight="1" outlineLevel="1">
      <c r="A32" s="212" t="s">
        <v>1238</v>
      </c>
      <c r="B32" s="4" t="str">
        <f>+VLOOKUP(A32,Takstblad!$A$5:$B$30,2,FALSE)</f>
        <v/>
      </c>
      <c r="C32" s="285"/>
      <c r="D32" s="285"/>
      <c r="E32" s="285"/>
      <c r="F32" s="285"/>
      <c r="G32" s="285"/>
      <c r="H32" s="285"/>
      <c r="I32" s="285"/>
      <c r="J32" s="285"/>
      <c r="K32" s="286"/>
      <c r="L32" s="286"/>
      <c r="M32" s="47">
        <f t="shared" si="27"/>
        <v>0</v>
      </c>
      <c r="N32" s="285"/>
      <c r="O32" s="285" t="s">
        <v>113</v>
      </c>
      <c r="P32" s="212"/>
      <c r="Q32" s="214"/>
      <c r="R32" s="216">
        <f t="shared" si="28"/>
        <v>0</v>
      </c>
      <c r="S32" s="215">
        <f>+IFERROR(IF(S$19=Takstblad!C$3,VLOOKUP($A32,takstblad,3,FALSE)*C32,"fejl i år"),0)</f>
        <v>0</v>
      </c>
      <c r="T32" s="215">
        <f>+IFERROR(IF(T$19=Takstblad!D$3,VLOOKUP($A32,takstblad,4,FALSE)*D32,"fejl i år"),0)</f>
        <v>0</v>
      </c>
      <c r="U32" s="215">
        <f>+IFERROR(IF(U$19=Takstblad!E$3,VLOOKUP($A32,takstblad,5,FALSE)*E32,"fejl i år"),0)</f>
        <v>0</v>
      </c>
      <c r="V32" s="215">
        <f>+IFERROR(IF(V$19=Takstblad!F$3,VLOOKUP($A32,takstblad,6,FALSE)*F32,"fejl i år"),0)</f>
        <v>0</v>
      </c>
      <c r="W32" s="215">
        <f>+IFERROR(IF(W$19=Takstblad!G$3,VLOOKUP($A32,takstblad,7,FALSE)*G32,"fejl i år"),0)</f>
        <v>0</v>
      </c>
      <c r="X32" s="215">
        <f>+IFERROR(IF(X$19=Takstblad!H$3,VLOOKUP($A32,takstblad,8,FALSE)*H32,"fejl i år"),0)</f>
        <v>0</v>
      </c>
      <c r="Y32" s="215">
        <f>+IFERROR(IF(Y$19=Takstblad!I$3,VLOOKUP($A32,takstblad,9,FALSE)*I32,"fejl i år"),0)</f>
        <v>0</v>
      </c>
      <c r="Z32" s="215">
        <f>+IFERROR(IF(Z$19=Takstblad!J$3,VLOOKUP($A32,takstblad,10,FALSE)*J32,"fejl i år"),0)</f>
        <v>0</v>
      </c>
      <c r="AA32" s="215">
        <f>+IFERROR(IF(AA$19=Takstblad!K$3,VLOOKUP($A32,takstblad,11,FALSE)*K32,"fejl i år"),0)</f>
        <v>0</v>
      </c>
      <c r="AB32" s="215">
        <f>+IFERROR(IF(AB$19=Takstblad!L$3,VLOOKUP($A32,takstblad,12,FALSE)*L32,"fejl i år"),0)</f>
        <v>0</v>
      </c>
      <c r="AC32" s="216">
        <f t="shared" si="7"/>
        <v>0</v>
      </c>
      <c r="AD32" s="221"/>
      <c r="AE32" s="217">
        <f t="shared" si="29"/>
        <v>0</v>
      </c>
      <c r="AF32" s="217">
        <f t="shared" si="30"/>
        <v>0</v>
      </c>
      <c r="AG32" s="221"/>
      <c r="AH32" s="217">
        <f t="shared" si="31"/>
        <v>0</v>
      </c>
      <c r="AI32" s="217">
        <f t="shared" si="32"/>
        <v>0</v>
      </c>
      <c r="AJ32" s="221"/>
      <c r="AK32" s="217">
        <f t="shared" si="33"/>
        <v>0</v>
      </c>
      <c r="AL32" s="217">
        <f t="shared" si="34"/>
        <v>0</v>
      </c>
      <c r="AM32" s="221"/>
      <c r="AN32" s="217">
        <f t="shared" si="35"/>
        <v>0</v>
      </c>
      <c r="AO32" s="217">
        <f t="shared" si="36"/>
        <v>0</v>
      </c>
      <c r="AP32" s="221"/>
      <c r="AQ32" s="217">
        <f t="shared" si="37"/>
        <v>0</v>
      </c>
      <c r="AR32" s="217">
        <f t="shared" si="38"/>
        <v>0</v>
      </c>
      <c r="AS32" s="221"/>
      <c r="AT32" s="217">
        <f t="shared" si="39"/>
        <v>0</v>
      </c>
      <c r="AU32" s="217">
        <f t="shared" si="40"/>
        <v>0</v>
      </c>
      <c r="AV32" s="221"/>
      <c r="AW32" s="217">
        <f t="shared" si="41"/>
        <v>0</v>
      </c>
      <c r="AX32" s="217">
        <f t="shared" si="42"/>
        <v>0</v>
      </c>
      <c r="AY32" s="221"/>
      <c r="AZ32" s="217">
        <f t="shared" si="43"/>
        <v>0</v>
      </c>
      <c r="BA32" s="217">
        <f t="shared" si="44"/>
        <v>0</v>
      </c>
      <c r="BB32" s="221"/>
      <c r="BC32" s="217">
        <f t="shared" si="45"/>
        <v>0</v>
      </c>
      <c r="BD32" s="217">
        <f t="shared" si="50"/>
        <v>0</v>
      </c>
      <c r="BE32" s="221"/>
      <c r="BF32" s="217">
        <f t="shared" si="46"/>
        <v>0</v>
      </c>
      <c r="BG32" s="217">
        <f t="shared" si="47"/>
        <v>0</v>
      </c>
      <c r="BH32" s="221"/>
      <c r="BI32" s="217">
        <f t="shared" si="48"/>
        <v>0</v>
      </c>
      <c r="BJ32" s="217">
        <f t="shared" si="49"/>
        <v>0</v>
      </c>
    </row>
    <row r="33" spans="1:62" ht="15.65" hidden="1" customHeight="1" outlineLevel="1">
      <c r="A33" s="7" t="s">
        <v>1238</v>
      </c>
      <c r="B33" s="4" t="str">
        <f>+VLOOKUP(A33,Takstblad!$A$5:$B$30,2,FALSE)</f>
        <v/>
      </c>
      <c r="C33" s="285"/>
      <c r="D33" s="285"/>
      <c r="E33" s="285"/>
      <c r="F33" s="285"/>
      <c r="G33" s="285"/>
      <c r="H33" s="285"/>
      <c r="I33" s="285"/>
      <c r="J33" s="285"/>
      <c r="K33" s="286"/>
      <c r="L33" s="286"/>
      <c r="M33" s="47">
        <f t="shared" si="27"/>
        <v>0</v>
      </c>
      <c r="N33" s="285"/>
      <c r="O33" s="285" t="s">
        <v>113</v>
      </c>
      <c r="Q33" s="16"/>
      <c r="R33" s="21">
        <f t="shared" si="28"/>
        <v>0</v>
      </c>
      <c r="S33" s="25">
        <f>+IFERROR(IF(S$19=Takstblad!C$3,VLOOKUP($A33,takstblad,3,FALSE)*C33,"fejl i år"),0)</f>
        <v>0</v>
      </c>
      <c r="T33" s="25">
        <f>+IFERROR(IF(T$19=Takstblad!D$3,VLOOKUP($A33,takstblad,4,FALSE)*D33,"fejl i år"),0)</f>
        <v>0</v>
      </c>
      <c r="U33" s="25">
        <f>+IFERROR(IF(U$19=Takstblad!E$3,VLOOKUP($A33,takstblad,5,FALSE)*E33,"fejl i år"),0)</f>
        <v>0</v>
      </c>
      <c r="V33" s="25">
        <f>+IFERROR(IF(V$19=Takstblad!F$3,VLOOKUP($A33,takstblad,6,FALSE)*F33,"fejl i år"),0)</f>
        <v>0</v>
      </c>
      <c r="W33" s="25">
        <f>+IFERROR(IF(W$19=Takstblad!G$3,VLOOKUP($A33,takstblad,7,FALSE)*G33,"fejl i år"),0)</f>
        <v>0</v>
      </c>
      <c r="X33" s="25">
        <f>+IFERROR(IF(X$19=Takstblad!H$3,VLOOKUP($A33,takstblad,8,FALSE)*H33,"fejl i år"),0)</f>
        <v>0</v>
      </c>
      <c r="Y33" s="25">
        <f>+IFERROR(IF(Y$19=Takstblad!I$3,VLOOKUP($A33,takstblad,9,FALSE)*I33,"fejl i år"),0)</f>
        <v>0</v>
      </c>
      <c r="Z33" s="25">
        <f>+IFERROR(IF(Z$19=Takstblad!J$3,VLOOKUP($A33,takstblad,10,FALSE)*J33,"fejl i år"),0)</f>
        <v>0</v>
      </c>
      <c r="AA33" s="25">
        <f>+IFERROR(IF(AA$19=Takstblad!K$3,VLOOKUP($A33,takstblad,11,FALSE)*K33,"fejl i år"),0)</f>
        <v>0</v>
      </c>
      <c r="AB33" s="25">
        <f>+IFERROR(IF(AB$19=Takstblad!L$3,VLOOKUP($A33,takstblad,12,FALSE)*L33,"fejl i år"),0)</f>
        <v>0</v>
      </c>
      <c r="AC33" s="21">
        <f t="shared" si="7"/>
        <v>0</v>
      </c>
      <c r="AD33" s="221"/>
      <c r="AE33" s="25">
        <f t="shared" si="29"/>
        <v>0</v>
      </c>
      <c r="AF33" s="25">
        <f t="shared" si="30"/>
        <v>0</v>
      </c>
      <c r="AG33" s="221"/>
      <c r="AH33" s="25">
        <f t="shared" si="31"/>
        <v>0</v>
      </c>
      <c r="AI33" s="25">
        <f t="shared" si="32"/>
        <v>0</v>
      </c>
      <c r="AJ33" s="221"/>
      <c r="AK33" s="25">
        <f t="shared" si="33"/>
        <v>0</v>
      </c>
      <c r="AL33" s="25">
        <f t="shared" si="34"/>
        <v>0</v>
      </c>
      <c r="AM33" s="221"/>
      <c r="AN33" s="25">
        <f t="shared" si="35"/>
        <v>0</v>
      </c>
      <c r="AO33" s="25">
        <f t="shared" si="36"/>
        <v>0</v>
      </c>
      <c r="AP33" s="221"/>
      <c r="AQ33" s="25">
        <f t="shared" si="37"/>
        <v>0</v>
      </c>
      <c r="AR33" s="25">
        <f t="shared" si="38"/>
        <v>0</v>
      </c>
      <c r="AS33" s="221"/>
      <c r="AT33" s="25">
        <f t="shared" si="39"/>
        <v>0</v>
      </c>
      <c r="AU33" s="25">
        <f t="shared" si="40"/>
        <v>0</v>
      </c>
      <c r="AV33" s="221"/>
      <c r="AW33" s="25">
        <f t="shared" si="41"/>
        <v>0</v>
      </c>
      <c r="AX33" s="25">
        <f t="shared" si="42"/>
        <v>0</v>
      </c>
      <c r="AY33" s="221"/>
      <c r="AZ33" s="25">
        <f t="shared" si="43"/>
        <v>0</v>
      </c>
      <c r="BA33" s="25">
        <f t="shared" si="44"/>
        <v>0</v>
      </c>
      <c r="BB33" s="221"/>
      <c r="BC33" s="25">
        <f t="shared" si="45"/>
        <v>0</v>
      </c>
      <c r="BD33" s="25">
        <f t="shared" si="50"/>
        <v>0</v>
      </c>
      <c r="BE33" s="221"/>
      <c r="BF33" s="25">
        <f t="shared" si="46"/>
        <v>0</v>
      </c>
      <c r="BG33" s="25">
        <f t="shared" si="47"/>
        <v>0</v>
      </c>
      <c r="BH33" s="221"/>
      <c r="BI33" s="25">
        <f t="shared" si="48"/>
        <v>0</v>
      </c>
      <c r="BJ33" s="25">
        <f t="shared" si="49"/>
        <v>0</v>
      </c>
    </row>
    <row r="34" spans="1:62" ht="15.65" hidden="1" customHeight="1" outlineLevel="1">
      <c r="A34" s="212" t="s">
        <v>1238</v>
      </c>
      <c r="B34" s="4" t="str">
        <f>+VLOOKUP(A34,Takstblad!$A$5:$B$30,2,FALSE)</f>
        <v/>
      </c>
      <c r="C34" s="285"/>
      <c r="D34" s="285"/>
      <c r="E34" s="285"/>
      <c r="F34" s="285"/>
      <c r="G34" s="285"/>
      <c r="H34" s="285"/>
      <c r="I34" s="285"/>
      <c r="J34" s="285"/>
      <c r="K34" s="286"/>
      <c r="L34" s="286"/>
      <c r="M34" s="47">
        <f>SUM(C34:L34)</f>
        <v>0</v>
      </c>
      <c r="N34" s="285"/>
      <c r="O34" s="285" t="s">
        <v>113</v>
      </c>
      <c r="P34" s="212"/>
      <c r="Q34" s="214"/>
      <c r="R34" s="216">
        <f t="shared" si="28"/>
        <v>0</v>
      </c>
      <c r="S34" s="215">
        <f>+IFERROR(IF(S$19=Takstblad!C$3,VLOOKUP($A34,takstblad,3,FALSE)*C34,"fejl i år"),0)</f>
        <v>0</v>
      </c>
      <c r="T34" s="215">
        <f>+IFERROR(IF(T$19=Takstblad!D$3,VLOOKUP($A34,takstblad,4,FALSE)*D34,"fejl i år"),0)</f>
        <v>0</v>
      </c>
      <c r="U34" s="215">
        <f>+IFERROR(IF(U$19=Takstblad!E$3,VLOOKUP($A34,takstblad,5,FALSE)*E34,"fejl i år"),0)</f>
        <v>0</v>
      </c>
      <c r="V34" s="215">
        <f>+IFERROR(IF(V$19=Takstblad!F$3,VLOOKUP($A34,takstblad,6,FALSE)*F34,"fejl i år"),0)</f>
        <v>0</v>
      </c>
      <c r="W34" s="215">
        <f>+IFERROR(IF(W$19=Takstblad!G$3,VLOOKUP($A34,takstblad,7,FALSE)*G34,"fejl i år"),0)</f>
        <v>0</v>
      </c>
      <c r="X34" s="215">
        <f>+IFERROR(IF(X$19=Takstblad!H$3,VLOOKUP($A34,takstblad,8,FALSE)*H34,"fejl i år"),0)</f>
        <v>0</v>
      </c>
      <c r="Y34" s="215">
        <f>+IFERROR(IF(Y$19=Takstblad!I$3,VLOOKUP($A34,takstblad,9,FALSE)*I34,"fejl i år"),0)</f>
        <v>0</v>
      </c>
      <c r="Z34" s="215">
        <f>+IFERROR(IF(Z$19=Takstblad!J$3,VLOOKUP($A34,takstblad,10,FALSE)*J34,"fejl i år"),0)</f>
        <v>0</v>
      </c>
      <c r="AA34" s="215">
        <f>+IFERROR(IF(AA$19=Takstblad!K$3,VLOOKUP($A34,takstblad,11,FALSE)*K34,"fejl i år"),0)</f>
        <v>0</v>
      </c>
      <c r="AB34" s="215">
        <f>+IFERROR(IF(AB$19=Takstblad!L$3,VLOOKUP($A34,takstblad,12,FALSE)*L34,"fejl i år"),0)</f>
        <v>0</v>
      </c>
      <c r="AC34" s="216">
        <f t="shared" si="7"/>
        <v>0</v>
      </c>
      <c r="AD34" s="221"/>
      <c r="AE34" s="217">
        <f t="shared" si="29"/>
        <v>0</v>
      </c>
      <c r="AF34" s="217">
        <f t="shared" si="30"/>
        <v>0</v>
      </c>
      <c r="AG34" s="221"/>
      <c r="AH34" s="217">
        <f t="shared" si="31"/>
        <v>0</v>
      </c>
      <c r="AI34" s="217">
        <f t="shared" si="32"/>
        <v>0</v>
      </c>
      <c r="AJ34" s="221"/>
      <c r="AK34" s="217">
        <f t="shared" si="33"/>
        <v>0</v>
      </c>
      <c r="AL34" s="217">
        <f t="shared" si="34"/>
        <v>0</v>
      </c>
      <c r="AM34" s="221"/>
      <c r="AN34" s="217">
        <f t="shared" si="35"/>
        <v>0</v>
      </c>
      <c r="AO34" s="217">
        <f t="shared" si="36"/>
        <v>0</v>
      </c>
      <c r="AP34" s="221"/>
      <c r="AQ34" s="217">
        <f t="shared" si="37"/>
        <v>0</v>
      </c>
      <c r="AR34" s="217">
        <f t="shared" si="38"/>
        <v>0</v>
      </c>
      <c r="AS34" s="221"/>
      <c r="AT34" s="217">
        <f t="shared" si="39"/>
        <v>0</v>
      </c>
      <c r="AU34" s="217">
        <f t="shared" si="40"/>
        <v>0</v>
      </c>
      <c r="AV34" s="221"/>
      <c r="AW34" s="217">
        <f t="shared" si="41"/>
        <v>0</v>
      </c>
      <c r="AX34" s="217">
        <f t="shared" si="42"/>
        <v>0</v>
      </c>
      <c r="AY34" s="221"/>
      <c r="AZ34" s="217">
        <f t="shared" si="43"/>
        <v>0</v>
      </c>
      <c r="BA34" s="217">
        <f t="shared" si="44"/>
        <v>0</v>
      </c>
      <c r="BB34" s="221"/>
      <c r="BC34" s="217">
        <f t="shared" si="45"/>
        <v>0</v>
      </c>
      <c r="BD34" s="217">
        <f t="shared" si="50"/>
        <v>0</v>
      </c>
      <c r="BE34" s="221"/>
      <c r="BF34" s="217">
        <f t="shared" si="46"/>
        <v>0</v>
      </c>
      <c r="BG34" s="217">
        <f t="shared" si="47"/>
        <v>0</v>
      </c>
      <c r="BH34" s="221"/>
      <c r="BI34" s="217">
        <f t="shared" si="48"/>
        <v>0</v>
      </c>
      <c r="BJ34" s="217">
        <f t="shared" si="49"/>
        <v>0</v>
      </c>
    </row>
    <row r="35" spans="1:62" ht="15.65" hidden="1" customHeight="1" outlineLevel="1">
      <c r="A35" s="7" t="s">
        <v>1238</v>
      </c>
      <c r="B35" s="4" t="str">
        <f>+VLOOKUP(A35,Takstblad!$A$5:$B$30,2,FALSE)</f>
        <v/>
      </c>
      <c r="C35" s="285"/>
      <c r="D35" s="285"/>
      <c r="E35" s="285"/>
      <c r="F35" s="285"/>
      <c r="G35" s="285"/>
      <c r="H35" s="285"/>
      <c r="I35" s="285"/>
      <c r="J35" s="285"/>
      <c r="K35" s="286"/>
      <c r="L35" s="286"/>
      <c r="M35" s="47">
        <f t="shared" si="27"/>
        <v>0</v>
      </c>
      <c r="N35" s="285"/>
      <c r="O35" s="285" t="s">
        <v>113</v>
      </c>
      <c r="Q35" s="16"/>
      <c r="R35" s="21">
        <f t="shared" si="28"/>
        <v>0</v>
      </c>
      <c r="S35" s="25">
        <f>+IFERROR(IF(S$19=Takstblad!C$3,VLOOKUP($A35,takstblad,3,FALSE)*C35,"fejl i år"),0)</f>
        <v>0</v>
      </c>
      <c r="T35" s="25">
        <f>+IFERROR(IF(T$19=Takstblad!D$3,VLOOKUP($A35,takstblad,4,FALSE)*D35,"fejl i år"),0)</f>
        <v>0</v>
      </c>
      <c r="U35" s="25">
        <f>+IFERROR(IF(U$19=Takstblad!E$3,VLOOKUP($A35,takstblad,5,FALSE)*E35,"fejl i år"),0)</f>
        <v>0</v>
      </c>
      <c r="V35" s="25">
        <f>+IFERROR(IF(V$19=Takstblad!F$3,VLOOKUP($A35,takstblad,6,FALSE)*F35,"fejl i år"),0)</f>
        <v>0</v>
      </c>
      <c r="W35" s="25">
        <f>+IFERROR(IF(W$19=Takstblad!G$3,VLOOKUP($A35,takstblad,7,FALSE)*G35,"fejl i år"),0)</f>
        <v>0</v>
      </c>
      <c r="X35" s="25">
        <f>+IFERROR(IF(X$19=Takstblad!H$3,VLOOKUP($A35,takstblad,8,FALSE)*H35,"fejl i år"),0)</f>
        <v>0</v>
      </c>
      <c r="Y35" s="25">
        <f>+IFERROR(IF(Y$19=Takstblad!I$3,VLOOKUP($A35,takstblad,9,FALSE)*I35,"fejl i år"),0)</f>
        <v>0</v>
      </c>
      <c r="Z35" s="25">
        <f>+IFERROR(IF(Z$19=Takstblad!J$3,VLOOKUP($A35,takstblad,10,FALSE)*J35,"fejl i år"),0)</f>
        <v>0</v>
      </c>
      <c r="AA35" s="25">
        <f>+IFERROR(IF(AA$19=Takstblad!K$3,VLOOKUP($A35,takstblad,11,FALSE)*K35,"fejl i år"),0)</f>
        <v>0</v>
      </c>
      <c r="AB35" s="25">
        <f>+IFERROR(IF(AB$19=Takstblad!L$3,VLOOKUP($A35,takstblad,12,FALSE)*L35,"fejl i år"),0)</f>
        <v>0</v>
      </c>
      <c r="AC35" s="21">
        <f t="shared" si="7"/>
        <v>0</v>
      </c>
      <c r="AD35" s="221"/>
      <c r="AE35" s="25">
        <f t="shared" si="29"/>
        <v>0</v>
      </c>
      <c r="AF35" s="25">
        <f t="shared" si="30"/>
        <v>0</v>
      </c>
      <c r="AG35" s="221"/>
      <c r="AH35" s="25">
        <f t="shared" si="31"/>
        <v>0</v>
      </c>
      <c r="AI35" s="25">
        <f t="shared" si="32"/>
        <v>0</v>
      </c>
      <c r="AJ35" s="221"/>
      <c r="AK35" s="25">
        <f t="shared" si="33"/>
        <v>0</v>
      </c>
      <c r="AL35" s="25">
        <f t="shared" si="34"/>
        <v>0</v>
      </c>
      <c r="AM35" s="221"/>
      <c r="AN35" s="25">
        <f t="shared" si="35"/>
        <v>0</v>
      </c>
      <c r="AO35" s="25">
        <f t="shared" si="36"/>
        <v>0</v>
      </c>
      <c r="AP35" s="221"/>
      <c r="AQ35" s="25">
        <f t="shared" si="37"/>
        <v>0</v>
      </c>
      <c r="AR35" s="25">
        <f t="shared" si="38"/>
        <v>0</v>
      </c>
      <c r="AS35" s="221"/>
      <c r="AT35" s="25">
        <f t="shared" si="39"/>
        <v>0</v>
      </c>
      <c r="AU35" s="25">
        <f t="shared" si="40"/>
        <v>0</v>
      </c>
      <c r="AV35" s="221"/>
      <c r="AW35" s="25">
        <f t="shared" si="41"/>
        <v>0</v>
      </c>
      <c r="AX35" s="25">
        <f t="shared" si="42"/>
        <v>0</v>
      </c>
      <c r="AY35" s="221"/>
      <c r="AZ35" s="25">
        <f t="shared" si="43"/>
        <v>0</v>
      </c>
      <c r="BA35" s="25">
        <f t="shared" si="44"/>
        <v>0</v>
      </c>
      <c r="BB35" s="221"/>
      <c r="BC35" s="25">
        <f t="shared" si="45"/>
        <v>0</v>
      </c>
      <c r="BD35" s="25">
        <f t="shared" si="50"/>
        <v>0</v>
      </c>
      <c r="BE35" s="221"/>
      <c r="BF35" s="25">
        <f t="shared" si="46"/>
        <v>0</v>
      </c>
      <c r="BG35" s="25">
        <f t="shared" si="47"/>
        <v>0</v>
      </c>
      <c r="BH35" s="221"/>
      <c r="BI35" s="25">
        <f t="shared" si="48"/>
        <v>0</v>
      </c>
      <c r="BJ35" s="25">
        <f t="shared" si="49"/>
        <v>0</v>
      </c>
    </row>
    <row r="36" spans="1:62" ht="15.65" hidden="1" customHeight="1" outlineLevel="1">
      <c r="A36" s="212" t="s">
        <v>1238</v>
      </c>
      <c r="B36" s="4" t="str">
        <f>+VLOOKUP(A36,Takstblad!$A$5:$B$30,2,FALSE)</f>
        <v/>
      </c>
      <c r="C36" s="285"/>
      <c r="D36" s="285"/>
      <c r="E36" s="285"/>
      <c r="F36" s="285"/>
      <c r="G36" s="285"/>
      <c r="H36" s="285"/>
      <c r="I36" s="285"/>
      <c r="J36" s="285"/>
      <c r="K36" s="286"/>
      <c r="L36" s="286"/>
      <c r="M36" s="47">
        <f t="shared" si="27"/>
        <v>0</v>
      </c>
      <c r="N36" s="285"/>
      <c r="O36" s="285" t="s">
        <v>113</v>
      </c>
      <c r="P36" s="212"/>
      <c r="Q36" s="214"/>
      <c r="R36" s="216">
        <f t="shared" si="28"/>
        <v>0</v>
      </c>
      <c r="S36" s="215">
        <f>+IFERROR(IF(S$19=Takstblad!C$3,VLOOKUP($A36,takstblad,3,FALSE)*C36,"fejl i år"),0)</f>
        <v>0</v>
      </c>
      <c r="T36" s="215">
        <f>+IFERROR(IF(T$19=Takstblad!D$3,VLOOKUP($A36,takstblad,4,FALSE)*D36,"fejl i år"),0)</f>
        <v>0</v>
      </c>
      <c r="U36" s="215">
        <f>+IFERROR(IF(U$19=Takstblad!E$3,VLOOKUP($A36,takstblad,5,FALSE)*E36,"fejl i år"),0)</f>
        <v>0</v>
      </c>
      <c r="V36" s="215">
        <f>+IFERROR(IF(V$19=Takstblad!F$3,VLOOKUP($A36,takstblad,6,FALSE)*F36,"fejl i år"),0)</f>
        <v>0</v>
      </c>
      <c r="W36" s="215">
        <f>+IFERROR(IF(W$19=Takstblad!G$3,VLOOKUP($A36,takstblad,7,FALSE)*G36,"fejl i år"),0)</f>
        <v>0</v>
      </c>
      <c r="X36" s="215">
        <f>+IFERROR(IF(X$19=Takstblad!H$3,VLOOKUP($A36,takstblad,8,FALSE)*H36,"fejl i år"),0)</f>
        <v>0</v>
      </c>
      <c r="Y36" s="215">
        <f>+IFERROR(IF(Y$19=Takstblad!I$3,VLOOKUP($A36,takstblad,9,FALSE)*I36,"fejl i år"),0)</f>
        <v>0</v>
      </c>
      <c r="Z36" s="215">
        <f>+IFERROR(IF(Z$19=Takstblad!J$3,VLOOKUP($A36,takstblad,10,FALSE)*J36,"fejl i år"),0)</f>
        <v>0</v>
      </c>
      <c r="AA36" s="215">
        <f>+IFERROR(IF(AA$19=Takstblad!K$3,VLOOKUP($A36,takstblad,11,FALSE)*K36,"fejl i år"),0)</f>
        <v>0</v>
      </c>
      <c r="AB36" s="215">
        <f>+IFERROR(IF(AB$19=Takstblad!L$3,VLOOKUP($A36,takstblad,12,FALSE)*L36,"fejl i år"),0)</f>
        <v>0</v>
      </c>
      <c r="AC36" s="216">
        <f t="shared" si="7"/>
        <v>0</v>
      </c>
      <c r="AD36" s="221"/>
      <c r="AE36" s="217">
        <f t="shared" si="29"/>
        <v>0</v>
      </c>
      <c r="AF36" s="217">
        <f t="shared" si="30"/>
        <v>0</v>
      </c>
      <c r="AG36" s="221"/>
      <c r="AH36" s="217">
        <f t="shared" si="31"/>
        <v>0</v>
      </c>
      <c r="AI36" s="217">
        <f t="shared" si="32"/>
        <v>0</v>
      </c>
      <c r="AJ36" s="221"/>
      <c r="AK36" s="217">
        <f t="shared" si="33"/>
        <v>0</v>
      </c>
      <c r="AL36" s="217">
        <f t="shared" si="34"/>
        <v>0</v>
      </c>
      <c r="AM36" s="221"/>
      <c r="AN36" s="217">
        <f t="shared" si="35"/>
        <v>0</v>
      </c>
      <c r="AO36" s="217">
        <f t="shared" si="36"/>
        <v>0</v>
      </c>
      <c r="AP36" s="221"/>
      <c r="AQ36" s="217">
        <f t="shared" si="37"/>
        <v>0</v>
      </c>
      <c r="AR36" s="217">
        <f t="shared" si="38"/>
        <v>0</v>
      </c>
      <c r="AS36" s="221"/>
      <c r="AT36" s="217">
        <f t="shared" si="39"/>
        <v>0</v>
      </c>
      <c r="AU36" s="217">
        <f t="shared" si="40"/>
        <v>0</v>
      </c>
      <c r="AV36" s="221"/>
      <c r="AW36" s="217">
        <f t="shared" si="41"/>
        <v>0</v>
      </c>
      <c r="AX36" s="217">
        <f t="shared" si="42"/>
        <v>0</v>
      </c>
      <c r="AY36" s="221"/>
      <c r="AZ36" s="217">
        <f t="shared" si="43"/>
        <v>0</v>
      </c>
      <c r="BA36" s="217">
        <f t="shared" si="44"/>
        <v>0</v>
      </c>
      <c r="BB36" s="221"/>
      <c r="BC36" s="217">
        <f t="shared" si="45"/>
        <v>0</v>
      </c>
      <c r="BD36" s="217">
        <f t="shared" si="50"/>
        <v>0</v>
      </c>
      <c r="BE36" s="221"/>
      <c r="BF36" s="217">
        <f t="shared" si="46"/>
        <v>0</v>
      </c>
      <c r="BG36" s="217">
        <f t="shared" si="47"/>
        <v>0</v>
      </c>
      <c r="BH36" s="221"/>
      <c r="BI36" s="217">
        <f t="shared" si="48"/>
        <v>0</v>
      </c>
      <c r="BJ36" s="217">
        <f t="shared" si="49"/>
        <v>0</v>
      </c>
    </row>
    <row r="37" spans="1:62" ht="15.65" hidden="1" customHeight="1" outlineLevel="1">
      <c r="A37" s="7" t="s">
        <v>1238</v>
      </c>
      <c r="B37" s="4" t="str">
        <f>+VLOOKUP(A37,Takstblad!$A$5:$B$30,2,FALSE)</f>
        <v/>
      </c>
      <c r="C37" s="285"/>
      <c r="D37" s="285"/>
      <c r="E37" s="285"/>
      <c r="F37" s="285"/>
      <c r="G37" s="285"/>
      <c r="H37" s="285"/>
      <c r="I37" s="285"/>
      <c r="J37" s="285"/>
      <c r="K37" s="286"/>
      <c r="L37" s="286"/>
      <c r="M37" s="47">
        <f t="shared" si="27"/>
        <v>0</v>
      </c>
      <c r="N37" s="285"/>
      <c r="O37" s="285" t="s">
        <v>113</v>
      </c>
      <c r="Q37" s="16"/>
      <c r="R37" s="21">
        <f t="shared" si="28"/>
        <v>0</v>
      </c>
      <c r="S37" s="25">
        <f>+IFERROR(IF(S$19=Takstblad!C$3,VLOOKUP($A37,takstblad,3,FALSE)*C37,"fejl i år"),0)</f>
        <v>0</v>
      </c>
      <c r="T37" s="25">
        <f>+IFERROR(IF(T$19=Takstblad!D$3,VLOOKUP($A37,takstblad,4,FALSE)*D37,"fejl i år"),0)</f>
        <v>0</v>
      </c>
      <c r="U37" s="25">
        <f>+IFERROR(IF(U$19=Takstblad!E$3,VLOOKUP($A37,takstblad,5,FALSE)*E37,"fejl i år"),0)</f>
        <v>0</v>
      </c>
      <c r="V37" s="25">
        <f>+IFERROR(IF(V$19=Takstblad!F$3,VLOOKUP($A37,takstblad,6,FALSE)*F37,"fejl i år"),0)</f>
        <v>0</v>
      </c>
      <c r="W37" s="25">
        <f>+IFERROR(IF(W$19=Takstblad!G$3,VLOOKUP($A37,takstblad,7,FALSE)*G37,"fejl i år"),0)</f>
        <v>0</v>
      </c>
      <c r="X37" s="25">
        <f>+IFERROR(IF(X$19=Takstblad!H$3,VLOOKUP($A37,takstblad,8,FALSE)*H37,"fejl i år"),0)</f>
        <v>0</v>
      </c>
      <c r="Y37" s="25">
        <f>+IFERROR(IF(Y$19=Takstblad!I$3,VLOOKUP($A37,takstblad,9,FALSE)*I37,"fejl i år"),0)</f>
        <v>0</v>
      </c>
      <c r="Z37" s="25">
        <f>+IFERROR(IF(Z$19=Takstblad!J$3,VLOOKUP($A37,takstblad,10,FALSE)*J37,"fejl i år"),0)</f>
        <v>0</v>
      </c>
      <c r="AA37" s="25">
        <f>+IFERROR(IF(AA$19=Takstblad!K$3,VLOOKUP($A37,takstblad,11,FALSE)*K37,"fejl i år"),0)</f>
        <v>0</v>
      </c>
      <c r="AB37" s="25">
        <f>+IFERROR(IF(AB$19=Takstblad!L$3,VLOOKUP($A37,takstblad,12,FALSE)*L37,"fejl i år"),0)</f>
        <v>0</v>
      </c>
      <c r="AC37" s="21">
        <f t="shared" si="7"/>
        <v>0</v>
      </c>
      <c r="AD37" s="221"/>
      <c r="AE37" s="25">
        <f t="shared" si="29"/>
        <v>0</v>
      </c>
      <c r="AF37" s="25">
        <f t="shared" si="30"/>
        <v>0</v>
      </c>
      <c r="AG37" s="221"/>
      <c r="AH37" s="25">
        <f t="shared" si="31"/>
        <v>0</v>
      </c>
      <c r="AI37" s="25">
        <f t="shared" si="32"/>
        <v>0</v>
      </c>
      <c r="AJ37" s="221"/>
      <c r="AK37" s="25">
        <f t="shared" si="33"/>
        <v>0</v>
      </c>
      <c r="AL37" s="25">
        <f t="shared" si="34"/>
        <v>0</v>
      </c>
      <c r="AM37" s="221"/>
      <c r="AN37" s="25">
        <f t="shared" si="35"/>
        <v>0</v>
      </c>
      <c r="AO37" s="25">
        <f t="shared" si="36"/>
        <v>0</v>
      </c>
      <c r="AP37" s="221"/>
      <c r="AQ37" s="25">
        <f t="shared" si="37"/>
        <v>0</v>
      </c>
      <c r="AR37" s="25">
        <f t="shared" si="38"/>
        <v>0</v>
      </c>
      <c r="AS37" s="221"/>
      <c r="AT37" s="25">
        <f t="shared" si="39"/>
        <v>0</v>
      </c>
      <c r="AU37" s="25">
        <f t="shared" si="40"/>
        <v>0</v>
      </c>
      <c r="AV37" s="221"/>
      <c r="AW37" s="25">
        <f t="shared" si="41"/>
        <v>0</v>
      </c>
      <c r="AX37" s="25">
        <f t="shared" si="42"/>
        <v>0</v>
      </c>
      <c r="AY37" s="221"/>
      <c r="AZ37" s="25">
        <f t="shared" si="43"/>
        <v>0</v>
      </c>
      <c r="BA37" s="25">
        <f t="shared" si="44"/>
        <v>0</v>
      </c>
      <c r="BB37" s="221"/>
      <c r="BC37" s="25">
        <f t="shared" si="45"/>
        <v>0</v>
      </c>
      <c r="BD37" s="25">
        <f t="shared" si="50"/>
        <v>0</v>
      </c>
      <c r="BE37" s="221"/>
      <c r="BF37" s="25">
        <f t="shared" si="46"/>
        <v>0</v>
      </c>
      <c r="BG37" s="25">
        <f t="shared" si="47"/>
        <v>0</v>
      </c>
      <c r="BH37" s="221"/>
      <c r="BI37" s="25">
        <f t="shared" si="48"/>
        <v>0</v>
      </c>
      <c r="BJ37" s="25">
        <f t="shared" si="49"/>
        <v>0</v>
      </c>
    </row>
    <row r="38" spans="1:62" ht="15.65" hidden="1" customHeight="1" outlineLevel="1">
      <c r="A38" s="212" t="s">
        <v>1238</v>
      </c>
      <c r="B38" s="4" t="str">
        <f>+VLOOKUP(A38,Takstblad!$A$5:$B$30,2,FALSE)</f>
        <v/>
      </c>
      <c r="C38" s="285"/>
      <c r="D38" s="285"/>
      <c r="E38" s="285"/>
      <c r="F38" s="285"/>
      <c r="G38" s="285"/>
      <c r="H38" s="285"/>
      <c r="I38" s="285"/>
      <c r="J38" s="285"/>
      <c r="K38" s="286"/>
      <c r="L38" s="286"/>
      <c r="M38" s="47">
        <f t="shared" si="27"/>
        <v>0</v>
      </c>
      <c r="N38" s="285"/>
      <c r="O38" s="285" t="s">
        <v>113</v>
      </c>
      <c r="P38" s="212"/>
      <c r="Q38" s="214"/>
      <c r="R38" s="216">
        <f>+AC38</f>
        <v>0</v>
      </c>
      <c r="S38" s="215">
        <f>+IFERROR(IF(S$19=Takstblad!C$3,VLOOKUP($A38,takstblad,3,FALSE)*C38,"fejl i år"),0)</f>
        <v>0</v>
      </c>
      <c r="T38" s="215">
        <f>+IFERROR(IF(T$19=Takstblad!D$3,VLOOKUP($A38,takstblad,4,FALSE)*D38,"fejl i år"),0)</f>
        <v>0</v>
      </c>
      <c r="U38" s="215">
        <f>+IFERROR(IF(U$19=Takstblad!E$3,VLOOKUP($A38,takstblad,5,FALSE)*E38,"fejl i år"),0)</f>
        <v>0</v>
      </c>
      <c r="V38" s="215">
        <f>+IFERROR(IF(V$19=Takstblad!F$3,VLOOKUP($A38,takstblad,6,FALSE)*F38,"fejl i år"),0)</f>
        <v>0</v>
      </c>
      <c r="W38" s="215">
        <f>+IFERROR(IF(W$19=Takstblad!G$3,VLOOKUP($A38,takstblad,7,FALSE)*G38,"fejl i år"),0)</f>
        <v>0</v>
      </c>
      <c r="X38" s="215">
        <f>+IFERROR(IF(X$19=Takstblad!H$3,VLOOKUP($A38,takstblad,8,FALSE)*H38,"fejl i år"),0)</f>
        <v>0</v>
      </c>
      <c r="Y38" s="215">
        <f>+IFERROR(IF(Y$19=Takstblad!I$3,VLOOKUP($A38,takstblad,9,FALSE)*I38,"fejl i år"),0)</f>
        <v>0</v>
      </c>
      <c r="Z38" s="215">
        <f>+IFERROR(IF(Z$19=Takstblad!J$3,VLOOKUP($A38,takstblad,10,FALSE)*J38,"fejl i år"),0)</f>
        <v>0</v>
      </c>
      <c r="AA38" s="215">
        <f>+IFERROR(IF(AA$19=Takstblad!K$3,VLOOKUP($A38,takstblad,11,FALSE)*K38,"fejl i år"),0)</f>
        <v>0</v>
      </c>
      <c r="AB38" s="215">
        <f>+IFERROR(IF(AB$19=Takstblad!L$3,VLOOKUP($A38,takstblad,12,FALSE)*L38,"fejl i år"),0)</f>
        <v>0</v>
      </c>
      <c r="AC38" s="216">
        <f t="shared" si="7"/>
        <v>0</v>
      </c>
      <c r="AD38" s="221"/>
      <c r="AE38" s="217">
        <f t="shared" si="29"/>
        <v>0</v>
      </c>
      <c r="AF38" s="217">
        <f t="shared" si="30"/>
        <v>0</v>
      </c>
      <c r="AG38" s="221"/>
      <c r="AH38" s="217">
        <f t="shared" si="31"/>
        <v>0</v>
      </c>
      <c r="AI38" s="217">
        <f t="shared" si="32"/>
        <v>0</v>
      </c>
      <c r="AJ38" s="221"/>
      <c r="AK38" s="217">
        <f t="shared" si="33"/>
        <v>0</v>
      </c>
      <c r="AL38" s="217">
        <f t="shared" si="34"/>
        <v>0</v>
      </c>
      <c r="AM38" s="221"/>
      <c r="AN38" s="217">
        <f t="shared" si="35"/>
        <v>0</v>
      </c>
      <c r="AO38" s="217">
        <f t="shared" si="36"/>
        <v>0</v>
      </c>
      <c r="AP38" s="221"/>
      <c r="AQ38" s="217">
        <f t="shared" si="37"/>
        <v>0</v>
      </c>
      <c r="AR38" s="217">
        <f t="shared" si="38"/>
        <v>0</v>
      </c>
      <c r="AS38" s="221"/>
      <c r="AT38" s="217">
        <f t="shared" si="39"/>
        <v>0</v>
      </c>
      <c r="AU38" s="217">
        <f t="shared" si="40"/>
        <v>0</v>
      </c>
      <c r="AV38" s="221"/>
      <c r="AW38" s="217">
        <f t="shared" si="41"/>
        <v>0</v>
      </c>
      <c r="AX38" s="217">
        <f t="shared" si="42"/>
        <v>0</v>
      </c>
      <c r="AY38" s="221"/>
      <c r="AZ38" s="217">
        <f t="shared" si="43"/>
        <v>0</v>
      </c>
      <c r="BA38" s="217">
        <f t="shared" si="44"/>
        <v>0</v>
      </c>
      <c r="BB38" s="221"/>
      <c r="BC38" s="217">
        <f t="shared" si="45"/>
        <v>0</v>
      </c>
      <c r="BD38" s="217">
        <f t="shared" si="50"/>
        <v>0</v>
      </c>
      <c r="BE38" s="221"/>
      <c r="BF38" s="217">
        <f t="shared" si="46"/>
        <v>0</v>
      </c>
      <c r="BG38" s="217">
        <f t="shared" si="47"/>
        <v>0</v>
      </c>
      <c r="BH38" s="221"/>
      <c r="BI38" s="217">
        <f t="shared" si="48"/>
        <v>0</v>
      </c>
      <c r="BJ38" s="217">
        <f t="shared" si="49"/>
        <v>0</v>
      </c>
    </row>
    <row r="39" spans="1:62" ht="15.65" hidden="1" customHeight="1" outlineLevel="1" thickBot="1">
      <c r="A39" s="7" t="s">
        <v>1238</v>
      </c>
      <c r="B39" s="4" t="str">
        <f>+VLOOKUP(A39,Takstblad!$A$5:$B$30,2,FALSE)</f>
        <v/>
      </c>
      <c r="C39" s="285"/>
      <c r="D39" s="285"/>
      <c r="E39" s="285"/>
      <c r="F39" s="285"/>
      <c r="G39" s="285"/>
      <c r="H39" s="285"/>
      <c r="I39" s="285"/>
      <c r="J39" s="285"/>
      <c r="K39" s="286"/>
      <c r="L39" s="286"/>
      <c r="M39" s="47">
        <f t="shared" si="27"/>
        <v>0</v>
      </c>
      <c r="N39" s="285"/>
      <c r="O39" s="285" t="s">
        <v>113</v>
      </c>
      <c r="Q39" s="16"/>
      <c r="R39" s="21">
        <f t="shared" si="28"/>
        <v>0</v>
      </c>
      <c r="S39" s="25">
        <f>+IFERROR(IF(S$19=Takstblad!C$3,VLOOKUP($A39,takstblad,3,FALSE)*C39,"fejl i år"),0)</f>
        <v>0</v>
      </c>
      <c r="T39" s="25">
        <f>+IFERROR(IF(T$19=Takstblad!D$3,VLOOKUP($A39,takstblad,4,FALSE)*D39,"fejl i år"),0)</f>
        <v>0</v>
      </c>
      <c r="U39" s="25">
        <f>+IFERROR(IF(U$19=Takstblad!E$3,VLOOKUP($A39,takstblad,5,FALSE)*E39,"fejl i år"),0)</f>
        <v>0</v>
      </c>
      <c r="V39" s="25">
        <f>+IFERROR(IF(V$19=Takstblad!F$3,VLOOKUP($A39,takstblad,6,FALSE)*F39,"fejl i år"),0)</f>
        <v>0</v>
      </c>
      <c r="W39" s="25">
        <f>+IFERROR(IF(W$19=Takstblad!G$3,VLOOKUP($A39,takstblad,7,FALSE)*G39,"fejl i år"),0)</f>
        <v>0</v>
      </c>
      <c r="X39" s="25">
        <f>+IFERROR(IF(X$19=Takstblad!H$3,VLOOKUP($A39,takstblad,8,FALSE)*H39,"fejl i år"),0)</f>
        <v>0</v>
      </c>
      <c r="Y39" s="25">
        <f>+IFERROR(IF(Y$19=Takstblad!I$3,VLOOKUP($A39,takstblad,9,FALSE)*I39,"fejl i år"),0)</f>
        <v>0</v>
      </c>
      <c r="Z39" s="25">
        <f>+IFERROR(IF(Z$19=Takstblad!J$3,VLOOKUP($A39,takstblad,10,FALSE)*J39,"fejl i år"),0)</f>
        <v>0</v>
      </c>
      <c r="AA39" s="25">
        <f>+IFERROR(IF(AA$19=Takstblad!K$3,VLOOKUP($A39,takstblad,11,FALSE)*K39,"fejl i år"),0)</f>
        <v>0</v>
      </c>
      <c r="AB39" s="25">
        <f>+IFERROR(IF(AB$19=Takstblad!L$3,VLOOKUP($A39,takstblad,12,FALSE)*L39,"fejl i år"),0)</f>
        <v>0</v>
      </c>
      <c r="AC39" s="21">
        <f t="shared" si="7"/>
        <v>0</v>
      </c>
      <c r="AD39" s="221"/>
      <c r="AE39" s="25">
        <f t="shared" si="29"/>
        <v>0</v>
      </c>
      <c r="AF39" s="25">
        <f t="shared" si="30"/>
        <v>0</v>
      </c>
      <c r="AG39" s="221"/>
      <c r="AH39" s="25">
        <f t="shared" si="31"/>
        <v>0</v>
      </c>
      <c r="AI39" s="25">
        <f t="shared" si="32"/>
        <v>0</v>
      </c>
      <c r="AJ39" s="221"/>
      <c r="AK39" s="25">
        <f t="shared" si="33"/>
        <v>0</v>
      </c>
      <c r="AL39" s="25">
        <f t="shared" si="34"/>
        <v>0</v>
      </c>
      <c r="AM39" s="221"/>
      <c r="AN39" s="25">
        <f t="shared" si="35"/>
        <v>0</v>
      </c>
      <c r="AO39" s="25">
        <f t="shared" si="36"/>
        <v>0</v>
      </c>
      <c r="AP39" s="221"/>
      <c r="AQ39" s="25">
        <f t="shared" si="37"/>
        <v>0</v>
      </c>
      <c r="AR39" s="25">
        <f t="shared" si="38"/>
        <v>0</v>
      </c>
      <c r="AS39" s="221"/>
      <c r="AT39" s="25">
        <f t="shared" si="39"/>
        <v>0</v>
      </c>
      <c r="AU39" s="25">
        <f t="shared" si="40"/>
        <v>0</v>
      </c>
      <c r="AV39" s="221"/>
      <c r="AW39" s="25">
        <f t="shared" si="41"/>
        <v>0</v>
      </c>
      <c r="AX39" s="25">
        <f t="shared" si="42"/>
        <v>0</v>
      </c>
      <c r="AY39" s="221"/>
      <c r="AZ39" s="25">
        <f t="shared" si="43"/>
        <v>0</v>
      </c>
      <c r="BA39" s="25">
        <f t="shared" si="44"/>
        <v>0</v>
      </c>
      <c r="BB39" s="221"/>
      <c r="BC39" s="25">
        <f t="shared" si="45"/>
        <v>0</v>
      </c>
      <c r="BD39" s="25">
        <f t="shared" si="50"/>
        <v>0</v>
      </c>
      <c r="BE39" s="221"/>
      <c r="BF39" s="25">
        <f t="shared" si="46"/>
        <v>0</v>
      </c>
      <c r="BG39" s="25">
        <f t="shared" si="47"/>
        <v>0</v>
      </c>
      <c r="BH39" s="221"/>
      <c r="BI39" s="25">
        <f t="shared" si="48"/>
        <v>0</v>
      </c>
      <c r="BJ39" s="25">
        <f t="shared" si="49"/>
        <v>0</v>
      </c>
    </row>
    <row r="40" spans="1:62" ht="15.65" customHeight="1" collapsed="1" thickBot="1">
      <c r="A40" s="4" t="s">
        <v>81</v>
      </c>
      <c r="B40" s="4"/>
      <c r="C40" s="49">
        <f t="shared" ref="C40:M40" si="51">SUM(C20:C39)</f>
        <v>0</v>
      </c>
      <c r="D40" s="49">
        <f t="shared" si="51"/>
        <v>0</v>
      </c>
      <c r="E40" s="49">
        <f t="shared" si="51"/>
        <v>0</v>
      </c>
      <c r="F40" s="49">
        <f t="shared" si="51"/>
        <v>0</v>
      </c>
      <c r="G40" s="49">
        <f t="shared" si="51"/>
        <v>0</v>
      </c>
      <c r="H40" s="49">
        <f t="shared" si="51"/>
        <v>0</v>
      </c>
      <c r="I40" s="64">
        <f t="shared" si="51"/>
        <v>0</v>
      </c>
      <c r="J40" s="64">
        <f t="shared" si="51"/>
        <v>0</v>
      </c>
      <c r="K40" s="64">
        <f t="shared" si="51"/>
        <v>0</v>
      </c>
      <c r="L40" s="64">
        <f t="shared" si="51"/>
        <v>0</v>
      </c>
      <c r="M40" s="50">
        <f t="shared" si="51"/>
        <v>0</v>
      </c>
      <c r="N40" s="50"/>
      <c r="O40" s="4"/>
      <c r="P40" s="4"/>
      <c r="Q40" s="23" t="s">
        <v>74</v>
      </c>
      <c r="R40" s="53">
        <f>+AC40</f>
        <v>0</v>
      </c>
      <c r="S40" s="51">
        <f>SUM(S20:S39)</f>
        <v>0</v>
      </c>
      <c r="T40" s="13">
        <f t="shared" ref="T40:AB40" si="52">SUM(T20:T39)</f>
        <v>0</v>
      </c>
      <c r="U40" s="52">
        <f t="shared" si="52"/>
        <v>0</v>
      </c>
      <c r="V40" s="13">
        <f t="shared" si="52"/>
        <v>0</v>
      </c>
      <c r="W40" s="52">
        <f t="shared" si="52"/>
        <v>0</v>
      </c>
      <c r="X40" s="13">
        <f t="shared" si="52"/>
        <v>0</v>
      </c>
      <c r="Y40" s="66">
        <f t="shared" si="52"/>
        <v>0</v>
      </c>
      <c r="Z40" s="66">
        <f t="shared" si="52"/>
        <v>0</v>
      </c>
      <c r="AA40" s="66">
        <f t="shared" si="52"/>
        <v>0</v>
      </c>
      <c r="AB40" s="66">
        <f t="shared" si="52"/>
        <v>0</v>
      </c>
      <c r="AC40" s="53">
        <f>SUM(S40:AB40)</f>
        <v>0</v>
      </c>
      <c r="AD40" s="221"/>
      <c r="AE40" s="13">
        <f>SUM(AE20:AE39)</f>
        <v>0</v>
      </c>
      <c r="AF40" s="10">
        <f>IFERROR(AC40/AE40,0)</f>
        <v>0</v>
      </c>
      <c r="AG40" s="221"/>
      <c r="AH40" s="13">
        <f>SUM(AH20:AH39)</f>
        <v>0</v>
      </c>
      <c r="AI40" s="10">
        <f>IFERROR(S40/AH40,0)</f>
        <v>0</v>
      </c>
      <c r="AJ40" s="222"/>
      <c r="AK40" s="13">
        <f>SUM(AK20:AK39)</f>
        <v>0</v>
      </c>
      <c r="AL40" s="10">
        <f t="shared" si="12"/>
        <v>0</v>
      </c>
      <c r="AM40" s="222"/>
      <c r="AN40" s="13">
        <f>SUM(AN20:AN39)</f>
        <v>0</v>
      </c>
      <c r="AO40" s="10">
        <f t="shared" si="14"/>
        <v>0</v>
      </c>
      <c r="AP40" s="221"/>
      <c r="AQ40" s="13">
        <f>SUM(AQ20:AQ39)</f>
        <v>0</v>
      </c>
      <c r="AR40" s="10">
        <f t="shared" si="16"/>
        <v>0</v>
      </c>
      <c r="AS40" s="221"/>
      <c r="AT40" s="13">
        <f>SUM(AT20:AT39)</f>
        <v>0</v>
      </c>
      <c r="AU40" s="10">
        <f t="shared" si="18"/>
        <v>0</v>
      </c>
      <c r="AV40" s="221"/>
      <c r="AW40" s="13">
        <f>SUM(AW20:AW39)</f>
        <v>0</v>
      </c>
      <c r="AX40" s="10">
        <f>IFERROR(X40/AW40,0)</f>
        <v>0</v>
      </c>
      <c r="AY40" s="221"/>
      <c r="AZ40" s="13">
        <f>SUM(AZ20:AZ39)</f>
        <v>0</v>
      </c>
      <c r="BA40" s="10">
        <f>IFERROR(Z40/AZ40,0)</f>
        <v>0</v>
      </c>
      <c r="BB40" s="221"/>
      <c r="BC40" s="13">
        <f>SUM(BC20:BC39)</f>
        <v>0</v>
      </c>
      <c r="BD40" s="10">
        <f>IFERROR(Z40/BC40,0)</f>
        <v>0</v>
      </c>
      <c r="BE40" s="221"/>
      <c r="BF40" s="13">
        <f>SUM(BF20:BF39)</f>
        <v>0</v>
      </c>
      <c r="BG40" s="10">
        <f>IFERROR(AC40/BF40,0)</f>
        <v>0</v>
      </c>
      <c r="BH40" s="221"/>
      <c r="BI40" s="13">
        <f>SUM(BI20:BI39)</f>
        <v>0</v>
      </c>
      <c r="BJ40" s="10">
        <f>IFERROR(AF40/BI40,0)</f>
        <v>0</v>
      </c>
    </row>
    <row r="41" spans="1:62" ht="15.65" customHeight="1">
      <c r="A41" s="4"/>
      <c r="B41" s="5"/>
      <c r="C41" s="5"/>
      <c r="D41" s="5"/>
      <c r="E41" s="5"/>
      <c r="F41" s="5"/>
      <c r="G41" s="5"/>
      <c r="H41" s="5"/>
      <c r="I41" s="5"/>
      <c r="J41" s="5"/>
      <c r="K41" s="5"/>
      <c r="L41" s="5"/>
      <c r="M41" s="5"/>
      <c r="N41" s="5"/>
      <c r="O41" s="5"/>
      <c r="P41" s="5"/>
      <c r="Q41" s="23"/>
      <c r="R41" s="5"/>
      <c r="S41" s="5"/>
      <c r="T41" s="5"/>
      <c r="U41" s="5"/>
      <c r="V41" s="5"/>
      <c r="W41" s="5"/>
      <c r="X41" s="5"/>
      <c r="Y41" s="5"/>
      <c r="Z41" s="5"/>
      <c r="AA41" s="5"/>
      <c r="AB41" s="5"/>
      <c r="AC41" s="5"/>
      <c r="AD41" s="221"/>
      <c r="AE41" s="5"/>
      <c r="AF41" s="5"/>
      <c r="AG41" s="221"/>
      <c r="AH41" s="5"/>
      <c r="AI41" s="5"/>
      <c r="AJ41" s="221"/>
      <c r="AK41" s="5"/>
      <c r="AL41" s="5"/>
      <c r="AM41" s="221"/>
      <c r="AN41" s="5"/>
      <c r="AO41" s="5"/>
      <c r="AP41" s="221"/>
      <c r="AQ41" s="5"/>
      <c r="AR41" s="5"/>
      <c r="AS41" s="221"/>
      <c r="AT41" s="5"/>
      <c r="AU41" s="5"/>
      <c r="AV41" s="221"/>
      <c r="AW41" s="5"/>
      <c r="AX41" s="5"/>
      <c r="AY41" s="221"/>
      <c r="AZ41" s="5"/>
      <c r="BA41" s="5"/>
      <c r="BB41" s="221"/>
      <c r="BC41" s="5"/>
      <c r="BD41" s="5"/>
      <c r="BE41" s="221"/>
      <c r="BF41" s="5"/>
      <c r="BG41" s="5"/>
      <c r="BH41" s="221"/>
      <c r="BI41" s="5"/>
      <c r="BJ41" s="5"/>
    </row>
    <row r="42" spans="1:62" s="9" customFormat="1" ht="15.65" customHeight="1">
      <c r="A42" s="4" t="s">
        <v>80</v>
      </c>
      <c r="B42" s="8"/>
      <c r="C42" s="8">
        <f t="shared" ref="C42:L42" si="53">+C19</f>
        <v>2026</v>
      </c>
      <c r="D42" s="8">
        <f t="shared" si="53"/>
        <v>2027</v>
      </c>
      <c r="E42" s="8">
        <f t="shared" si="53"/>
        <v>2028</v>
      </c>
      <c r="F42" s="8">
        <f t="shared" si="53"/>
        <v>2029</v>
      </c>
      <c r="G42" s="8">
        <f t="shared" si="53"/>
        <v>2030</v>
      </c>
      <c r="H42" s="8">
        <f t="shared" si="53"/>
        <v>2031</v>
      </c>
      <c r="I42" s="8">
        <f t="shared" si="53"/>
        <v>2032</v>
      </c>
      <c r="J42" s="8">
        <f t="shared" si="53"/>
        <v>2033</v>
      </c>
      <c r="K42" s="8">
        <f t="shared" si="53"/>
        <v>2034</v>
      </c>
      <c r="L42" s="8">
        <f t="shared" si="53"/>
        <v>2035</v>
      </c>
      <c r="M42" s="8" t="s">
        <v>34</v>
      </c>
      <c r="N42" s="8"/>
      <c r="O42" s="8"/>
      <c r="P42" s="8"/>
      <c r="Q42" s="23" t="s">
        <v>82</v>
      </c>
      <c r="R42" s="4" t="s">
        <v>34</v>
      </c>
      <c r="S42" s="8">
        <f t="shared" ref="S42:AB42" si="54">+C19</f>
        <v>2026</v>
      </c>
      <c r="T42" s="8">
        <f t="shared" si="54"/>
        <v>2027</v>
      </c>
      <c r="U42" s="8">
        <f t="shared" si="54"/>
        <v>2028</v>
      </c>
      <c r="V42" s="8">
        <f t="shared" si="54"/>
        <v>2029</v>
      </c>
      <c r="W42" s="8">
        <f t="shared" si="54"/>
        <v>2030</v>
      </c>
      <c r="X42" s="8">
        <f t="shared" si="54"/>
        <v>2031</v>
      </c>
      <c r="Y42" s="8">
        <f t="shared" si="54"/>
        <v>2032</v>
      </c>
      <c r="Z42" s="8">
        <f t="shared" si="54"/>
        <v>2033</v>
      </c>
      <c r="AA42" s="8">
        <f t="shared" si="54"/>
        <v>2034</v>
      </c>
      <c r="AB42" s="8">
        <f t="shared" si="54"/>
        <v>2035</v>
      </c>
      <c r="AC42" s="4" t="s">
        <v>34</v>
      </c>
      <c r="AD42" s="222"/>
      <c r="AE42" s="549" t="s">
        <v>34</v>
      </c>
      <c r="AF42" s="548"/>
      <c r="AG42" s="221"/>
      <c r="AH42" s="547">
        <f>+AH19</f>
        <v>2026</v>
      </c>
      <c r="AI42" s="548"/>
      <c r="AJ42" s="221"/>
      <c r="AK42" s="547">
        <f>+AK19</f>
        <v>2027</v>
      </c>
      <c r="AL42" s="548"/>
      <c r="AM42" s="221"/>
      <c r="AN42" s="547">
        <f>+AN19</f>
        <v>2028</v>
      </c>
      <c r="AO42" s="548"/>
      <c r="AP42" s="221"/>
      <c r="AQ42" s="547">
        <f>+AQ19</f>
        <v>2029</v>
      </c>
      <c r="AR42" s="548"/>
      <c r="AS42" s="221"/>
      <c r="AT42" s="547">
        <f>+AT19</f>
        <v>2030</v>
      </c>
      <c r="AU42" s="548"/>
      <c r="AV42" s="221"/>
      <c r="AW42" s="547">
        <f>+AW19</f>
        <v>2031</v>
      </c>
      <c r="AX42" s="548"/>
      <c r="AY42" s="221"/>
      <c r="AZ42" s="547">
        <f>+AZ19</f>
        <v>2032</v>
      </c>
      <c r="BA42" s="548"/>
      <c r="BB42" s="221"/>
      <c r="BC42" s="547">
        <f>+BC19</f>
        <v>2033</v>
      </c>
      <c r="BD42" s="548"/>
      <c r="BE42" s="221"/>
      <c r="BF42" s="547">
        <f>+BF19</f>
        <v>2034</v>
      </c>
      <c r="BG42" s="548"/>
      <c r="BH42" s="221"/>
      <c r="BI42" s="547">
        <f>+BI19</f>
        <v>2035</v>
      </c>
      <c r="BJ42" s="548"/>
    </row>
    <row r="43" spans="1:62" ht="15.65" customHeight="1">
      <c r="A43" s="212" t="s">
        <v>1238</v>
      </c>
      <c r="B43" s="213" t="str">
        <f>+VLOOKUP(A43,Takstblad!$A$33:$B$54,2,FALSE)</f>
        <v/>
      </c>
      <c r="C43" s="285"/>
      <c r="D43" s="285"/>
      <c r="E43" s="285"/>
      <c r="F43" s="285"/>
      <c r="G43" s="285"/>
      <c r="H43" s="285"/>
      <c r="I43" s="285"/>
      <c r="J43" s="285"/>
      <c r="K43" s="285"/>
      <c r="L43" s="285"/>
      <c r="M43" s="19">
        <f>SUM(C43:L43)</f>
        <v>0</v>
      </c>
      <c r="N43" s="285"/>
      <c r="O43" s="285" t="s">
        <v>113</v>
      </c>
      <c r="P43" s="212"/>
      <c r="Q43" s="218"/>
      <c r="R43" s="216">
        <f t="shared" ref="R43:R56" si="55">+AC43</f>
        <v>0</v>
      </c>
      <c r="S43" s="215">
        <f>+IFERROR(IF(S$19=Takstblad!C$3,VLOOKUP($A43,takstblad,3,FALSE)*C43,"fejl i år"),0)</f>
        <v>0</v>
      </c>
      <c r="T43" s="215">
        <f>+IFERROR(IF(T$19=Takstblad!D$3,VLOOKUP($A43,takstblad,4,FALSE)*D43,"fejl i år"),0)</f>
        <v>0</v>
      </c>
      <c r="U43" s="215">
        <f>+IFERROR(IF(U$19=Takstblad!E$3,VLOOKUP($A43,takstblad,5,FALSE)*E43,"fejl i år"),0)</f>
        <v>0</v>
      </c>
      <c r="V43" s="215">
        <f>+IFERROR(IF(V$19=Takstblad!F$3,VLOOKUP($A43,takstblad,6,FALSE)*F43,"fejl i år"),0)</f>
        <v>0</v>
      </c>
      <c r="W43" s="215">
        <f>+IFERROR(IF(W$19=Takstblad!G$3,VLOOKUP($A43,takstblad,7,FALSE)*G43,"fejl i år"),0)</f>
        <v>0</v>
      </c>
      <c r="X43" s="215">
        <f>+IFERROR(IF(X$19=Takstblad!H$3,VLOOKUP($A43,takstblad,8,FALSE)*H43,"fejl i år"),0)</f>
        <v>0</v>
      </c>
      <c r="Y43" s="215">
        <f>+IFERROR(IF(Y$19=Takstblad!I$3,VLOOKUP($A43,takstblad,9,FALSE)*I43,"fejl i år"),0)</f>
        <v>0</v>
      </c>
      <c r="Z43" s="215">
        <f>+IFERROR(IF(Z$19=Takstblad!J$3,VLOOKUP($A43,takstblad,10,FALSE)*J43,"fejl i år"),0)</f>
        <v>0</v>
      </c>
      <c r="AA43" s="215">
        <f>+IFERROR(IF(AA$19=Takstblad!K$3,VLOOKUP($A43,takstblad,11,FALSE)*K43,"fejl i år"),0)</f>
        <v>0</v>
      </c>
      <c r="AB43" s="215">
        <f>+IFERROR(IF(AB$19=Takstblad!L$3,VLOOKUP($A43,takstblad,12,FALSE)*L43,"fejl i år"),0)</f>
        <v>0</v>
      </c>
      <c r="AC43" s="216">
        <f>SUM(S43:AB43)</f>
        <v>0</v>
      </c>
      <c r="AD43" s="221"/>
      <c r="AE43" s="217">
        <f t="shared" ref="AE43:AE52" si="56">+M43*($C$7/12)</f>
        <v>0</v>
      </c>
      <c r="AF43" s="217">
        <f t="shared" ref="AF43:AF53" si="57">IFERROR(AC43/AE43,0)</f>
        <v>0</v>
      </c>
      <c r="AG43" s="221"/>
      <c r="AH43" s="217">
        <f>+C43*($C$7/12)</f>
        <v>0</v>
      </c>
      <c r="AI43" s="217">
        <f t="shared" ref="AI43:AI56" si="58">IFERROR(S43/AH43,0)</f>
        <v>0</v>
      </c>
      <c r="AJ43" s="221"/>
      <c r="AK43" s="215">
        <f t="shared" ref="AK43:AK53" si="59">+D43*($C$7/12)</f>
        <v>0</v>
      </c>
      <c r="AL43" s="215">
        <f t="shared" ref="AL43:AL56" si="60">IFERROR(T43/AK43,0)</f>
        <v>0</v>
      </c>
      <c r="AM43" s="221"/>
      <c r="AN43" s="215">
        <f t="shared" ref="AN43:AN53" si="61">+E43*($C$7/12)</f>
        <v>0</v>
      </c>
      <c r="AO43" s="215">
        <f t="shared" ref="AO43:AO56" si="62">IFERROR(U43/AN43,0)</f>
        <v>0</v>
      </c>
      <c r="AP43" s="221"/>
      <c r="AQ43" s="215">
        <f t="shared" ref="AQ43:AQ53" si="63">+F43*($C$7/12)</f>
        <v>0</v>
      </c>
      <c r="AR43" s="215">
        <f t="shared" ref="AR43:AR56" si="64">IFERROR(V43/AQ43,0)</f>
        <v>0</v>
      </c>
      <c r="AS43" s="221"/>
      <c r="AT43" s="215">
        <f t="shared" ref="AT43:AT53" si="65">+G43*($C$7/12)</f>
        <v>0</v>
      </c>
      <c r="AU43" s="215">
        <f t="shared" ref="AU43:AU56" si="66">IFERROR(W43/AT43,0)</f>
        <v>0</v>
      </c>
      <c r="AV43" s="221"/>
      <c r="AW43" s="215">
        <f t="shared" ref="AW43:AW53" si="67">+H43*($C$7/12)</f>
        <v>0</v>
      </c>
      <c r="AX43" s="215">
        <f t="shared" ref="AX43:AX56" si="68">IFERROR(X43/AW43,0)</f>
        <v>0</v>
      </c>
      <c r="AY43" s="221"/>
      <c r="AZ43" s="215">
        <f>+I43*($C$7/12)</f>
        <v>0</v>
      </c>
      <c r="BA43" s="215">
        <f>IFERROR(Y43/AZ43,0)</f>
        <v>0</v>
      </c>
      <c r="BB43" s="221"/>
      <c r="BC43" s="215">
        <f>+J43*($C$7/12)</f>
        <v>0</v>
      </c>
      <c r="BD43" s="215">
        <f>IFERROR(Z43/BC43,0)</f>
        <v>0</v>
      </c>
      <c r="BE43" s="221"/>
      <c r="BF43" s="215">
        <f>+K43*($C$7/12)</f>
        <v>0</v>
      </c>
      <c r="BG43" s="215">
        <f>IFERROR(AB43/BF43,0)</f>
        <v>0</v>
      </c>
      <c r="BH43" s="221"/>
      <c r="BI43" s="215">
        <f>+L43*($C$7/12)</f>
        <v>0</v>
      </c>
      <c r="BJ43" s="215">
        <f>IFERROR(AB43/BI43,0)</f>
        <v>0</v>
      </c>
    </row>
    <row r="44" spans="1:62" ht="15.65" customHeight="1">
      <c r="A44" s="7" t="s">
        <v>1238</v>
      </c>
      <c r="B44" s="4" t="str">
        <f>+VLOOKUP(A44,Takstblad!$A$33:$B$54,2,FALSE)</f>
        <v/>
      </c>
      <c r="C44" s="287"/>
      <c r="D44" s="285"/>
      <c r="E44" s="285"/>
      <c r="F44" s="285"/>
      <c r="G44" s="285"/>
      <c r="H44" s="285"/>
      <c r="I44" s="285"/>
      <c r="J44" s="285"/>
      <c r="K44" s="285"/>
      <c r="L44" s="285"/>
      <c r="M44" s="19">
        <f t="shared" ref="M44:M56" si="69">SUM(C44:L44)</f>
        <v>0</v>
      </c>
      <c r="N44" s="285"/>
      <c r="O44" s="285" t="s">
        <v>113</v>
      </c>
      <c r="Q44" s="26"/>
      <c r="R44" s="21">
        <f>+AC44</f>
        <v>0</v>
      </c>
      <c r="S44" s="25">
        <f>+IFERROR(IF(S$19=Takstblad!C$3,VLOOKUP($A44,takstblad,3,FALSE)*C44,"fejl i år"),0)</f>
        <v>0</v>
      </c>
      <c r="T44" s="25">
        <f>+IFERROR(IF(T$19=Takstblad!D$3,VLOOKUP($A44,takstblad,4,FALSE)*D44,"fejl i år"),0)</f>
        <v>0</v>
      </c>
      <c r="U44" s="25">
        <f>+IFERROR(IF(U$19=Takstblad!E$3,VLOOKUP($A44,takstblad,5,FALSE)*E44,"fejl i år"),0)</f>
        <v>0</v>
      </c>
      <c r="V44" s="25">
        <f>+IFERROR(IF(V$19=Takstblad!F$3,VLOOKUP($A44,takstblad,6,FALSE)*F44,"fejl i år"),0)</f>
        <v>0</v>
      </c>
      <c r="W44" s="25">
        <f>+IFERROR(IF(W$19=Takstblad!G$3,VLOOKUP($A44,takstblad,7,FALSE)*G44,"fejl i år"),0)</f>
        <v>0</v>
      </c>
      <c r="X44" s="25">
        <f>+IFERROR(IF(X$19=Takstblad!H$3,VLOOKUP($A44,takstblad,8,FALSE)*H44,"fejl i år"),0)</f>
        <v>0</v>
      </c>
      <c r="Y44" s="25">
        <f>+IFERROR(IF(Y$19=Takstblad!I$3,VLOOKUP($A44,takstblad,9,FALSE)*I44,"fejl i år"),0)</f>
        <v>0</v>
      </c>
      <c r="Z44" s="25">
        <f>+IFERROR(IF(Z$19=Takstblad!J$3,VLOOKUP($A44,takstblad,10,FALSE)*J44,"fejl i år"),0)</f>
        <v>0</v>
      </c>
      <c r="AA44" s="25">
        <f>+IFERROR(IF(AA$19=Takstblad!K$3,VLOOKUP($A44,takstblad,11,FALSE)*K44,"fejl i år"),0)</f>
        <v>0</v>
      </c>
      <c r="AB44" s="25">
        <f>+IFERROR(IF(AB$19=Takstblad!L$3,VLOOKUP($A44,takstblad,12,FALSE)*L44,"fejl i år"),0)</f>
        <v>0</v>
      </c>
      <c r="AC44" s="21">
        <f t="shared" ref="AC44:AC56" si="70">SUM(S44:AB44)</f>
        <v>0</v>
      </c>
      <c r="AD44" s="221"/>
      <c r="AE44" s="25">
        <f t="shared" si="56"/>
        <v>0</v>
      </c>
      <c r="AF44" s="25">
        <f t="shared" si="57"/>
        <v>0</v>
      </c>
      <c r="AG44" s="221"/>
      <c r="AH44" s="25">
        <f>+C44*($C$7/12)</f>
        <v>0</v>
      </c>
      <c r="AI44" s="25">
        <f t="shared" si="58"/>
        <v>0</v>
      </c>
      <c r="AJ44" s="221"/>
      <c r="AK44" s="25">
        <f t="shared" si="59"/>
        <v>0</v>
      </c>
      <c r="AL44" s="25">
        <f t="shared" si="60"/>
        <v>0</v>
      </c>
      <c r="AM44" s="221"/>
      <c r="AN44" s="25">
        <f t="shared" si="61"/>
        <v>0</v>
      </c>
      <c r="AO44" s="25">
        <f t="shared" si="62"/>
        <v>0</v>
      </c>
      <c r="AP44" s="221"/>
      <c r="AQ44" s="25">
        <f t="shared" si="63"/>
        <v>0</v>
      </c>
      <c r="AR44" s="25">
        <f t="shared" si="64"/>
        <v>0</v>
      </c>
      <c r="AS44" s="221"/>
      <c r="AT44" s="25">
        <f>+G44*($C$7/12)</f>
        <v>0</v>
      </c>
      <c r="AU44" s="25">
        <f>IFERROR(W44/AT44,0)</f>
        <v>0</v>
      </c>
      <c r="AV44" s="221"/>
      <c r="AW44" s="25">
        <f t="shared" si="67"/>
        <v>0</v>
      </c>
      <c r="AX44" s="25">
        <f t="shared" si="68"/>
        <v>0</v>
      </c>
      <c r="AY44" s="221"/>
      <c r="AZ44" s="25">
        <f t="shared" ref="AZ44:AZ53" si="71">+I44*($C$7/12)</f>
        <v>0</v>
      </c>
      <c r="BA44" s="25">
        <f t="shared" ref="BA44:BA56" si="72">IFERROR(Y44/AZ44,0)</f>
        <v>0</v>
      </c>
      <c r="BB44" s="221"/>
      <c r="BC44" s="25">
        <f t="shared" ref="BC44:BC53" si="73">+J44*($C$7/12)</f>
        <v>0</v>
      </c>
      <c r="BD44" s="25">
        <f t="shared" ref="BD44:BD56" si="74">IFERROR(Z44/BC44,0)</f>
        <v>0</v>
      </c>
      <c r="BE44" s="221"/>
      <c r="BF44" s="25">
        <f t="shared" ref="BF44:BF55" si="75">+K44*($C$7/12)</f>
        <v>0</v>
      </c>
      <c r="BG44" s="25">
        <f t="shared" ref="BG44:BG55" si="76">IFERROR(AB44/BF44,0)</f>
        <v>0</v>
      </c>
      <c r="BH44" s="221"/>
      <c r="BI44" s="25">
        <f t="shared" ref="BI44:BI55" si="77">+L44*($C$7/12)</f>
        <v>0</v>
      </c>
      <c r="BJ44" s="25">
        <f t="shared" ref="BJ44:BJ55" si="78">IFERROR(AB44/BI44,0)</f>
        <v>0</v>
      </c>
    </row>
    <row r="45" spans="1:62" ht="15.65" customHeight="1">
      <c r="A45" s="212" t="s">
        <v>1238</v>
      </c>
      <c r="B45" s="213" t="str">
        <f>+VLOOKUP(A45,Takstblad!$A$33:$B$54,2,FALSE)</f>
        <v/>
      </c>
      <c r="C45" s="285"/>
      <c r="D45" s="285"/>
      <c r="E45" s="285"/>
      <c r="F45" s="285"/>
      <c r="G45" s="285"/>
      <c r="H45" s="285"/>
      <c r="I45" s="285"/>
      <c r="J45" s="285"/>
      <c r="K45" s="285"/>
      <c r="L45" s="285"/>
      <c r="M45" s="19">
        <f t="shared" si="69"/>
        <v>0</v>
      </c>
      <c r="N45" s="285"/>
      <c r="O45" s="285" t="s">
        <v>113</v>
      </c>
      <c r="P45" s="212"/>
      <c r="Q45" s="218"/>
      <c r="R45" s="216">
        <f>+AC45</f>
        <v>0</v>
      </c>
      <c r="S45" s="215">
        <f>+IFERROR(IF(S$19=Takstblad!C$3,VLOOKUP($A45,takstblad,3,FALSE)*C45,"fejl i år"),0)</f>
        <v>0</v>
      </c>
      <c r="T45" s="215">
        <f>+IFERROR(IF(T$19=Takstblad!D$3,VLOOKUP($A45,takstblad,4,FALSE)*D45,"fejl i år"),0)</f>
        <v>0</v>
      </c>
      <c r="U45" s="215">
        <f>+IFERROR(IF(U$19=Takstblad!E$3,VLOOKUP($A45,takstblad,5,FALSE)*E45,"fejl i år"),0)</f>
        <v>0</v>
      </c>
      <c r="V45" s="215">
        <f>+IFERROR(IF(V$19=Takstblad!F$3,VLOOKUP($A45,takstblad,6,FALSE)*F45,"fejl i år"),0)</f>
        <v>0</v>
      </c>
      <c r="W45" s="215">
        <f>+IFERROR(IF(W$19=Takstblad!G$3,VLOOKUP($A45,takstblad,7,FALSE)*G45,"fejl i år"),0)</f>
        <v>0</v>
      </c>
      <c r="X45" s="215">
        <f>+IFERROR(IF(X$19=Takstblad!H$3,VLOOKUP($A45,takstblad,8,FALSE)*H45,"fejl i år"),0)</f>
        <v>0</v>
      </c>
      <c r="Y45" s="215">
        <f>+IFERROR(IF(Y$19=Takstblad!I$3,VLOOKUP($A45,takstblad,9,FALSE)*I45,"fejl i år"),0)</f>
        <v>0</v>
      </c>
      <c r="Z45" s="215">
        <f>+IFERROR(IF(Z$19=Takstblad!J$3,VLOOKUP($A45,takstblad,10,FALSE)*J45,"fejl i år"),0)</f>
        <v>0</v>
      </c>
      <c r="AA45" s="215">
        <f>+IFERROR(IF(AA$19=Takstblad!K$3,VLOOKUP($A45,takstblad,11,FALSE)*K45,"fejl i år"),0)</f>
        <v>0</v>
      </c>
      <c r="AB45" s="215">
        <f>+IFERROR(IF(AB$19=Takstblad!L$3,VLOOKUP($A45,takstblad,12,FALSE)*L45,"fejl i år"),0)</f>
        <v>0</v>
      </c>
      <c r="AC45" s="216">
        <f t="shared" si="70"/>
        <v>0</v>
      </c>
      <c r="AD45" s="221"/>
      <c r="AE45" s="217">
        <f t="shared" si="56"/>
        <v>0</v>
      </c>
      <c r="AF45" s="217">
        <f t="shared" si="57"/>
        <v>0</v>
      </c>
      <c r="AG45" s="221"/>
      <c r="AH45" s="217">
        <f t="shared" ref="AH45:AH53" si="79">+C45*($C$7/12)</f>
        <v>0</v>
      </c>
      <c r="AI45" s="217">
        <f t="shared" si="58"/>
        <v>0</v>
      </c>
      <c r="AJ45" s="221"/>
      <c r="AK45" s="215">
        <f t="shared" si="59"/>
        <v>0</v>
      </c>
      <c r="AL45" s="215">
        <f t="shared" si="60"/>
        <v>0</v>
      </c>
      <c r="AM45" s="221"/>
      <c r="AN45" s="215">
        <f t="shared" si="61"/>
        <v>0</v>
      </c>
      <c r="AO45" s="215">
        <f t="shared" si="62"/>
        <v>0</v>
      </c>
      <c r="AP45" s="221"/>
      <c r="AQ45" s="215">
        <f t="shared" si="63"/>
        <v>0</v>
      </c>
      <c r="AR45" s="215">
        <f t="shared" si="64"/>
        <v>0</v>
      </c>
      <c r="AS45" s="221"/>
      <c r="AT45" s="215">
        <f t="shared" si="65"/>
        <v>0</v>
      </c>
      <c r="AU45" s="215">
        <f t="shared" si="66"/>
        <v>0</v>
      </c>
      <c r="AV45" s="221"/>
      <c r="AW45" s="215">
        <f t="shared" si="67"/>
        <v>0</v>
      </c>
      <c r="AX45" s="215">
        <f t="shared" si="68"/>
        <v>0</v>
      </c>
      <c r="AY45" s="221"/>
      <c r="AZ45" s="215">
        <f t="shared" si="71"/>
        <v>0</v>
      </c>
      <c r="BA45" s="215">
        <f t="shared" si="72"/>
        <v>0</v>
      </c>
      <c r="BB45" s="221"/>
      <c r="BC45" s="215">
        <f t="shared" si="73"/>
        <v>0</v>
      </c>
      <c r="BD45" s="215">
        <f t="shared" si="74"/>
        <v>0</v>
      </c>
      <c r="BE45" s="221"/>
      <c r="BF45" s="215">
        <f t="shared" si="75"/>
        <v>0</v>
      </c>
      <c r="BG45" s="215">
        <f t="shared" si="76"/>
        <v>0</v>
      </c>
      <c r="BH45" s="221"/>
      <c r="BI45" s="215">
        <f t="shared" si="77"/>
        <v>0</v>
      </c>
      <c r="BJ45" s="215">
        <f t="shared" si="78"/>
        <v>0</v>
      </c>
    </row>
    <row r="46" spans="1:62" ht="15.65" customHeight="1">
      <c r="A46" s="7" t="s">
        <v>1238</v>
      </c>
      <c r="B46" s="4" t="str">
        <f>+VLOOKUP(A46,Takstblad!$A$33:$B$54,2,FALSE)</f>
        <v/>
      </c>
      <c r="C46" s="285"/>
      <c r="D46" s="285"/>
      <c r="E46" s="285"/>
      <c r="F46" s="285"/>
      <c r="G46" s="285"/>
      <c r="H46" s="285"/>
      <c r="I46" s="285"/>
      <c r="J46" s="285"/>
      <c r="K46" s="285"/>
      <c r="L46" s="285"/>
      <c r="M46" s="19">
        <f t="shared" si="69"/>
        <v>0</v>
      </c>
      <c r="N46" s="285"/>
      <c r="O46" s="285" t="s">
        <v>113</v>
      </c>
      <c r="Q46" s="26"/>
      <c r="R46" s="21">
        <f t="shared" si="55"/>
        <v>0</v>
      </c>
      <c r="S46" s="25">
        <f>+IFERROR(IF(S$19=Takstblad!C$3,VLOOKUP($A46,takstblad,3,FALSE)*C46,"fejl i år"),0)</f>
        <v>0</v>
      </c>
      <c r="T46" s="25">
        <f>+IFERROR(IF(T$19=Takstblad!D$3,VLOOKUP($A46,takstblad,4,FALSE)*D46,"fejl i år"),0)</f>
        <v>0</v>
      </c>
      <c r="U46" s="25">
        <f>+IFERROR(IF(U$19=Takstblad!E$3,VLOOKUP($A46,takstblad,5,FALSE)*E46,"fejl i år"),0)</f>
        <v>0</v>
      </c>
      <c r="V46" s="25">
        <f>+IFERROR(IF(V$19=Takstblad!F$3,VLOOKUP($A46,takstblad,6,FALSE)*F46,"fejl i år"),0)</f>
        <v>0</v>
      </c>
      <c r="W46" s="25">
        <f>+IFERROR(IF(W$19=Takstblad!G$3,VLOOKUP($A46,takstblad,7,FALSE)*G46,"fejl i år"),0)</f>
        <v>0</v>
      </c>
      <c r="X46" s="25">
        <f>+IFERROR(IF(X$19=Takstblad!H$3,VLOOKUP($A46,takstblad,8,FALSE)*H46,"fejl i år"),0)</f>
        <v>0</v>
      </c>
      <c r="Y46" s="25">
        <f>+IFERROR(IF(Y$19=Takstblad!I$3,VLOOKUP($A46,takstblad,9,FALSE)*I46,"fejl i år"),0)</f>
        <v>0</v>
      </c>
      <c r="Z46" s="25">
        <f>+IFERROR(IF(Z$19=Takstblad!J$3,VLOOKUP($A46,takstblad,10,FALSE)*J46,"fejl i år"),0)</f>
        <v>0</v>
      </c>
      <c r="AA46" s="25">
        <f>+IFERROR(IF(AA$19=Takstblad!K$3,VLOOKUP($A46,takstblad,11,FALSE)*K46,"fejl i år"),0)</f>
        <v>0</v>
      </c>
      <c r="AB46" s="25">
        <f>+IFERROR(IF(AB$19=Takstblad!L$3,VLOOKUP($A46,takstblad,12,FALSE)*L46,"fejl i år"),0)</f>
        <v>0</v>
      </c>
      <c r="AC46" s="21">
        <f t="shared" si="70"/>
        <v>0</v>
      </c>
      <c r="AD46" s="221"/>
      <c r="AE46" s="25">
        <f t="shared" si="56"/>
        <v>0</v>
      </c>
      <c r="AF46" s="25">
        <f t="shared" si="57"/>
        <v>0</v>
      </c>
      <c r="AG46" s="221"/>
      <c r="AH46" s="25">
        <f t="shared" si="79"/>
        <v>0</v>
      </c>
      <c r="AI46" s="25">
        <f t="shared" si="58"/>
        <v>0</v>
      </c>
      <c r="AJ46" s="221"/>
      <c r="AK46" s="25">
        <f t="shared" si="59"/>
        <v>0</v>
      </c>
      <c r="AL46" s="25">
        <f t="shared" si="60"/>
        <v>0</v>
      </c>
      <c r="AM46" s="221"/>
      <c r="AN46" s="25">
        <f t="shared" si="61"/>
        <v>0</v>
      </c>
      <c r="AO46" s="25">
        <f t="shared" si="62"/>
        <v>0</v>
      </c>
      <c r="AP46" s="221"/>
      <c r="AQ46" s="25">
        <f t="shared" si="63"/>
        <v>0</v>
      </c>
      <c r="AR46" s="25">
        <f t="shared" si="64"/>
        <v>0</v>
      </c>
      <c r="AS46" s="221"/>
      <c r="AT46" s="25">
        <f t="shared" si="65"/>
        <v>0</v>
      </c>
      <c r="AU46" s="25">
        <f t="shared" si="66"/>
        <v>0</v>
      </c>
      <c r="AV46" s="221"/>
      <c r="AW46" s="25">
        <f t="shared" si="67"/>
        <v>0</v>
      </c>
      <c r="AX46" s="25">
        <f t="shared" si="68"/>
        <v>0</v>
      </c>
      <c r="AY46" s="221"/>
      <c r="AZ46" s="25">
        <f t="shared" si="71"/>
        <v>0</v>
      </c>
      <c r="BA46" s="25">
        <f t="shared" si="72"/>
        <v>0</v>
      </c>
      <c r="BB46" s="221"/>
      <c r="BC46" s="25">
        <f t="shared" si="73"/>
        <v>0</v>
      </c>
      <c r="BD46" s="25">
        <f t="shared" si="74"/>
        <v>0</v>
      </c>
      <c r="BE46" s="221"/>
      <c r="BF46" s="25">
        <f t="shared" si="75"/>
        <v>0</v>
      </c>
      <c r="BG46" s="25">
        <f t="shared" si="76"/>
        <v>0</v>
      </c>
      <c r="BH46" s="221"/>
      <c r="BI46" s="25">
        <f t="shared" si="77"/>
        <v>0</v>
      </c>
      <c r="BJ46" s="25">
        <f t="shared" si="78"/>
        <v>0</v>
      </c>
    </row>
    <row r="47" spans="1:62" ht="15.65" customHeight="1">
      <c r="A47" s="212" t="s">
        <v>1238</v>
      </c>
      <c r="B47" s="213" t="str">
        <f>+VLOOKUP(A47,Takstblad!$A$33:$B$54,2,FALSE)</f>
        <v/>
      </c>
      <c r="C47" s="285"/>
      <c r="D47" s="285"/>
      <c r="E47" s="285"/>
      <c r="F47" s="285"/>
      <c r="G47" s="285"/>
      <c r="H47" s="285"/>
      <c r="I47" s="285"/>
      <c r="J47" s="285"/>
      <c r="K47" s="285"/>
      <c r="L47" s="285"/>
      <c r="M47" s="19">
        <f t="shared" si="69"/>
        <v>0</v>
      </c>
      <c r="N47" s="285"/>
      <c r="O47" s="285" t="s">
        <v>113</v>
      </c>
      <c r="P47" s="212"/>
      <c r="Q47" s="218"/>
      <c r="R47" s="216">
        <f t="shared" si="55"/>
        <v>0</v>
      </c>
      <c r="S47" s="215">
        <f>+IFERROR(IF(S$19=Takstblad!C$3,VLOOKUP($A47,takstblad,3,FALSE)*C47,"fejl i år"),0)</f>
        <v>0</v>
      </c>
      <c r="T47" s="215">
        <f>+IFERROR(IF(T$19=Takstblad!D$3,VLOOKUP($A47,takstblad,4,FALSE)*D47,"fejl i år"),0)</f>
        <v>0</v>
      </c>
      <c r="U47" s="215">
        <f>+IFERROR(IF(U$19=Takstblad!E$3,VLOOKUP($A47,takstblad,5,FALSE)*E47,"fejl i år"),0)</f>
        <v>0</v>
      </c>
      <c r="V47" s="215">
        <f>+IFERROR(IF(V$19=Takstblad!F$3,VLOOKUP($A47,takstblad,6,FALSE)*F47,"fejl i år"),0)</f>
        <v>0</v>
      </c>
      <c r="W47" s="215">
        <f>+IFERROR(IF(W$19=Takstblad!G$3,VLOOKUP($A47,takstblad,7,FALSE)*G47,"fejl i år"),0)</f>
        <v>0</v>
      </c>
      <c r="X47" s="215">
        <f>+IFERROR(IF(X$19=Takstblad!H$3,VLOOKUP($A47,takstblad,8,FALSE)*H47,"fejl i år"),0)</f>
        <v>0</v>
      </c>
      <c r="Y47" s="215">
        <f>+IFERROR(IF(Y$19=Takstblad!I$3,VLOOKUP($A47,takstblad,9,FALSE)*I47,"fejl i år"),0)</f>
        <v>0</v>
      </c>
      <c r="Z47" s="215">
        <f>+IFERROR(IF(Z$19=Takstblad!J$3,VLOOKUP($A47,takstblad,10,FALSE)*J47,"fejl i år"),0)</f>
        <v>0</v>
      </c>
      <c r="AA47" s="215">
        <f>+IFERROR(IF(AA$19=Takstblad!K$3,VLOOKUP($A47,takstblad,11,FALSE)*K47,"fejl i år"),0)</f>
        <v>0</v>
      </c>
      <c r="AB47" s="215">
        <f>+IFERROR(IF(AB$19=Takstblad!L$3,VLOOKUP($A47,takstblad,12,FALSE)*L47,"fejl i år"),0)</f>
        <v>0</v>
      </c>
      <c r="AC47" s="216">
        <f t="shared" si="70"/>
        <v>0</v>
      </c>
      <c r="AD47" s="221"/>
      <c r="AE47" s="217">
        <f t="shared" si="56"/>
        <v>0</v>
      </c>
      <c r="AF47" s="217">
        <f t="shared" si="57"/>
        <v>0</v>
      </c>
      <c r="AG47" s="221"/>
      <c r="AH47" s="217">
        <f t="shared" si="79"/>
        <v>0</v>
      </c>
      <c r="AI47" s="217">
        <f t="shared" si="58"/>
        <v>0</v>
      </c>
      <c r="AJ47" s="221"/>
      <c r="AK47" s="215">
        <f t="shared" si="59"/>
        <v>0</v>
      </c>
      <c r="AL47" s="215">
        <f t="shared" si="60"/>
        <v>0</v>
      </c>
      <c r="AM47" s="221"/>
      <c r="AN47" s="215">
        <f t="shared" si="61"/>
        <v>0</v>
      </c>
      <c r="AO47" s="215">
        <f t="shared" si="62"/>
        <v>0</v>
      </c>
      <c r="AP47" s="221"/>
      <c r="AQ47" s="215">
        <f t="shared" si="63"/>
        <v>0</v>
      </c>
      <c r="AR47" s="215">
        <f t="shared" si="64"/>
        <v>0</v>
      </c>
      <c r="AS47" s="221"/>
      <c r="AT47" s="215">
        <f t="shared" si="65"/>
        <v>0</v>
      </c>
      <c r="AU47" s="215">
        <f t="shared" si="66"/>
        <v>0</v>
      </c>
      <c r="AV47" s="221"/>
      <c r="AW47" s="215">
        <f t="shared" si="67"/>
        <v>0</v>
      </c>
      <c r="AX47" s="215">
        <f t="shared" si="68"/>
        <v>0</v>
      </c>
      <c r="AY47" s="221"/>
      <c r="AZ47" s="215">
        <f t="shared" si="71"/>
        <v>0</v>
      </c>
      <c r="BA47" s="215">
        <f t="shared" si="72"/>
        <v>0</v>
      </c>
      <c r="BB47" s="221"/>
      <c r="BC47" s="215">
        <f t="shared" si="73"/>
        <v>0</v>
      </c>
      <c r="BD47" s="215">
        <f t="shared" si="74"/>
        <v>0</v>
      </c>
      <c r="BE47" s="221"/>
      <c r="BF47" s="215">
        <f t="shared" si="75"/>
        <v>0</v>
      </c>
      <c r="BG47" s="215">
        <f t="shared" si="76"/>
        <v>0</v>
      </c>
      <c r="BH47" s="221"/>
      <c r="BI47" s="215">
        <f t="shared" si="77"/>
        <v>0</v>
      </c>
      <c r="BJ47" s="215">
        <f t="shared" si="78"/>
        <v>0</v>
      </c>
    </row>
    <row r="48" spans="1:62" ht="15.65" customHeight="1">
      <c r="A48" s="7" t="s">
        <v>1238</v>
      </c>
      <c r="B48" s="4" t="str">
        <f>+VLOOKUP(A48,Takstblad!$A$33:$B$54,2,FALSE)</f>
        <v/>
      </c>
      <c r="C48" s="285"/>
      <c r="D48" s="285"/>
      <c r="E48" s="285"/>
      <c r="F48" s="285"/>
      <c r="G48" s="285"/>
      <c r="H48" s="285"/>
      <c r="I48" s="285"/>
      <c r="J48" s="285"/>
      <c r="K48" s="285"/>
      <c r="L48" s="285"/>
      <c r="M48" s="19">
        <f t="shared" si="69"/>
        <v>0</v>
      </c>
      <c r="N48" s="285"/>
      <c r="O48" s="285" t="s">
        <v>113</v>
      </c>
      <c r="Q48" s="26"/>
      <c r="R48" s="21">
        <f t="shared" si="55"/>
        <v>0</v>
      </c>
      <c r="S48" s="25">
        <f>+IFERROR(IF(S$19=Takstblad!C$3,VLOOKUP($A48,takstblad,3,FALSE)*C48,"fejl i år"),0)</f>
        <v>0</v>
      </c>
      <c r="T48" s="25">
        <f>+IFERROR(IF(T$19=Takstblad!D$3,VLOOKUP($A48,takstblad,4,FALSE)*D48,"fejl i år"),0)</f>
        <v>0</v>
      </c>
      <c r="U48" s="25">
        <f>+IFERROR(IF(U$19=Takstblad!E$3,VLOOKUP($A48,takstblad,5,FALSE)*E48,"fejl i år"),0)</f>
        <v>0</v>
      </c>
      <c r="V48" s="25">
        <f>+IFERROR(IF(V$19=Takstblad!F$3,VLOOKUP($A48,takstblad,6,FALSE)*F48,"fejl i år"),0)</f>
        <v>0</v>
      </c>
      <c r="W48" s="25">
        <f>+IFERROR(IF(W$19=Takstblad!G$3,VLOOKUP($A48,takstblad,7,FALSE)*G48,"fejl i år"),0)</f>
        <v>0</v>
      </c>
      <c r="X48" s="25">
        <f>+IFERROR(IF(X$19=Takstblad!H$3,VLOOKUP($A48,takstblad,8,FALSE)*H48,"fejl i år"),0)</f>
        <v>0</v>
      </c>
      <c r="Y48" s="25">
        <f>+IFERROR(IF(Y$19=Takstblad!I$3,VLOOKUP($A48,takstblad,9,FALSE)*I48,"fejl i år"),0)</f>
        <v>0</v>
      </c>
      <c r="Z48" s="25">
        <f>+IFERROR(IF(Z$19=Takstblad!J$3,VLOOKUP($A48,takstblad,10,FALSE)*J48,"fejl i år"),0)</f>
        <v>0</v>
      </c>
      <c r="AA48" s="25">
        <f>+IFERROR(IF(AA$19=Takstblad!K$3,VLOOKUP($A48,takstblad,11,FALSE)*K48,"fejl i år"),0)</f>
        <v>0</v>
      </c>
      <c r="AB48" s="25">
        <f>+IFERROR(IF(AB$19=Takstblad!L$3,VLOOKUP($A48,takstblad,12,FALSE)*L48,"fejl i år"),0)</f>
        <v>0</v>
      </c>
      <c r="AC48" s="21">
        <f t="shared" si="70"/>
        <v>0</v>
      </c>
      <c r="AD48" s="221"/>
      <c r="AE48" s="25">
        <f t="shared" si="56"/>
        <v>0</v>
      </c>
      <c r="AF48" s="25">
        <f t="shared" si="57"/>
        <v>0</v>
      </c>
      <c r="AG48" s="221"/>
      <c r="AH48" s="25">
        <f t="shared" si="79"/>
        <v>0</v>
      </c>
      <c r="AI48" s="25">
        <f t="shared" si="58"/>
        <v>0</v>
      </c>
      <c r="AJ48" s="221"/>
      <c r="AK48" s="25">
        <f t="shared" si="59"/>
        <v>0</v>
      </c>
      <c r="AL48" s="25">
        <f t="shared" si="60"/>
        <v>0</v>
      </c>
      <c r="AM48" s="221"/>
      <c r="AN48" s="25">
        <f t="shared" si="61"/>
        <v>0</v>
      </c>
      <c r="AO48" s="25">
        <f t="shared" si="62"/>
        <v>0</v>
      </c>
      <c r="AP48" s="221"/>
      <c r="AQ48" s="25">
        <f t="shared" si="63"/>
        <v>0</v>
      </c>
      <c r="AR48" s="25">
        <f t="shared" si="64"/>
        <v>0</v>
      </c>
      <c r="AS48" s="221"/>
      <c r="AT48" s="25">
        <f t="shared" si="65"/>
        <v>0</v>
      </c>
      <c r="AU48" s="25">
        <f t="shared" si="66"/>
        <v>0</v>
      </c>
      <c r="AV48" s="221"/>
      <c r="AW48" s="25">
        <f t="shared" si="67"/>
        <v>0</v>
      </c>
      <c r="AX48" s="25">
        <f t="shared" si="68"/>
        <v>0</v>
      </c>
      <c r="AY48" s="221"/>
      <c r="AZ48" s="25">
        <f t="shared" si="71"/>
        <v>0</v>
      </c>
      <c r="BA48" s="25">
        <f t="shared" si="72"/>
        <v>0</v>
      </c>
      <c r="BB48" s="221"/>
      <c r="BC48" s="25">
        <f t="shared" si="73"/>
        <v>0</v>
      </c>
      <c r="BD48" s="25">
        <f t="shared" si="74"/>
        <v>0</v>
      </c>
      <c r="BE48" s="221"/>
      <c r="BF48" s="25">
        <f t="shared" si="75"/>
        <v>0</v>
      </c>
      <c r="BG48" s="25">
        <f t="shared" si="76"/>
        <v>0</v>
      </c>
      <c r="BH48" s="221"/>
      <c r="BI48" s="25">
        <f t="shared" si="77"/>
        <v>0</v>
      </c>
      <c r="BJ48" s="25">
        <f t="shared" si="78"/>
        <v>0</v>
      </c>
    </row>
    <row r="49" spans="1:66" ht="15.65" customHeight="1">
      <c r="A49" s="212" t="s">
        <v>1238</v>
      </c>
      <c r="B49" s="213" t="str">
        <f>+VLOOKUP(A49,Takstblad!$A$33:$B$54,2,FALSE)</f>
        <v/>
      </c>
      <c r="C49" s="285"/>
      <c r="D49" s="285"/>
      <c r="E49" s="285"/>
      <c r="F49" s="285"/>
      <c r="G49" s="285"/>
      <c r="H49" s="285"/>
      <c r="I49" s="285"/>
      <c r="J49" s="285"/>
      <c r="K49" s="285"/>
      <c r="L49" s="285"/>
      <c r="M49" s="19">
        <f t="shared" si="69"/>
        <v>0</v>
      </c>
      <c r="N49" s="285"/>
      <c r="O49" s="285" t="s">
        <v>113</v>
      </c>
      <c r="P49" s="212"/>
      <c r="Q49" s="218"/>
      <c r="R49" s="216">
        <f t="shared" si="55"/>
        <v>0</v>
      </c>
      <c r="S49" s="215">
        <f>+IFERROR(IF(S$19=Takstblad!C$3,VLOOKUP($A49,takstblad,3,FALSE)*C49,"fejl i år"),0)</f>
        <v>0</v>
      </c>
      <c r="T49" s="215">
        <f>+IFERROR(IF(T$19=Takstblad!D$3,VLOOKUP($A49,takstblad,4,FALSE)*D49,"fejl i år"),0)</f>
        <v>0</v>
      </c>
      <c r="U49" s="215">
        <f>+IFERROR(IF(U$19=Takstblad!E$3,VLOOKUP($A49,takstblad,5,FALSE)*E49,"fejl i år"),0)</f>
        <v>0</v>
      </c>
      <c r="V49" s="215">
        <f>+IFERROR(IF(V$19=Takstblad!F$3,VLOOKUP($A49,takstblad,6,FALSE)*F49,"fejl i år"),0)</f>
        <v>0</v>
      </c>
      <c r="W49" s="215">
        <f>+IFERROR(IF(W$19=Takstblad!G$3,VLOOKUP($A49,takstblad,7,FALSE)*G49,"fejl i år"),0)</f>
        <v>0</v>
      </c>
      <c r="X49" s="215">
        <f>+IFERROR(IF(X$19=Takstblad!H$3,VLOOKUP($A49,takstblad,8,FALSE)*H49,"fejl i år"),0)</f>
        <v>0</v>
      </c>
      <c r="Y49" s="215">
        <f>+IFERROR(IF(Y$19=Takstblad!I$3,VLOOKUP($A49,takstblad,9,FALSE)*I49,"fejl i år"),0)</f>
        <v>0</v>
      </c>
      <c r="Z49" s="215">
        <f>+IFERROR(IF(Z$19=Takstblad!J$3,VLOOKUP($A49,takstblad,10,FALSE)*J49,"fejl i år"),0)</f>
        <v>0</v>
      </c>
      <c r="AA49" s="215">
        <f>+IFERROR(IF(AA$19=Takstblad!K$3,VLOOKUP($A49,takstblad,11,FALSE)*K49,"fejl i år"),0)</f>
        <v>0</v>
      </c>
      <c r="AB49" s="215">
        <f>+IFERROR(IF(AB$19=Takstblad!L$3,VLOOKUP($A49,takstblad,12,FALSE)*L49,"fejl i år"),0)</f>
        <v>0</v>
      </c>
      <c r="AC49" s="216">
        <f t="shared" si="70"/>
        <v>0</v>
      </c>
      <c r="AD49" s="221"/>
      <c r="AE49" s="217">
        <f t="shared" si="56"/>
        <v>0</v>
      </c>
      <c r="AF49" s="217">
        <f t="shared" si="57"/>
        <v>0</v>
      </c>
      <c r="AG49" s="221"/>
      <c r="AH49" s="217">
        <f t="shared" si="79"/>
        <v>0</v>
      </c>
      <c r="AI49" s="217">
        <f t="shared" si="58"/>
        <v>0</v>
      </c>
      <c r="AJ49" s="221"/>
      <c r="AK49" s="215">
        <f t="shared" si="59"/>
        <v>0</v>
      </c>
      <c r="AL49" s="215">
        <f t="shared" si="60"/>
        <v>0</v>
      </c>
      <c r="AM49" s="221"/>
      <c r="AN49" s="215">
        <f t="shared" si="61"/>
        <v>0</v>
      </c>
      <c r="AO49" s="215">
        <f t="shared" si="62"/>
        <v>0</v>
      </c>
      <c r="AP49" s="221"/>
      <c r="AQ49" s="215">
        <f t="shared" si="63"/>
        <v>0</v>
      </c>
      <c r="AR49" s="215">
        <f t="shared" si="64"/>
        <v>0</v>
      </c>
      <c r="AS49" s="221"/>
      <c r="AT49" s="215">
        <f t="shared" si="65"/>
        <v>0</v>
      </c>
      <c r="AU49" s="215">
        <f t="shared" si="66"/>
        <v>0</v>
      </c>
      <c r="AV49" s="221"/>
      <c r="AW49" s="215">
        <f t="shared" si="67"/>
        <v>0</v>
      </c>
      <c r="AX49" s="215">
        <f t="shared" si="68"/>
        <v>0</v>
      </c>
      <c r="AY49" s="221"/>
      <c r="AZ49" s="215">
        <f t="shared" si="71"/>
        <v>0</v>
      </c>
      <c r="BA49" s="215">
        <f t="shared" si="72"/>
        <v>0</v>
      </c>
      <c r="BB49" s="221"/>
      <c r="BC49" s="215">
        <f t="shared" si="73"/>
        <v>0</v>
      </c>
      <c r="BD49" s="215">
        <f t="shared" si="74"/>
        <v>0</v>
      </c>
      <c r="BE49" s="221"/>
      <c r="BF49" s="215">
        <f t="shared" si="75"/>
        <v>0</v>
      </c>
      <c r="BG49" s="215">
        <f t="shared" si="76"/>
        <v>0</v>
      </c>
      <c r="BH49" s="221"/>
      <c r="BI49" s="215">
        <f t="shared" si="77"/>
        <v>0</v>
      </c>
      <c r="BJ49" s="215">
        <f t="shared" si="78"/>
        <v>0</v>
      </c>
    </row>
    <row r="50" spans="1:66" ht="15.65" customHeight="1">
      <c r="A50" s="7" t="s">
        <v>1238</v>
      </c>
      <c r="B50" s="4" t="str">
        <f>+VLOOKUP(A50,Takstblad!$A$33:$B$54,2,FALSE)</f>
        <v/>
      </c>
      <c r="C50" s="285"/>
      <c r="D50" s="285"/>
      <c r="E50" s="285"/>
      <c r="F50" s="285"/>
      <c r="G50" s="285"/>
      <c r="H50" s="285"/>
      <c r="I50" s="285"/>
      <c r="J50" s="285"/>
      <c r="K50" s="285"/>
      <c r="L50" s="285"/>
      <c r="M50" s="19">
        <f t="shared" si="69"/>
        <v>0</v>
      </c>
      <c r="N50" s="285"/>
      <c r="O50" s="285" t="s">
        <v>113</v>
      </c>
      <c r="Q50" s="26"/>
      <c r="R50" s="21">
        <f t="shared" si="55"/>
        <v>0</v>
      </c>
      <c r="S50" s="25">
        <f>+IFERROR(IF(S$19=Takstblad!C$3,VLOOKUP($A50,takstblad,3,FALSE)*C50,"fejl i år"),0)</f>
        <v>0</v>
      </c>
      <c r="T50" s="25">
        <f>+IFERROR(IF(T$19=Takstblad!D$3,VLOOKUP($A50,takstblad,4,FALSE)*D50,"fejl i år"),0)</f>
        <v>0</v>
      </c>
      <c r="U50" s="25">
        <f>+IFERROR(IF(U$19=Takstblad!E$3,VLOOKUP($A50,takstblad,5,FALSE)*E50,"fejl i år"),0)</f>
        <v>0</v>
      </c>
      <c r="V50" s="25">
        <f>+IFERROR(IF(V$19=Takstblad!F$3,VLOOKUP($A50,takstblad,6,FALSE)*F50,"fejl i år"),0)</f>
        <v>0</v>
      </c>
      <c r="W50" s="25">
        <f>+IFERROR(IF(W$19=Takstblad!G$3,VLOOKUP($A50,takstblad,7,FALSE)*G50,"fejl i år"),0)</f>
        <v>0</v>
      </c>
      <c r="X50" s="25">
        <f>+IFERROR(IF(X$19=Takstblad!H$3,VLOOKUP($A50,takstblad,8,FALSE)*H50,"fejl i år"),0)</f>
        <v>0</v>
      </c>
      <c r="Y50" s="25">
        <f>+IFERROR(IF(Y$19=Takstblad!I$3,VLOOKUP($A50,takstblad,9,FALSE)*I50,"fejl i år"),0)</f>
        <v>0</v>
      </c>
      <c r="Z50" s="25">
        <f>+IFERROR(IF(Z$19=Takstblad!J$3,VLOOKUP($A50,takstblad,10,FALSE)*J50,"fejl i år"),0)</f>
        <v>0</v>
      </c>
      <c r="AA50" s="25">
        <f>+IFERROR(IF(AA$19=Takstblad!K$3,VLOOKUP($A50,takstblad,11,FALSE)*K50,"fejl i år"),0)</f>
        <v>0</v>
      </c>
      <c r="AB50" s="25">
        <f>+IFERROR(IF(AB$19=Takstblad!L$3,VLOOKUP($A50,takstblad,12,FALSE)*L50,"fejl i år"),0)</f>
        <v>0</v>
      </c>
      <c r="AC50" s="21">
        <f t="shared" si="70"/>
        <v>0</v>
      </c>
      <c r="AD50" s="221"/>
      <c r="AE50" s="25">
        <f t="shared" si="56"/>
        <v>0</v>
      </c>
      <c r="AF50" s="25">
        <f t="shared" si="57"/>
        <v>0</v>
      </c>
      <c r="AG50" s="221"/>
      <c r="AH50" s="25">
        <f t="shared" si="79"/>
        <v>0</v>
      </c>
      <c r="AI50" s="25">
        <f t="shared" si="58"/>
        <v>0</v>
      </c>
      <c r="AJ50" s="221"/>
      <c r="AK50" s="25">
        <f t="shared" si="59"/>
        <v>0</v>
      </c>
      <c r="AL50" s="25">
        <f t="shared" si="60"/>
        <v>0</v>
      </c>
      <c r="AM50" s="221"/>
      <c r="AN50" s="25">
        <f t="shared" si="61"/>
        <v>0</v>
      </c>
      <c r="AO50" s="25">
        <f t="shared" si="62"/>
        <v>0</v>
      </c>
      <c r="AP50" s="221"/>
      <c r="AQ50" s="25">
        <f t="shared" si="63"/>
        <v>0</v>
      </c>
      <c r="AR50" s="25">
        <f t="shared" si="64"/>
        <v>0</v>
      </c>
      <c r="AS50" s="221"/>
      <c r="AT50" s="25">
        <f t="shared" si="65"/>
        <v>0</v>
      </c>
      <c r="AU50" s="25">
        <f t="shared" si="66"/>
        <v>0</v>
      </c>
      <c r="AV50" s="221"/>
      <c r="AW50" s="25">
        <f t="shared" si="67"/>
        <v>0</v>
      </c>
      <c r="AX50" s="25">
        <f t="shared" si="68"/>
        <v>0</v>
      </c>
      <c r="AY50" s="221"/>
      <c r="AZ50" s="25">
        <f t="shared" si="71"/>
        <v>0</v>
      </c>
      <c r="BA50" s="25">
        <f t="shared" si="72"/>
        <v>0</v>
      </c>
      <c r="BB50" s="221"/>
      <c r="BC50" s="25">
        <f t="shared" si="73"/>
        <v>0</v>
      </c>
      <c r="BD50" s="25">
        <f t="shared" si="74"/>
        <v>0</v>
      </c>
      <c r="BE50" s="221"/>
      <c r="BF50" s="25">
        <f t="shared" si="75"/>
        <v>0</v>
      </c>
      <c r="BG50" s="25">
        <f t="shared" si="76"/>
        <v>0</v>
      </c>
      <c r="BH50" s="221"/>
      <c r="BI50" s="25">
        <f t="shared" si="77"/>
        <v>0</v>
      </c>
      <c r="BJ50" s="25">
        <f t="shared" si="78"/>
        <v>0</v>
      </c>
    </row>
    <row r="51" spans="1:66" ht="15.65" customHeight="1">
      <c r="A51" s="212" t="s">
        <v>1238</v>
      </c>
      <c r="B51" s="213" t="str">
        <f>+VLOOKUP(A51,Takstblad!$A$33:$B$54,2,FALSE)</f>
        <v/>
      </c>
      <c r="C51" s="285"/>
      <c r="D51" s="285"/>
      <c r="E51" s="285"/>
      <c r="F51" s="285"/>
      <c r="G51" s="285"/>
      <c r="H51" s="285"/>
      <c r="I51" s="285"/>
      <c r="J51" s="285"/>
      <c r="K51" s="285"/>
      <c r="L51" s="285"/>
      <c r="M51" s="19">
        <f t="shared" si="69"/>
        <v>0</v>
      </c>
      <c r="N51" s="285"/>
      <c r="O51" s="285" t="s">
        <v>113</v>
      </c>
      <c r="P51" s="212"/>
      <c r="Q51" s="218"/>
      <c r="R51" s="216">
        <f t="shared" si="55"/>
        <v>0</v>
      </c>
      <c r="S51" s="215">
        <f>+IFERROR(IF(S$19=Takstblad!C$3,VLOOKUP($A51,takstblad,3,FALSE)*C51,"fejl i år"),0)</f>
        <v>0</v>
      </c>
      <c r="T51" s="215">
        <f>+IFERROR(IF(T$19=Takstblad!D$3,VLOOKUP($A51,takstblad,4,FALSE)*D51,"fejl i år"),0)</f>
        <v>0</v>
      </c>
      <c r="U51" s="215">
        <f>+IFERROR(IF(U$19=Takstblad!E$3,VLOOKUP($A51,takstblad,5,FALSE)*E51,"fejl i år"),0)</f>
        <v>0</v>
      </c>
      <c r="V51" s="215">
        <f>+IFERROR(IF(V$19=Takstblad!F$3,VLOOKUP($A51,takstblad,6,FALSE)*F51,"fejl i år"),0)</f>
        <v>0</v>
      </c>
      <c r="W51" s="215">
        <f>+IFERROR(IF(W$19=Takstblad!G$3,VLOOKUP($A51,takstblad,7,FALSE)*G51,"fejl i år"),0)</f>
        <v>0</v>
      </c>
      <c r="X51" s="215">
        <f>+IFERROR(IF(X$19=Takstblad!H$3,VLOOKUP($A51,takstblad,8,FALSE)*H51,"fejl i år"),0)</f>
        <v>0</v>
      </c>
      <c r="Y51" s="215">
        <f>+IFERROR(IF(Y$19=Takstblad!I$3,VLOOKUP($A51,takstblad,9,FALSE)*I51,"fejl i år"),0)</f>
        <v>0</v>
      </c>
      <c r="Z51" s="215">
        <f>+IFERROR(IF(Z$19=Takstblad!J$3,VLOOKUP($A51,takstblad,10,FALSE)*J51,"fejl i år"),0)</f>
        <v>0</v>
      </c>
      <c r="AA51" s="215">
        <f>+IFERROR(IF(AA$19=Takstblad!K$3,VLOOKUP($A51,takstblad,11,FALSE)*K51,"fejl i år"),0)</f>
        <v>0</v>
      </c>
      <c r="AB51" s="215">
        <f>+IFERROR(IF(AB$19=Takstblad!L$3,VLOOKUP($A51,takstblad,12,FALSE)*L51,"fejl i år"),0)</f>
        <v>0</v>
      </c>
      <c r="AC51" s="216">
        <f t="shared" si="70"/>
        <v>0</v>
      </c>
      <c r="AD51" s="221"/>
      <c r="AE51" s="217">
        <f t="shared" si="56"/>
        <v>0</v>
      </c>
      <c r="AF51" s="217">
        <f t="shared" si="57"/>
        <v>0</v>
      </c>
      <c r="AG51" s="221"/>
      <c r="AH51" s="217">
        <f t="shared" si="79"/>
        <v>0</v>
      </c>
      <c r="AI51" s="217">
        <f t="shared" si="58"/>
        <v>0</v>
      </c>
      <c r="AJ51" s="221"/>
      <c r="AK51" s="215">
        <f t="shared" si="59"/>
        <v>0</v>
      </c>
      <c r="AL51" s="215">
        <f t="shared" si="60"/>
        <v>0</v>
      </c>
      <c r="AM51" s="221"/>
      <c r="AN51" s="215">
        <f t="shared" si="61"/>
        <v>0</v>
      </c>
      <c r="AO51" s="215">
        <f t="shared" si="62"/>
        <v>0</v>
      </c>
      <c r="AP51" s="221"/>
      <c r="AQ51" s="215">
        <f t="shared" si="63"/>
        <v>0</v>
      </c>
      <c r="AR51" s="215">
        <f t="shared" si="64"/>
        <v>0</v>
      </c>
      <c r="AS51" s="221"/>
      <c r="AT51" s="215">
        <f t="shared" si="65"/>
        <v>0</v>
      </c>
      <c r="AU51" s="215">
        <f t="shared" si="66"/>
        <v>0</v>
      </c>
      <c r="AV51" s="221"/>
      <c r="AW51" s="215">
        <f t="shared" si="67"/>
        <v>0</v>
      </c>
      <c r="AX51" s="215">
        <f t="shared" si="68"/>
        <v>0</v>
      </c>
      <c r="AY51" s="221"/>
      <c r="AZ51" s="215">
        <f t="shared" si="71"/>
        <v>0</v>
      </c>
      <c r="BA51" s="215">
        <f t="shared" si="72"/>
        <v>0</v>
      </c>
      <c r="BB51" s="221"/>
      <c r="BC51" s="215">
        <f t="shared" si="73"/>
        <v>0</v>
      </c>
      <c r="BD51" s="215">
        <f t="shared" si="74"/>
        <v>0</v>
      </c>
      <c r="BE51" s="221"/>
      <c r="BF51" s="215">
        <f t="shared" si="75"/>
        <v>0</v>
      </c>
      <c r="BG51" s="215">
        <f t="shared" si="76"/>
        <v>0</v>
      </c>
      <c r="BH51" s="221"/>
      <c r="BI51" s="215">
        <f t="shared" si="77"/>
        <v>0</v>
      </c>
      <c r="BJ51" s="215">
        <f t="shared" si="78"/>
        <v>0</v>
      </c>
    </row>
    <row r="52" spans="1:66" ht="15.65" customHeight="1">
      <c r="A52" s="7" t="s">
        <v>1238</v>
      </c>
      <c r="B52" s="4" t="str">
        <f>+VLOOKUP(A52,Takstblad!$A$33:$B$54,2,FALSE)</f>
        <v/>
      </c>
      <c r="C52" s="285"/>
      <c r="D52" s="285"/>
      <c r="E52" s="285"/>
      <c r="F52" s="285"/>
      <c r="G52" s="285"/>
      <c r="H52" s="285"/>
      <c r="I52" s="285"/>
      <c r="J52" s="285"/>
      <c r="K52" s="285"/>
      <c r="L52" s="285"/>
      <c r="M52" s="19">
        <f t="shared" si="69"/>
        <v>0</v>
      </c>
      <c r="N52" s="285"/>
      <c r="O52" s="285" t="s">
        <v>113</v>
      </c>
      <c r="Q52" s="23"/>
      <c r="R52" s="21">
        <f t="shared" si="55"/>
        <v>0</v>
      </c>
      <c r="S52" s="25">
        <f>+IFERROR(IF(S$19=Takstblad!C$3,VLOOKUP($A52,takstblad,3,FALSE)*C52,"fejl i år"),0)</f>
        <v>0</v>
      </c>
      <c r="T52" s="25">
        <f>+IFERROR(IF(T$19=Takstblad!D$3,VLOOKUP($A52,takstblad,4,FALSE)*D52,"fejl i år"),0)</f>
        <v>0</v>
      </c>
      <c r="U52" s="25">
        <f>+IFERROR(IF(U$19=Takstblad!E$3,VLOOKUP($A52,takstblad,5,FALSE)*E52,"fejl i år"),0)</f>
        <v>0</v>
      </c>
      <c r="V52" s="25">
        <f>+IFERROR(IF(V$19=Takstblad!F$3,VLOOKUP($A52,takstblad,6,FALSE)*F52,"fejl i år"),0)</f>
        <v>0</v>
      </c>
      <c r="W52" s="25">
        <f>+IFERROR(IF(W$19=Takstblad!G$3,VLOOKUP($A52,takstblad,7,FALSE)*G52,"fejl i år"),0)</f>
        <v>0</v>
      </c>
      <c r="X52" s="25">
        <f>+IFERROR(IF(X$19=Takstblad!H$3,VLOOKUP($A52,takstblad,8,FALSE)*H52,"fejl i år"),0)</f>
        <v>0</v>
      </c>
      <c r="Y52" s="25">
        <f>+IFERROR(IF(Y$19=Takstblad!I$3,VLOOKUP($A52,takstblad,9,FALSE)*I52,"fejl i år"),0)</f>
        <v>0</v>
      </c>
      <c r="Z52" s="25">
        <f>+IFERROR(IF(Z$19=Takstblad!J$3,VLOOKUP($A52,takstblad,10,FALSE)*J52,"fejl i år"),0)</f>
        <v>0</v>
      </c>
      <c r="AA52" s="25">
        <f>+IFERROR(IF(AA$19=Takstblad!K$3,VLOOKUP($A52,takstblad,11,FALSE)*K52,"fejl i år"),0)</f>
        <v>0</v>
      </c>
      <c r="AB52" s="25">
        <f>+IFERROR(IF(AB$19=Takstblad!L$3,VLOOKUP($A52,takstblad,12,FALSE)*L52,"fejl i år"),0)</f>
        <v>0</v>
      </c>
      <c r="AC52" s="21">
        <f t="shared" si="70"/>
        <v>0</v>
      </c>
      <c r="AD52" s="221"/>
      <c r="AE52" s="25">
        <f t="shared" si="56"/>
        <v>0</v>
      </c>
      <c r="AF52" s="25">
        <f t="shared" si="57"/>
        <v>0</v>
      </c>
      <c r="AG52" s="221"/>
      <c r="AH52" s="25">
        <f t="shared" si="79"/>
        <v>0</v>
      </c>
      <c r="AI52" s="25">
        <f t="shared" si="58"/>
        <v>0</v>
      </c>
      <c r="AJ52" s="221"/>
      <c r="AK52" s="25">
        <f t="shared" si="59"/>
        <v>0</v>
      </c>
      <c r="AL52" s="25">
        <f t="shared" si="60"/>
        <v>0</v>
      </c>
      <c r="AM52" s="221"/>
      <c r="AN52" s="25">
        <f t="shared" si="61"/>
        <v>0</v>
      </c>
      <c r="AO52" s="25">
        <f t="shared" si="62"/>
        <v>0</v>
      </c>
      <c r="AP52" s="221"/>
      <c r="AQ52" s="25">
        <f t="shared" si="63"/>
        <v>0</v>
      </c>
      <c r="AR52" s="25">
        <f t="shared" si="64"/>
        <v>0</v>
      </c>
      <c r="AS52" s="221"/>
      <c r="AT52" s="25">
        <f t="shared" si="65"/>
        <v>0</v>
      </c>
      <c r="AU52" s="25">
        <f t="shared" si="66"/>
        <v>0</v>
      </c>
      <c r="AV52" s="221"/>
      <c r="AW52" s="25">
        <f t="shared" si="67"/>
        <v>0</v>
      </c>
      <c r="AX52" s="25">
        <f t="shared" si="68"/>
        <v>0</v>
      </c>
      <c r="AY52" s="221"/>
      <c r="AZ52" s="25">
        <f t="shared" si="71"/>
        <v>0</v>
      </c>
      <c r="BA52" s="25">
        <f t="shared" si="72"/>
        <v>0</v>
      </c>
      <c r="BB52" s="221"/>
      <c r="BC52" s="25">
        <f t="shared" si="73"/>
        <v>0</v>
      </c>
      <c r="BD52" s="25">
        <f t="shared" si="74"/>
        <v>0</v>
      </c>
      <c r="BE52" s="221"/>
      <c r="BF52" s="25">
        <f t="shared" si="75"/>
        <v>0</v>
      </c>
      <c r="BG52" s="25">
        <f t="shared" si="76"/>
        <v>0</v>
      </c>
      <c r="BH52" s="221"/>
      <c r="BI52" s="25">
        <f t="shared" si="77"/>
        <v>0</v>
      </c>
      <c r="BJ52" s="25">
        <f t="shared" si="78"/>
        <v>0</v>
      </c>
    </row>
    <row r="53" spans="1:66" s="11" customFormat="1" ht="15.65" customHeight="1">
      <c r="A53" s="5" t="s">
        <v>231</v>
      </c>
      <c r="B53" s="4"/>
      <c r="C53" s="157">
        <f>IF($C$12=2,0,IF(OR($G$7="Salary and operations",$G$7="Salary"),S53/Takstblad!C57,0))</f>
        <v>0</v>
      </c>
      <c r="D53" s="157">
        <f>IF($C$12=2,0,IF(OR($G$7="Salary and operations",$G$7="Salary"),T53/Takstblad!D57,0))</f>
        <v>0</v>
      </c>
      <c r="E53" s="157">
        <f>IF($C$12=2,0,IF(OR($G$7="Salary and operations",$G$7="Salary"),U53/Takstblad!E57,0))</f>
        <v>0</v>
      </c>
      <c r="F53" s="157">
        <f>IF($C$12=2,0,IF(OR($G$7="Salary and operations",$G$7="Salary"),V53/Takstblad!F57,0))</f>
        <v>0</v>
      </c>
      <c r="G53" s="157">
        <f>IF($C$12=2,0,IF(OR($G$7="Salary and operations",$G$7="Salary"),W53/Takstblad!G57,0))</f>
        <v>0</v>
      </c>
      <c r="H53" s="157">
        <f>IF($C$12=2,0,IF(OR($G$7="Salary and operations",$G$7="Salary"),X53/Takstblad!H57,0))</f>
        <v>0</v>
      </c>
      <c r="I53" s="157">
        <f>IF($C$12=2,0,IF(OR($G$7="Salary and operations",$G$7="Salary"),Y53/Takstblad!I57,0))</f>
        <v>0</v>
      </c>
      <c r="J53" s="157">
        <f>IF($C$12=2,0,IF(OR($G$7="Salary and operations",$G$7="Salary"),Z53/Takstblad!J57,0))</f>
        <v>0</v>
      </c>
      <c r="K53" s="157">
        <f>IF($C$12=2,0,IF(OR($G$7="Salary and operations",$G$7="Salary"),AA53/Takstblad!K57,0))</f>
        <v>0</v>
      </c>
      <c r="L53" s="157">
        <f>IF($C$12=2,0,IF(OR($G$7="Salary and operations",$G$7="Salary"),AB53/Takstblad!L57,0))</f>
        <v>0</v>
      </c>
      <c r="M53" s="65">
        <f t="shared" si="69"/>
        <v>0</v>
      </c>
      <c r="N53" s="158"/>
      <c r="O53" s="159" t="s">
        <v>152</v>
      </c>
      <c r="Q53" s="27"/>
      <c r="R53" s="21">
        <f>+AC53</f>
        <v>0</v>
      </c>
      <c r="S53" s="25">
        <f>IFERROR(IF($C$12=2,0,IF(OR($G$7="Salary and operations",$G$7="Salary"),VLOOKUP($C$2,Takstblad!$B$58:$L$70,2,FALSE)*C$58,0)),0)</f>
        <v>0</v>
      </c>
      <c r="T53" s="25">
        <f>IFERROR(IF($C$12=2,0,IF(OR($G$7="Salary and operations",$G$7="Salary"),VLOOKUP($C$2,Takstblad!$B$58:$L$70,3,FALSE)*D$58,0)),0)</f>
        <v>0</v>
      </c>
      <c r="U53" s="25">
        <f>IFERROR(IF($C$12=2,0,IF(OR($G$7="Salary and operations",$G$7="Salary"),VLOOKUP($C$2,Takstblad!$B$58:$L$70,4,FALSE)*E$58,0)),0)</f>
        <v>0</v>
      </c>
      <c r="V53" s="25">
        <f>IFERROR(IF($C$12=2,0,IF(OR($G$7="Salary and operations",$G$7="Salary"),VLOOKUP($C$2,Takstblad!$B$58:$L$70,5,FALSE)*F$58,0)),0)</f>
        <v>0</v>
      </c>
      <c r="W53" s="25">
        <f>IFERROR(IF($C$12=2,0,IF(OR($G$7="Salary and operations",$G$7="Salary"),VLOOKUP($C$2,Takstblad!$B$58:$L$70,6,FALSE)*G$58,0)),0)</f>
        <v>0</v>
      </c>
      <c r="X53" s="25">
        <f>IFERROR(IF($C$12=2,0,IF(OR($G$7="Salary and operations",$G$7="Salary"),VLOOKUP($C$2,Takstblad!$B$58:$L$70,7,FALSE)*H$58,0)),0)</f>
        <v>0</v>
      </c>
      <c r="Y53" s="25">
        <f>IFERROR(IF($C$12=2,0,IF(OR($G$7="salary and operations",$G$7="Salary"),VLOOKUP($C$2,Takstblad!$B$58:$L$70,8,FALSE)*I$58,0)),0)</f>
        <v>0</v>
      </c>
      <c r="Z53" s="25">
        <f>IFERROR(IF($C$12=2,0,IF(OR($G$7="salary and operations",$G$7="Salary"),VLOOKUP($C$2,Takstblad!$B$58:$L$70,9,FALSE)*J$58,0)),0)</f>
        <v>0</v>
      </c>
      <c r="AA53" s="25">
        <f>IFERROR(IF($C$12=2,0,IF(OR($G$7="salary and operations",$G$7="Salary"),VLOOKUP($C$2,Takstblad!$B$58:$L$70,10,FALSE)*K$58,0)),0)</f>
        <v>0</v>
      </c>
      <c r="AB53" s="25">
        <f>IFERROR(IF($C$12=2,0,IF(OR($G$7="salary and operations",$G$7="Salary"),VLOOKUP($C$2,Takstblad!$B$58:$L$70,11,FALSE)*L$58,0)),0)</f>
        <v>0</v>
      </c>
      <c r="AC53" s="21">
        <f t="shared" si="70"/>
        <v>0</v>
      </c>
      <c r="AD53" s="221"/>
      <c r="AE53" s="25">
        <f>+M53*($C$7/12)</f>
        <v>0</v>
      </c>
      <c r="AF53" s="25">
        <f t="shared" si="57"/>
        <v>0</v>
      </c>
      <c r="AG53" s="7"/>
      <c r="AH53" s="25">
        <f t="shared" si="79"/>
        <v>0</v>
      </c>
      <c r="AI53" s="25">
        <f t="shared" si="58"/>
        <v>0</v>
      </c>
      <c r="AJ53" s="7"/>
      <c r="AK53" s="25">
        <f t="shared" si="59"/>
        <v>0</v>
      </c>
      <c r="AL53" s="25">
        <f t="shared" si="60"/>
        <v>0</v>
      </c>
      <c r="AM53" s="221"/>
      <c r="AN53" s="25">
        <f t="shared" si="61"/>
        <v>0</v>
      </c>
      <c r="AO53" s="25">
        <f t="shared" si="62"/>
        <v>0</v>
      </c>
      <c r="AP53" s="221"/>
      <c r="AQ53" s="25">
        <f t="shared" si="63"/>
        <v>0</v>
      </c>
      <c r="AR53" s="25">
        <f t="shared" si="64"/>
        <v>0</v>
      </c>
      <c r="AS53" s="221"/>
      <c r="AT53" s="25">
        <f t="shared" si="65"/>
        <v>0</v>
      </c>
      <c r="AU53" s="25">
        <f t="shared" si="66"/>
        <v>0</v>
      </c>
      <c r="AV53" s="221"/>
      <c r="AW53" s="25">
        <f t="shared" si="67"/>
        <v>0</v>
      </c>
      <c r="AX53" s="25">
        <f t="shared" si="68"/>
        <v>0</v>
      </c>
      <c r="AY53" s="7"/>
      <c r="AZ53" s="25">
        <f t="shared" si="71"/>
        <v>0</v>
      </c>
      <c r="BA53" s="25">
        <f t="shared" si="72"/>
        <v>0</v>
      </c>
      <c r="BB53" s="7"/>
      <c r="BC53" s="25">
        <f t="shared" si="73"/>
        <v>0</v>
      </c>
      <c r="BD53" s="25">
        <f t="shared" si="74"/>
        <v>0</v>
      </c>
      <c r="BE53" s="7"/>
      <c r="BF53" s="25">
        <f t="shared" si="75"/>
        <v>0</v>
      </c>
      <c r="BG53" s="25">
        <f t="shared" si="76"/>
        <v>0</v>
      </c>
      <c r="BH53" s="7"/>
      <c r="BI53" s="25">
        <f t="shared" si="77"/>
        <v>0</v>
      </c>
      <c r="BJ53" s="25">
        <f t="shared" si="78"/>
        <v>0</v>
      </c>
      <c r="BK53" s="7"/>
      <c r="BL53" s="7"/>
      <c r="BM53" s="7"/>
      <c r="BN53" s="7"/>
    </row>
    <row r="54" spans="1:66" s="11" customFormat="1" ht="15.65" customHeight="1">
      <c r="A54" s="5" t="s">
        <v>232</v>
      </c>
      <c r="B54" s="4"/>
      <c r="C54" s="157">
        <f>IF($C$12=2,0,IF(OR($G$7="Salary and operations",$G$7="Salary"),S54/Takstblad!C57,0))</f>
        <v>0</v>
      </c>
      <c r="D54" s="157">
        <f>IF($C$12=2,0,IF(OR($G$7="Salary and operations",$G$7="Salary"),T54/Takstblad!D57,0))</f>
        <v>0</v>
      </c>
      <c r="E54" s="157">
        <f>IF($C$12=2,0,IF(OR($G$7="Salary and operations",$G$7="Salary"),U54/Takstblad!E57,0))</f>
        <v>0</v>
      </c>
      <c r="F54" s="157">
        <f>IF($C$12=2,0,IF(OR($G$7="Salary and operations",$G$7="Salary"),V54/Takstblad!F57,0))</f>
        <v>0</v>
      </c>
      <c r="G54" s="157">
        <f>IF($C$12=2,0,IF(OR($G$7="Salary and operations",$G$7="Salary"),W54/Takstblad!G57,0))</f>
        <v>0</v>
      </c>
      <c r="H54" s="157">
        <f>IF($C$12=2,0,IF(OR($G$7="Salary and operations",$G$7="Salary"),X54/Takstblad!H57,0))</f>
        <v>0</v>
      </c>
      <c r="I54" s="157">
        <f>IF($C$12=2,0,IF(OR($G$7="Salary and operations",$G$7="Salary"),Y54/Takstblad!I57,0))</f>
        <v>0</v>
      </c>
      <c r="J54" s="157">
        <f>IF($C$12=2,0,IF(OR($G$7="Salary and operations",$G$7="Salary"),Z54/Takstblad!J57,0))</f>
        <v>0</v>
      </c>
      <c r="K54" s="157">
        <f>IF($C$12=2,0,IF(OR($G$7="Salary and operations",$G$7="Salary"),AA54/Takstblad!K57,0))</f>
        <v>0</v>
      </c>
      <c r="L54" s="157">
        <f>IF($C$12=2,0,IF(OR($G$7="Salary and operations",$G$7="Salary"),AB54/Takstblad!L57,0))</f>
        <v>0</v>
      </c>
      <c r="M54" s="65">
        <f t="shared" si="69"/>
        <v>0</v>
      </c>
      <c r="N54" s="158"/>
      <c r="O54" s="159" t="s">
        <v>112</v>
      </c>
      <c r="Q54" s="27"/>
      <c r="R54" s="21">
        <f t="shared" si="55"/>
        <v>0</v>
      </c>
      <c r="S54" s="25">
        <f>IFERROR(IF($C$12=2,0,IF(OR($G$7="Salary and operations",$G$7="Salary"),VLOOKUP($C$2,Takstblad!$B$58:$L$70,2,FALSE)*C$59,0)),0)</f>
        <v>0</v>
      </c>
      <c r="T54" s="25">
        <f>IFERROR(IF($C$12=2,0,IF(OR($G$7="Salary and operations",$G$7="Salary"),VLOOKUP($C$2,Takstblad!$B$58:$L$70,3,FALSE)*D$59,0)),0)</f>
        <v>0</v>
      </c>
      <c r="U54" s="25">
        <f>IFERROR(IF($C$12=2,0,IF(OR($G$7="Salary and operations",$G$7="Salary"),VLOOKUP($C$2,Takstblad!$B$58:$L$70,4,FALSE)*E$59,0)),0)</f>
        <v>0</v>
      </c>
      <c r="V54" s="25">
        <f>IFERROR(IF($C$12=2,0,IF(OR($G$7="Salary and operations",$G$7="Salary"),VLOOKUP($C$2,Takstblad!$B$58:$L$70,5,FALSE)*F$59,0)),0)</f>
        <v>0</v>
      </c>
      <c r="W54" s="25">
        <f>IFERROR(IF($C$12=2,0,IF(OR($G$7="Salary and operations",$G$7="Salary"),VLOOKUP($C$2,Takstblad!$B$58:$L$70,6,FALSE)*G$59,0)),0)</f>
        <v>0</v>
      </c>
      <c r="X54" s="25">
        <f>IFERROR(IF($C$12=2,0,IF(OR($G$7="Salary and operations",$G$7="Salary"),VLOOKUP($C$2,Takstblad!$B$58:$L$70,7,FALSE)*H$59,0)),0)</f>
        <v>0</v>
      </c>
      <c r="Y54" s="25">
        <f>IFERROR(IF($C$12=2,0,IF(OR($G$7="salary and operations",$G$7="Salary"),VLOOKUP($C$2,Takstblad!$B$58:$L$70,8,FALSE)*I$59,0)),0)</f>
        <v>0</v>
      </c>
      <c r="Z54" s="25">
        <f>IFERROR(IF($C$12=2,0,IF(OR($G$7="salary and operations",$G$7="Salary"),VLOOKUP($C$2,Takstblad!$B$58:$L$70,9,FALSE)*J$59,0)),0)</f>
        <v>0</v>
      </c>
      <c r="AA54" s="25">
        <f>IFERROR(IF($C$12=2,0,IF(OR($G$7="salary and operations",$G$7="Salary"),VLOOKUP($C$2,Takstblad!$B$58:$L$70,10,FALSE)*K$59,0)),0)</f>
        <v>0</v>
      </c>
      <c r="AB54" s="25">
        <f>IFERROR(IF($C$12=2,0,IF(OR($G$7="salary and operations",$G$7="Salary"),VLOOKUP($C$2,Takstblad!$B$58:$L$70,11,FALSE)*L$59,0)),0)</f>
        <v>0</v>
      </c>
      <c r="AC54" s="21">
        <f t="shared" si="70"/>
        <v>0</v>
      </c>
      <c r="AD54" s="7"/>
      <c r="AE54" s="25">
        <f>+M54*($C$7/12)</f>
        <v>0</v>
      </c>
      <c r="AF54" s="25">
        <f>IFERROR(AC54/AE54,0)</f>
        <v>0</v>
      </c>
      <c r="AG54" s="7"/>
      <c r="AH54" s="25">
        <f>+C54*($C$7/12)</f>
        <v>0</v>
      </c>
      <c r="AI54" s="25">
        <f>IFERROR(S54/AH54,0)</f>
        <v>0</v>
      </c>
      <c r="AJ54" s="7"/>
      <c r="AK54" s="25">
        <f>+D54*($C$7/12)</f>
        <v>0</v>
      </c>
      <c r="AL54" s="25">
        <f>IFERROR(T54/AK54,0)</f>
        <v>0</v>
      </c>
      <c r="AM54" s="7"/>
      <c r="AN54" s="25">
        <f>+E54*($C$7/12)</f>
        <v>0</v>
      </c>
      <c r="AO54" s="25">
        <f>IFERROR(U54/AN54,0)</f>
        <v>0</v>
      </c>
      <c r="AP54" s="221"/>
      <c r="AQ54" s="25">
        <f>+F54*($C$7/12)</f>
        <v>0</v>
      </c>
      <c r="AR54" s="25">
        <f>IFERROR(V54/AQ54,0)</f>
        <v>0</v>
      </c>
      <c r="AS54" s="7"/>
      <c r="AT54" s="25">
        <f>+G54*($C$7/12)</f>
        <v>0</v>
      </c>
      <c r="AU54" s="25">
        <f>IFERROR(W54/AT54,0)</f>
        <v>0</v>
      </c>
      <c r="AV54" s="7"/>
      <c r="AW54" s="25">
        <f>+H54*($C$7/12)</f>
        <v>0</v>
      </c>
      <c r="AX54" s="25">
        <f>IFERROR(X54/AW54,0)</f>
        <v>0</v>
      </c>
      <c r="AY54" s="7"/>
      <c r="AZ54" s="25">
        <f>+I54*($C$7/12)</f>
        <v>0</v>
      </c>
      <c r="BA54" s="25">
        <f>IFERROR(Y54/AZ54,0)</f>
        <v>0</v>
      </c>
      <c r="BB54" s="7"/>
      <c r="BC54" s="25">
        <f>+J54*($C$7/12)</f>
        <v>0</v>
      </c>
      <c r="BD54" s="25">
        <f>IFERROR(Z54/BC54,0)</f>
        <v>0</v>
      </c>
      <c r="BE54" s="7"/>
      <c r="BF54" s="25">
        <f t="shared" si="75"/>
        <v>0</v>
      </c>
      <c r="BG54" s="25">
        <f t="shared" si="76"/>
        <v>0</v>
      </c>
      <c r="BH54" s="7"/>
      <c r="BI54" s="25">
        <f t="shared" si="77"/>
        <v>0</v>
      </c>
      <c r="BJ54" s="25">
        <f t="shared" si="78"/>
        <v>0</v>
      </c>
      <c r="BK54" s="7"/>
      <c r="BL54" s="7"/>
      <c r="BM54" s="7"/>
      <c r="BN54" s="7"/>
    </row>
    <row r="55" spans="1:66" ht="15.65" customHeight="1" thickBot="1">
      <c r="A55" s="5" t="s">
        <v>719</v>
      </c>
      <c r="B55" s="4"/>
      <c r="C55" s="160">
        <f>IF($C$10="Yes",((SUMIFS(C$20:C$29,$O$20:$O$29,Lister!$D$29,$A$20:$A$29,Takstblad!$A$18)+SUMIFS(C$20:C$29,$O$20:$O$29,Lister!$D$29,$A$20:$A$29,Takstblad!$A$19)+SUMIFS(C$20:C$29,$O$20:$O$29,Lister!$D$29,$A$20:$A$29,Takstblad!$A$20)+SUMIFS(C$20:C$29,$O$20:$O$29,Lister!$D$29,$A$20:$A$29,Takstblad!$A$21)+SUMIFS(C$20:C$29,$O$20:$O$29,Lister!$D$29,$A$20:$A$29,Takstblad!$A$22)+SUMIFS(C$20:C$29,$O$20:$O$29,Lister!$D$29,$A$20:$A$29,Takstblad!$A$23)+SUMIFS(C$20:C$29,$O$20:$O$29,Lister!$D$30,$A$20:$A$29,Takstblad!$A$18)+SUMIFS(C$20:C$29,$O$20:$O$29,Lister!$D$30,$A$20:$A$29,Takstblad!$A$19)+SUMIFS(C$20:C$29,$O$20:$O$29,Lister!$D$30,$A$20:$A$29,Takstblad!$A$20)+SUMIFS(C$20:C$29,$O$20:$O$29,Lister!$D$30,$A$20:$A$29,Takstblad!$A$21)+SUMIFS(C$20:C$29,$O$20:$O$29,Lister!$D$30,$A$20:$A$29,Takstblad!$A$22)+SUMIFS(C$20:C$29,$O$20:$O$29,Lister!$D$30,$A$20:$A$29,Takstblad!$A$23))/12)*0.5+((+SUMIF($O$43:$O$52,Lister!$D$29,C$43:C$52)-SUMIFS(C$43:C$52,$O$43:$O$52,Lister!$D$29,$A$43:$A$52,Takstblad!$A$34)-SUMIFS(C$43:C$52,$O$43:$O$52,Lister!$D$29,$A$43:$A$52,Takstblad!$A$36)-SUMIFS(C$43:C$52,$O$43:$O$52,Lister!$D$29,$A$43:$A$52,Takstblad!$A$43)-SUMIFS(C$43:C$52,$O$43:$O$52,Lister!$D$29,$A$43:$A$52,Takstblad!$A$44)+SUMIF($O$43:$O$52,Lister!$D$30,C$43:C$52)-SUMIFS(C$43:C$52,$O$43:$O$52,Lister!$D$30,$A$43:$A$52,Takstblad!$A$34)-SUMIFS(C$43:C$52,$O$43:$O$52,Lister!$D$30,$A$43:$A$52,Takstblad!$A$36)-SUMIFS(C$43:C$52,$O$43:$O$52,Lister!$D$30,$A$43:$A$52,Takstblad!$A$43)-SUMIFS(C$43:C$52,$O$43:$O$52,Lister!$D$30,$A$43:$A$52,Takstblad!$A$44))*0.3),0)</f>
        <v>0</v>
      </c>
      <c r="D55" s="160">
        <f>IF($C$10="Yes",((SUMIFS(D$20:D$29,$O$20:$O$29,Lister!$D$29,$A$20:$A$29,Takstblad!$A$18)+SUMIFS(D$20:D$29,$O$20:$O$29,Lister!$D$29,$A$20:$A$29,Takstblad!$A$19)+SUMIFS(D$20:D$29,$O$20:$O$29,Lister!$D$29,$A$20:$A$29,Takstblad!$A$20)+SUMIFS(D$20:D$29,$O$20:$O$29,Lister!$D$29,$A$20:$A$29,Takstblad!$A$21)+SUMIFS(D$20:D$29,$O$20:$O$29,Lister!$D$29,$A$20:$A$29,Takstblad!$A$22)+SUMIFS(D$20:D$29,$O$20:$O$29,Lister!$D$29,$A$20:$A$29,Takstblad!$A$23)+SUMIFS(D$20:D$29,$O$20:$O$29,Lister!$D$30,$A$20:$A$29,Takstblad!$A$18)+SUMIFS(D$20:D$29,$O$20:$O$29,Lister!$D$30,$A$20:$A$29,Takstblad!$A$19)+SUMIFS(D$20:D$29,$O$20:$O$29,Lister!$D$30,$A$20:$A$29,Takstblad!$A$20)+SUMIFS(D$20:D$29,$O$20:$O$29,Lister!$D$30,$A$20:$A$29,Takstblad!$A$21)+SUMIFS(D$20:D$29,$O$20:$O$29,Lister!$D$30,$A$20:$A$29,Takstblad!$A$22)+SUMIFS(D$20:D$29,$O$20:$O$29,Lister!$D$30,$A$20:$A$29,Takstblad!$A$23))/12)*0.5+((+SUMIF($O$43:$O$52,Lister!$D$29,D$43:D$52)-SUMIFS(D$43:D$52,$O$43:$O$52,Lister!$D$29,$A$43:$A$52,Takstblad!$A$34)-SUMIFS(D$43:D$52,$O$43:$O$52,Lister!$D$29,$A$43:$A$52,Takstblad!$A$36)-SUMIFS(D$43:D$52,$O$43:$O$52,Lister!$D$29,$A$43:$A$52,Takstblad!$A$43)-SUMIFS(D$43:D$52,$O$43:$O$52,Lister!$D$29,$A$43:$A$52,Takstblad!$A$44)+SUMIF($O$43:$O$52,Lister!$D$30,D$43:D$52)-SUMIFS(D$43:D$52,$O$43:$O$52,Lister!$D$30,$A$43:$A$52,Takstblad!$A$34)-SUMIFS(D$43:D$52,$O$43:$O$52,Lister!$D$30,$A$43:$A$52,Takstblad!$A$36)-SUMIFS(D$43:D$52,$O$43:$O$52,Lister!$D$30,$A$43:$A$52,Takstblad!$A$43)-SUMIFS(D$43:D$52,$O$43:$O$52,Lister!$D$30,$A$43:$A$52,Takstblad!$A$44))*0.3),0)</f>
        <v>0</v>
      </c>
      <c r="E55" s="160">
        <f>IF($C$10="Yes",((SUMIFS(E$20:E$29,$O$20:$O$29,Lister!$D$29,$A$20:$A$29,Takstblad!$A$18)+SUMIFS(E$20:E$29,$O$20:$O$29,Lister!$D$29,$A$20:$A$29,Takstblad!$A$19)+SUMIFS(E$20:E$29,$O$20:$O$29,Lister!$D$29,$A$20:$A$29,Takstblad!$A$20)+SUMIFS(E$20:E$29,$O$20:$O$29,Lister!$D$29,$A$20:$A$29,Takstblad!$A$21)+SUMIFS(E$20:E$29,$O$20:$O$29,Lister!$D$29,$A$20:$A$29,Takstblad!$A$22)+SUMIFS(E$20:E$29,$O$20:$O$29,Lister!$D$29,$A$20:$A$29,Takstblad!$A$23)+SUMIFS(E$20:E$29,$O$20:$O$29,Lister!$D$30,$A$20:$A$29,Takstblad!$A$18)+SUMIFS(E$20:E$29,$O$20:$O$29,Lister!$D$30,$A$20:$A$29,Takstblad!$A$19)+SUMIFS(E$20:E$29,$O$20:$O$29,Lister!$D$30,$A$20:$A$29,Takstblad!$A$20)+SUMIFS(E$20:E$29,$O$20:$O$29,Lister!$D$30,$A$20:$A$29,Takstblad!$A$21)+SUMIFS(E$20:E$29,$O$20:$O$29,Lister!$D$30,$A$20:$A$29,Takstblad!$A$22)+SUMIFS(E$20:E$29,$O$20:$O$29,Lister!$D$30,$A$20:$A$29,Takstblad!$A$23))/12)*0.5+((+SUMIF($O$43:$O$52,Lister!$D$29,E$43:E$52)-SUMIFS(E$43:E$52,$O$43:$O$52,Lister!$D$29,$A$43:$A$52,Takstblad!$A$34)-SUMIFS(E$43:E$52,$O$43:$O$52,Lister!$D$29,$A$43:$A$52,Takstblad!$A$36)-SUMIFS(E$43:E$52,$O$43:$O$52,Lister!$D$29,$A$43:$A$52,Takstblad!$A$43)-SUMIFS(E$43:E$52,$O$43:$O$52,Lister!$D$29,$A$43:$A$52,Takstblad!$A$44)+SUMIF($O$43:$O$52,Lister!$D$30,E$43:E$52)-SUMIFS(E$43:E$52,$O$43:$O$52,Lister!$D$30,$A$43:$A$52,Takstblad!$A$34)-SUMIFS(E$43:E$52,$O$43:$O$52,Lister!$D$30,$A$43:$A$52,Takstblad!$A$36)-SUMIFS(E$43:E$52,$O$43:$O$52,Lister!$D$30,$A$43:$A$52,Takstblad!$A$43)-SUMIFS(E$43:E$52,$O$43:$O$52,Lister!$D$30,$A$43:$A$52,Takstblad!$A$44))*0.3),0)</f>
        <v>0</v>
      </c>
      <c r="F55" s="160">
        <f>IF($C$10="Yes",((SUMIFS(F$20:F$29,$O$20:$O$29,Lister!$D$29,$A$20:$A$29,Takstblad!$A$18)+SUMIFS(F$20:F$29,$O$20:$O$29,Lister!$D$29,$A$20:$A$29,Takstblad!$A$19)+SUMIFS(F$20:F$29,$O$20:$O$29,Lister!$D$29,$A$20:$A$29,Takstblad!$A$20)+SUMIFS(F$20:F$29,$O$20:$O$29,Lister!$D$29,$A$20:$A$29,Takstblad!$A$21)+SUMIFS(F$20:F$29,$O$20:$O$29,Lister!$D$29,$A$20:$A$29,Takstblad!$A$22)+SUMIFS(F$20:F$29,$O$20:$O$29,Lister!$D$29,$A$20:$A$29,Takstblad!$A$23)+SUMIFS(F$20:F$29,$O$20:$O$29,Lister!$D$30,$A$20:$A$29,Takstblad!$A$18)+SUMIFS(F$20:F$29,$O$20:$O$29,Lister!$D$30,$A$20:$A$29,Takstblad!$A$19)+SUMIFS(F$20:F$29,$O$20:$O$29,Lister!$D$30,$A$20:$A$29,Takstblad!$A$20)+SUMIFS(F$20:F$29,$O$20:$O$29,Lister!$D$30,$A$20:$A$29,Takstblad!$A$21)+SUMIFS(F$20:F$29,$O$20:$O$29,Lister!$D$30,$A$20:$A$29,Takstblad!$A$22)+SUMIFS(F$20:F$29,$O$20:$O$29,Lister!$D$30,$A$20:$A$29,Takstblad!$A$23))/12)*0.5+((+SUMIF($O$43:$O$52,Lister!$D$29,F$43:F$52)-SUMIFS(F$43:F$52,$O$43:$O$52,Lister!$D$29,$A$43:$A$52,Takstblad!$A$34)-SUMIFS(F$43:F$52,$O$43:$O$52,Lister!$D$29,$A$43:$A$52,Takstblad!$A$36)-SUMIFS(F$43:F$52,$O$43:$O$52,Lister!$D$29,$A$43:$A$52,Takstblad!$A$43)-SUMIFS(F$43:F$52,$O$43:$O$52,Lister!$D$29,$A$43:$A$52,Takstblad!$A$44)+SUMIF($O$43:$O$52,Lister!$D$30,F$43:F$52)-SUMIFS(F$43:F$52,$O$43:$O$52,Lister!$D$30,$A$43:$A$52,Takstblad!$A$34)-SUMIFS(F$43:F$52,$O$43:$O$52,Lister!$D$30,$A$43:$A$52,Takstblad!$A$36)-SUMIFS(F$43:F$52,$O$43:$O$52,Lister!$D$30,$A$43:$A$52,Takstblad!$A$43)-SUMIFS(F$43:F$52,$O$43:$O$52,Lister!$D$30,$A$43:$A$52,Takstblad!$A$44))*0.3),0)</f>
        <v>0</v>
      </c>
      <c r="G55" s="160">
        <f>IF($C$10="Yes",((SUMIFS(G$20:G$29,$O$20:$O$29,Lister!$D$29,$A$20:$A$29,Takstblad!$A$18)+SUMIFS(G$20:G$29,$O$20:$O$29,Lister!$D$29,$A$20:$A$29,Takstblad!$A$19)+SUMIFS(G$20:G$29,$O$20:$O$29,Lister!$D$29,$A$20:$A$29,Takstblad!$A$20)+SUMIFS(G$20:G$29,$O$20:$O$29,Lister!$D$29,$A$20:$A$29,Takstblad!$A$21)+SUMIFS(G$20:G$29,$O$20:$O$29,Lister!$D$29,$A$20:$A$29,Takstblad!$A$22)+SUMIFS(G$20:G$29,$O$20:$O$29,Lister!$D$29,$A$20:$A$29,Takstblad!$A$23)+SUMIFS(G$20:G$29,$O$20:$O$29,Lister!$D$30,$A$20:$A$29,Takstblad!$A$18)+SUMIFS(G$20:G$29,$O$20:$O$29,Lister!$D$30,$A$20:$A$29,Takstblad!$A$19)+SUMIFS(G$20:G$29,$O$20:$O$29,Lister!$D$30,$A$20:$A$29,Takstblad!$A$20)+SUMIFS(G$20:G$29,$O$20:$O$29,Lister!$D$30,$A$20:$A$29,Takstblad!$A$21)+SUMIFS(G$20:G$29,$O$20:$O$29,Lister!$D$30,$A$20:$A$29,Takstblad!$A$22)+SUMIFS(G$20:G$29,$O$20:$O$29,Lister!$D$30,$A$20:$A$29,Takstblad!$A$23))/12)*0.5+((+SUMIF($O$43:$O$52,Lister!$D$29,G$43:G$52)-SUMIFS(G$43:G$52,$O$43:$O$52,Lister!$D$29,$A$43:$A$52,Takstblad!$A$34)-SUMIFS(G$43:G$52,$O$43:$O$52,Lister!$D$29,$A$43:$A$52,Takstblad!$A$36)-SUMIFS(G$43:G$52,$O$43:$O$52,Lister!$D$29,$A$43:$A$52,Takstblad!$A$43)-SUMIFS(G$43:G$52,$O$43:$O$52,Lister!$D$29,$A$43:$A$52,Takstblad!$A$44)+SUMIF($O$43:$O$52,Lister!$D$30,G$43:G$52)-SUMIFS(G$43:G$52,$O$43:$O$52,Lister!$D$30,$A$43:$A$52,Takstblad!$A$34)-SUMIFS(G$43:G$52,$O$43:$O$52,Lister!$D$30,$A$43:$A$52,Takstblad!$A$36)-SUMIFS(G$43:G$52,$O$43:$O$52,Lister!$D$30,$A$43:$A$52,Takstblad!$A$43)-SUMIFS(G$43:G$52,$O$43:$O$52,Lister!$D$30,$A$43:$A$52,Takstblad!$A$44))*0.3),0)</f>
        <v>0</v>
      </c>
      <c r="H55" s="160">
        <f>IF($C$10="Yes",((SUMIFS(H$20:H$29,$O$20:$O$29,Lister!$D$29,$A$20:$A$29,Takstblad!$A$18)+SUMIFS(H$20:H$29,$O$20:$O$29,Lister!$D$29,$A$20:$A$29,Takstblad!$A$19)+SUMIFS(H$20:H$29,$O$20:$O$29,Lister!$D$29,$A$20:$A$29,Takstblad!$A$20)+SUMIFS(H$20:H$29,$O$20:$O$29,Lister!$D$29,$A$20:$A$29,Takstblad!$A$21)+SUMIFS(H$20:H$29,$O$20:$O$29,Lister!$D$29,$A$20:$A$29,Takstblad!$A$22)+SUMIFS(H$20:H$29,$O$20:$O$29,Lister!$D$29,$A$20:$A$29,Takstblad!$A$23)+SUMIFS(H$20:H$29,$O$20:$O$29,Lister!$D$30,$A$20:$A$29,Takstblad!$A$18)+SUMIFS(H$20:H$29,$O$20:$O$29,Lister!$D$30,$A$20:$A$29,Takstblad!$A$19)+SUMIFS(H$20:H$29,$O$20:$O$29,Lister!$D$30,$A$20:$A$29,Takstblad!$A$20)+SUMIFS(H$20:H$29,$O$20:$O$29,Lister!$D$30,$A$20:$A$29,Takstblad!$A$21)+SUMIFS(H$20:H$29,$O$20:$O$29,Lister!$D$30,$A$20:$A$29,Takstblad!$A$22)+SUMIFS(H$20:H$29,$O$20:$O$29,Lister!$D$30,$A$20:$A$29,Takstblad!$A$23))/12)*0.5+((+SUMIF($O$43:$O$52,Lister!$D$29,H$43:H$52)-SUMIFS(H$43:H$52,$O$43:$O$52,Lister!$D$29,$A$43:$A$52,Takstblad!$A$34)-SUMIFS(H$43:H$52,$O$43:$O$52,Lister!$D$29,$A$43:$A$52,Takstblad!$A$36)-SUMIFS(H$43:H$52,$O$43:$O$52,Lister!$D$29,$A$43:$A$52,Takstblad!$A$43)-SUMIFS(H$43:H$52,$O$43:$O$52,Lister!$D$29,$A$43:$A$52,Takstblad!$A$44)+SUMIF($O$43:$O$52,Lister!$D$30,H$43:H$52)-SUMIFS(H$43:H$52,$O$43:$O$52,Lister!$D$30,$A$43:$A$52,Takstblad!$A$34)-SUMIFS(H$43:H$52,$O$43:$O$52,Lister!$D$30,$A$43:$A$52,Takstblad!$A$36)-SUMIFS(H$43:H$52,$O$43:$O$52,Lister!$D$30,$A$43:$A$52,Takstblad!$A$43)-SUMIFS(H$43:H$52,$O$43:$O$52,Lister!$D$30,$A$43:$A$52,Takstblad!$A$44))*0.3),0)</f>
        <v>0</v>
      </c>
      <c r="I55" s="161">
        <f>IF($C$10="Yes",((SUMIFS(I$20:I$29,$O$20:$O$29,Lister!$D$29,$A$20:$A$29,Takstblad!$A$18)+SUMIFS(I$20:I$29,$O$20:$O$29,Lister!$D$29,$A$20:$A$29,Takstblad!$A$19)+SUMIFS(I$20:I$29,$O$20:$O$29,Lister!$D$29,$A$20:$A$29,Takstblad!$A$20)+SUMIFS(I$20:I$29,$O$20:$O$29,Lister!$D$29,$A$20:$A$29,Takstblad!$A$21)+SUMIFS(I$20:I$29,$O$20:$O$29,Lister!$D$29,$A$20:$A$29,Takstblad!$A$22)+SUMIFS(I$20:I$29,$O$20:$O$29,Lister!$D$29,$A$20:$A$29,Takstblad!$A$23)+SUMIFS(I$20:I$29,$O$20:$O$29,Lister!$D$30,$A$20:$A$29,Takstblad!$A$18)+SUMIFS(I$20:I$29,$O$20:$O$29,Lister!$D$30,$A$20:$A$29,Takstblad!$A$19)+SUMIFS(I$20:I$29,$O$20:$O$29,Lister!$D$30,$A$20:$A$29,Takstblad!$A$20)+SUMIFS(I$20:I$29,$O$20:$O$29,Lister!$D$30,$A$20:$A$29,Takstblad!$A$21)+SUMIFS(I$20:I$29,$O$20:$O$29,Lister!$D$30,$A$20:$A$29,Takstblad!$A$22)+SUMIFS(I$20:I$29,$O$20:$O$29,Lister!$D$30,$A$20:$A$29,Takstblad!$A$23))/12)*0.5+((+SUMIF($O$43:$O$52,Lister!$D$29,I$43:I$52)-SUMIFS(I$43:I$52,$O$43:$O$52,Lister!$D$29,$A$43:$A$52,Takstblad!$A$34)-SUMIFS(I$43:I$52,$O$43:$O$52,Lister!$D$29,$A$43:$A$52,Takstblad!$A$36)-SUMIFS(I$43:I$52,$O$43:$O$52,Lister!$D$29,$A$43:$A$52,Takstblad!$A$43)-SUMIFS(I$43:I$52,$O$43:$O$52,Lister!$D$29,$A$43:$A$52,Takstblad!$A$44)+SUMIF($O$43:$O$52,Lister!$D$30,I$43:I$52)-SUMIFS(I$43:I$52,$O$43:$O$52,Lister!$D$30,$A$43:$A$52,Takstblad!$A$34)-SUMIFS(I$43:I$52,$O$43:$O$52,Lister!$D$30,$A$43:$A$52,Takstblad!$A$36)-SUMIFS(I$43:I$52,$O$43:$O$52,Lister!$D$30,$A$43:$A$52,Takstblad!$A$43)-SUMIFS(I$43:I$52,$O$43:$O$52,Lister!$D$30,$A$43:$A$52,Takstblad!$A$44))*0.3),0)</f>
        <v>0</v>
      </c>
      <c r="J55" s="161">
        <f>IF($C$10="Yes",((SUMIFS(J$20:J$29,$O$20:$O$29,Lister!$D$29,$A$20:$A$29,Takstblad!$A$18)+SUMIFS(J$20:J$29,$O$20:$O$29,Lister!$D$29,$A$20:$A$29,Takstblad!$A$19)+SUMIFS(J$20:J$29,$O$20:$O$29,Lister!$D$29,$A$20:$A$29,Takstblad!$A$20)+SUMIFS(J$20:J$29,$O$20:$O$29,Lister!$D$29,$A$20:$A$29,Takstblad!$A$21)+SUMIFS(J$20:J$29,$O$20:$O$29,Lister!$D$29,$A$20:$A$29,Takstblad!$A$22)+SUMIFS(J$20:J$29,$O$20:$O$29,Lister!$D$29,$A$20:$A$29,Takstblad!$A$23)+SUMIFS(J$20:J$29,$O$20:$O$29,Lister!$D$30,$A$20:$A$29,Takstblad!$A$18)+SUMIFS(J$20:J$29,$O$20:$O$29,Lister!$D$30,$A$20:$A$29,Takstblad!$A$19)+SUMIFS(J$20:J$29,$O$20:$O$29,Lister!$D$30,$A$20:$A$29,Takstblad!$A$20)+SUMIFS(J$20:J$29,$O$20:$O$29,Lister!$D$30,$A$20:$A$29,Takstblad!$A$21)+SUMIFS(J$20:J$29,$O$20:$O$29,Lister!$D$30,$A$20:$A$29,Takstblad!$A$22)+SUMIFS(J$20:J$29,$O$20:$O$29,Lister!$D$30,$A$20:$A$29,Takstblad!$A$23))/12)*0.5+((+SUMIF($O$43:$O$52,Lister!$D$29,J$43:J$52)-SUMIFS(J$43:J$52,$O$43:$O$52,Lister!$D$29,$A$43:$A$52,Takstblad!$A$34)-SUMIFS(J$43:J$52,$O$43:$O$52,Lister!$D$29,$A$43:$A$52,Takstblad!$A$36)-SUMIFS(J$43:J$52,$O$43:$O$52,Lister!$D$29,$A$43:$A$52,Takstblad!$A$43)-SUMIFS(J$43:J$52,$O$43:$O$52,Lister!$D$29,$A$43:$A$52,Takstblad!$A$44)+SUMIF($O$43:$O$52,Lister!$D$30,J$43:J$52)-SUMIFS(J$43:J$52,$O$43:$O$52,Lister!$D$30,$A$43:$A$52,Takstblad!$A$34)-SUMIFS(J$43:J$52,$O$43:$O$52,Lister!$D$30,$A$43:$A$52,Takstblad!$A$36)-SUMIFS(J$43:J$52,$O$43:$O$52,Lister!$D$30,$A$43:$A$52,Takstblad!$A$43)-SUMIFS(J$43:J$52,$O$43:$O$52,Lister!$D$30,$A$43:$A$52,Takstblad!$A$44))*0.3),0)</f>
        <v>0</v>
      </c>
      <c r="K55" s="161">
        <f>IF($C$10="Yes",((SUMIFS(K$20:K$29,$O$20:$O$29,Lister!$D$29,$A$20:$A$29,Takstblad!$A$18)+SUMIFS(K$20:K$29,$O$20:$O$29,Lister!$D$29,$A$20:$A$29,Takstblad!$A$19)+SUMIFS(K$20:K$29,$O$20:$O$29,Lister!$D$29,$A$20:$A$29,Takstblad!$A$20)+SUMIFS(K$20:K$29,$O$20:$O$29,Lister!$D$29,$A$20:$A$29,Takstblad!$A$21)+SUMIFS(K$20:K$29,$O$20:$O$29,Lister!$D$29,$A$20:$A$29,Takstblad!$A$22)+SUMIFS(K$20:K$29,$O$20:$O$29,Lister!$D$29,$A$20:$A$29,Takstblad!$A$23)+SUMIFS(K$20:K$29,$O$20:$O$29,Lister!$D$30,$A$20:$A$29,Takstblad!$A$18)+SUMIFS(K$20:K$29,$O$20:$O$29,Lister!$D$30,$A$20:$A$29,Takstblad!$A$19)+SUMIFS(K$20:K$29,$O$20:$O$29,Lister!$D$30,$A$20:$A$29,Takstblad!$A$20)+SUMIFS(K$20:K$29,$O$20:$O$29,Lister!$D$30,$A$20:$A$29,Takstblad!$A$21)+SUMIFS(K$20:K$29,$O$20:$O$29,Lister!$D$30,$A$20:$A$29,Takstblad!$A$22)+SUMIFS(K$20:K$29,$O$20:$O$29,Lister!$D$30,$A$20:$A$29,Takstblad!$A$23))/12)*0.5+((+SUMIF($O$43:$O$52,Lister!$D$29,K$43:K$52)-SUMIFS(K$43:K$52,$O$43:$O$52,Lister!$D$29,$A$43:$A$52,Takstblad!$A$34)-SUMIFS(K$43:K$52,$O$43:$O$52,Lister!$D$29,$A$43:$A$52,Takstblad!$A$36)-SUMIFS(K$43:K$52,$O$43:$O$52,Lister!$D$29,$A$43:$A$52,Takstblad!$A$43)-SUMIFS(K$43:K$52,$O$43:$O$52,Lister!$D$29,$A$43:$A$52,Takstblad!$A$44)+SUMIF($O$43:$O$52,Lister!$D$30,K$43:K$52)-SUMIFS(K$43:K$52,$O$43:$O$52,Lister!$D$30,$A$43:$A$52,Takstblad!$A$34)-SUMIFS(K$43:K$52,$O$43:$O$52,Lister!$D$30,$A$43:$A$52,Takstblad!$A$36)-SUMIFS(K$43:K$52,$O$43:$O$52,Lister!$D$30,$A$43:$A$52,Takstblad!$A$43)-SUMIFS(K$43:K$52,$O$43:$O$52,Lister!$D$30,$A$43:$A$52,Takstblad!$A$44))*0.3),0)</f>
        <v>0</v>
      </c>
      <c r="L55" s="161">
        <f>IF($C$10="Yes",((SUMIFS(L$20:L$29,$O$20:$O$29,Lister!$D$29,$A$20:$A$29,Takstblad!$A$18)+SUMIFS(L$20:L$29,$O$20:$O$29,Lister!$D$29,$A$20:$A$29,Takstblad!$A$19)+SUMIFS(L$20:L$29,$O$20:$O$29,Lister!$D$29,$A$20:$A$29,Takstblad!$A$20)+SUMIFS(L$20:L$29,$O$20:$O$29,Lister!$D$29,$A$20:$A$29,Takstblad!$A$21)+SUMIFS(L$20:L$29,$O$20:$O$29,Lister!$D$29,$A$20:$A$29,Takstblad!$A$22)+SUMIFS(L$20:L$29,$O$20:$O$29,Lister!$D$29,$A$20:$A$29,Takstblad!$A$23)+SUMIFS(L$20:L$29,$O$20:$O$29,Lister!$D$30,$A$20:$A$29,Takstblad!$A$18)+SUMIFS(L$20:L$29,$O$20:$O$29,Lister!$D$30,$A$20:$A$29,Takstblad!$A$19)+SUMIFS(L$20:L$29,$O$20:$O$29,Lister!$D$30,$A$20:$A$29,Takstblad!$A$20)+SUMIFS(L$20:L$29,$O$20:$O$29,Lister!$D$30,$A$20:$A$29,Takstblad!$A$21)+SUMIFS(L$20:L$29,$O$20:$O$29,Lister!$D$30,$A$20:$A$29,Takstblad!$A$22)+SUMIFS(L$20:L$29,$O$20:$O$29,Lister!$D$30,$A$20:$A$29,Takstblad!$A$23))/12)*0.5+((+SUMIF($O$43:$O$52,Lister!$D$29,L$43:L$52)-SUMIFS(L$43:L$52,$O$43:$O$52,Lister!$D$29,$A$43:$A$52,Takstblad!$A$34)-SUMIFS(L$43:L$52,$O$43:$O$52,Lister!$D$29,$A$43:$A$52,Takstblad!$A$36)-SUMIFS(L$43:L$52,$O$43:$O$52,Lister!$D$29,$A$43:$A$52,Takstblad!$A$43)-SUMIFS(L$43:L$52,$O$43:$O$52,Lister!$D$29,$A$43:$A$52,Takstblad!$A$44)+SUMIF($O$43:$O$52,Lister!$D$30,L$43:L$52)-SUMIFS(L$43:L$52,$O$43:$O$52,Lister!$D$30,$A$43:$A$52,Takstblad!$A$34)-SUMIFS(L$43:L$52,$O$43:$O$52,Lister!$D$30,$A$43:$A$52,Takstblad!$A$36)-SUMIFS(L$43:L$52,$O$43:$O$52,Lister!$D$30,$A$43:$A$52,Takstblad!$A$43)-SUMIFS(L$43:L$52,$O$43:$O$52,Lister!$D$30,$A$43:$A$52,Takstblad!$A$44))*0.3),0)</f>
        <v>0</v>
      </c>
      <c r="M55" s="65">
        <f t="shared" si="69"/>
        <v>0</v>
      </c>
      <c r="N55" s="162"/>
      <c r="O55" s="159" t="s">
        <v>152</v>
      </c>
      <c r="P55" s="11"/>
      <c r="Q55" s="27"/>
      <c r="R55" s="202">
        <f>+AC55</f>
        <v>0</v>
      </c>
      <c r="S55" s="25">
        <f>+C55*Takstblad!C39</f>
        <v>0</v>
      </c>
      <c r="T55" s="25">
        <f>+D55*Takstblad!D39</f>
        <v>0</v>
      </c>
      <c r="U55" s="25">
        <f>+E55*Takstblad!E39</f>
        <v>0</v>
      </c>
      <c r="V55" s="25">
        <f>+F55*Takstblad!F39</f>
        <v>0</v>
      </c>
      <c r="W55" s="25">
        <f>+G55*Takstblad!G39</f>
        <v>0</v>
      </c>
      <c r="X55" s="25">
        <f>+H55*Takstblad!H39</f>
        <v>0</v>
      </c>
      <c r="Y55" s="25">
        <f>+I55*Takstblad!I39</f>
        <v>0</v>
      </c>
      <c r="Z55" s="25">
        <f>+J55*Takstblad!J39</f>
        <v>0</v>
      </c>
      <c r="AA55" s="25">
        <f>+K55*Takstblad!K39</f>
        <v>0</v>
      </c>
      <c r="AB55" s="25">
        <f>+L55*Takstblad!L39</f>
        <v>0</v>
      </c>
      <c r="AC55" s="25">
        <f t="shared" si="70"/>
        <v>0</v>
      </c>
      <c r="AE55" s="25">
        <f>+M55*($C$7/12)</f>
        <v>0</v>
      </c>
      <c r="AF55" s="25">
        <f>IFERROR(AC55/AE55,0)</f>
        <v>0</v>
      </c>
      <c r="AH55" s="25">
        <f>+C55*($C$7/12)</f>
        <v>0</v>
      </c>
      <c r="AI55" s="25">
        <f>IFERROR(S55/AH55,0)</f>
        <v>0</v>
      </c>
      <c r="AK55" s="25">
        <f>+D55*($C$7/12)</f>
        <v>0</v>
      </c>
      <c r="AL55" s="25">
        <f>IFERROR(T55/AK55,0)</f>
        <v>0</v>
      </c>
      <c r="AN55" s="25">
        <f>+E55*($C$7/12)</f>
        <v>0</v>
      </c>
      <c r="AO55" s="25">
        <f>IFERROR(U55/AN55,0)</f>
        <v>0</v>
      </c>
      <c r="AQ55" s="25">
        <f>+F55*($C$7/12)</f>
        <v>0</v>
      </c>
      <c r="AR55" s="25">
        <f>IFERROR(V55/AQ55,0)</f>
        <v>0</v>
      </c>
      <c r="AT55" s="25">
        <f>+G55*($C$7/12)</f>
        <v>0</v>
      </c>
      <c r="AU55" s="25">
        <f>IFERROR(W55/AT55,0)</f>
        <v>0</v>
      </c>
      <c r="AW55" s="25">
        <f>+H55*($C$7/12)</f>
        <v>0</v>
      </c>
      <c r="AX55" s="25">
        <f>IFERROR(X55/AW55,0)</f>
        <v>0</v>
      </c>
      <c r="AZ55" s="25">
        <f>+I55*($C$7/12)</f>
        <v>0</v>
      </c>
      <c r="BA55" s="25">
        <f>IFERROR(Y55/AZ55,0)</f>
        <v>0</v>
      </c>
      <c r="BC55" s="25">
        <f>+J55*($C$7/12)</f>
        <v>0</v>
      </c>
      <c r="BD55" s="25">
        <f>IFERROR(Z55/BC55,0)</f>
        <v>0</v>
      </c>
      <c r="BF55" s="25">
        <f t="shared" si="75"/>
        <v>0</v>
      </c>
      <c r="BG55" s="25">
        <f t="shared" si="76"/>
        <v>0</v>
      </c>
      <c r="BI55" s="25">
        <f t="shared" si="77"/>
        <v>0</v>
      </c>
      <c r="BJ55" s="25">
        <f t="shared" si="78"/>
        <v>0</v>
      </c>
    </row>
    <row r="56" spans="1:66" ht="15.65" customHeight="1" thickBot="1">
      <c r="A56" s="4" t="s">
        <v>71</v>
      </c>
      <c r="B56" s="4"/>
      <c r="C56" s="12">
        <f>SUM(C43:C55)</f>
        <v>0</v>
      </c>
      <c r="D56" s="12">
        <f t="shared" ref="D56:J56" si="80">SUM(D43:D55)</f>
        <v>0</v>
      </c>
      <c r="E56" s="12">
        <f t="shared" si="80"/>
        <v>0</v>
      </c>
      <c r="F56" s="12">
        <f t="shared" si="80"/>
        <v>0</v>
      </c>
      <c r="G56" s="12">
        <f t="shared" si="80"/>
        <v>0</v>
      </c>
      <c r="H56" s="12">
        <f t="shared" si="80"/>
        <v>0</v>
      </c>
      <c r="I56" s="12">
        <f t="shared" si="80"/>
        <v>0</v>
      </c>
      <c r="J56" s="12">
        <f t="shared" si="80"/>
        <v>0</v>
      </c>
      <c r="K56" s="12">
        <f>SUM(K43:K55)</f>
        <v>0</v>
      </c>
      <c r="L56" s="12">
        <f>SUM(L43:L55)</f>
        <v>0</v>
      </c>
      <c r="M56" s="12">
        <f t="shared" si="69"/>
        <v>0</v>
      </c>
      <c r="N56" s="12"/>
      <c r="O56" s="48"/>
      <c r="P56" s="48"/>
      <c r="Q56" s="23" t="s">
        <v>75</v>
      </c>
      <c r="R56" s="46">
        <f t="shared" si="55"/>
        <v>0</v>
      </c>
      <c r="S56" s="22">
        <f t="shared" ref="S56:Z56" si="81">SUM(S43:S55)</f>
        <v>0</v>
      </c>
      <c r="T56" s="22">
        <f t="shared" si="81"/>
        <v>0</v>
      </c>
      <c r="U56" s="22">
        <f t="shared" si="81"/>
        <v>0</v>
      </c>
      <c r="V56" s="22">
        <f t="shared" si="81"/>
        <v>0</v>
      </c>
      <c r="W56" s="22">
        <f t="shared" si="81"/>
        <v>0</v>
      </c>
      <c r="X56" s="22">
        <f t="shared" si="81"/>
        <v>0</v>
      </c>
      <c r="Y56" s="51">
        <f t="shared" si="81"/>
        <v>0</v>
      </c>
      <c r="Z56" s="51">
        <f t="shared" si="81"/>
        <v>0</v>
      </c>
      <c r="AA56" s="51">
        <f>SUM(AA43:AA55)</f>
        <v>0</v>
      </c>
      <c r="AB56" s="51">
        <f>SUM(AB43:AB55)</f>
        <v>0</v>
      </c>
      <c r="AC56" s="46">
        <f t="shared" si="70"/>
        <v>0</v>
      </c>
      <c r="AE56" s="22">
        <f>SUM(AE43:AE55)</f>
        <v>0</v>
      </c>
      <c r="AF56" s="13">
        <f>IFERROR(AC56/AE56,0)</f>
        <v>0</v>
      </c>
      <c r="AH56" s="22">
        <f>SUM(AH43:AH55)</f>
        <v>0</v>
      </c>
      <c r="AI56" s="13">
        <f t="shared" si="58"/>
        <v>0</v>
      </c>
      <c r="AK56" s="22">
        <f>SUM(AK43:AK55)</f>
        <v>0</v>
      </c>
      <c r="AL56" s="13">
        <f t="shared" si="60"/>
        <v>0</v>
      </c>
      <c r="AN56" s="22">
        <f>SUM(AN43:AN55)</f>
        <v>0</v>
      </c>
      <c r="AO56" s="13">
        <f t="shared" si="62"/>
        <v>0</v>
      </c>
      <c r="AQ56" s="22">
        <f>SUM(AQ43:AQ55)</f>
        <v>0</v>
      </c>
      <c r="AR56" s="13">
        <f t="shared" si="64"/>
        <v>0</v>
      </c>
      <c r="AT56" s="22">
        <f>SUM(AT43:AT55)</f>
        <v>0</v>
      </c>
      <c r="AU56" s="13">
        <f t="shared" si="66"/>
        <v>0</v>
      </c>
      <c r="AW56" s="22">
        <f>SUM(AW43:AW55)</f>
        <v>0</v>
      </c>
      <c r="AX56" s="13">
        <f t="shared" si="68"/>
        <v>0</v>
      </c>
      <c r="AZ56" s="22">
        <f>SUM(AZ43:AZ55)</f>
        <v>0</v>
      </c>
      <c r="BA56" s="13">
        <f t="shared" si="72"/>
        <v>0</v>
      </c>
      <c r="BC56" s="22">
        <f>SUM(BC43:BC55)</f>
        <v>0</v>
      </c>
      <c r="BD56" s="13">
        <f t="shared" si="74"/>
        <v>0</v>
      </c>
      <c r="BF56" s="22">
        <f>SUM(BF43:BF55)</f>
        <v>0</v>
      </c>
      <c r="BG56" s="13">
        <f>IFERROR(AC56/BF56,0)</f>
        <v>0</v>
      </c>
      <c r="BI56" s="22">
        <f>SUM(BI43:BI55)</f>
        <v>0</v>
      </c>
      <c r="BJ56" s="13">
        <f>IFERROR(AF56/BI56,0)</f>
        <v>0</v>
      </c>
      <c r="BK56" s="70"/>
      <c r="BL56" s="70"/>
      <c r="BM56" s="70"/>
    </row>
    <row r="57" spans="1:66" ht="15.65" customHeight="1">
      <c r="A57" s="9"/>
      <c r="B57" s="48"/>
      <c r="C57" s="48"/>
      <c r="D57" s="48"/>
      <c r="E57" s="48"/>
      <c r="F57" s="48"/>
      <c r="G57" s="48"/>
      <c r="H57" s="48"/>
      <c r="I57" s="48"/>
      <c r="J57" s="48"/>
      <c r="K57" s="48"/>
      <c r="L57" s="48"/>
      <c r="M57" s="48"/>
      <c r="N57" s="48"/>
      <c r="O57" s="48"/>
      <c r="P57" s="48"/>
      <c r="Q57" s="23"/>
      <c r="R57" s="5"/>
      <c r="S57" s="4"/>
      <c r="T57" s="4"/>
      <c r="U57" s="4"/>
      <c r="V57" s="4"/>
      <c r="W57" s="4"/>
      <c r="X57" s="4"/>
      <c r="Y57" s="4"/>
      <c r="Z57" s="4"/>
      <c r="AA57" s="4"/>
      <c r="AB57" s="4"/>
      <c r="AC57" s="5"/>
      <c r="AD57" s="70"/>
      <c r="AE57" s="76"/>
      <c r="AF57" s="76"/>
      <c r="AG57" s="70"/>
      <c r="AH57" s="77"/>
      <c r="AI57" s="70"/>
      <c r="AJ57" s="70"/>
      <c r="AK57" s="70"/>
      <c r="AL57" s="70"/>
      <c r="AM57" s="70"/>
      <c r="AN57" s="70"/>
      <c r="AO57" s="70"/>
      <c r="AP57" s="70"/>
      <c r="AQ57" s="70"/>
      <c r="AR57" s="70"/>
      <c r="AS57" s="70"/>
      <c r="AT57" s="70"/>
      <c r="AU57" s="70"/>
      <c r="AV57" s="70"/>
      <c r="AW57" s="70"/>
      <c r="AX57" s="70"/>
      <c r="AY57" s="70"/>
      <c r="AZ57" s="70"/>
      <c r="BA57" s="70"/>
      <c r="BB57" s="70"/>
      <c r="BC57" s="70"/>
      <c r="BD57" s="70"/>
      <c r="BE57" s="70"/>
      <c r="BF57" s="70"/>
      <c r="BG57" s="70"/>
      <c r="BH57" s="70"/>
      <c r="BI57" s="70"/>
      <c r="BJ57" s="70"/>
      <c r="BK57" s="70"/>
      <c r="BL57" s="70"/>
      <c r="BM57" s="70"/>
    </row>
    <row r="58" spans="1:66" ht="15.65" hidden="1" customHeight="1">
      <c r="A58" s="9" t="s">
        <v>185</v>
      </c>
      <c r="B58" s="48"/>
      <c r="C58" s="100">
        <f>+SUMIF($O$20:$O$39,Lister!$D$30,C20:C39)-SUMIFS(C20:C39,$O$20:$O$39,Lister!$D$30,$B$20:$B$39,Lister!$B$20)+SUMIFS(C43:C52,$O$43:$O$52,Lister!$D$30,$B$43:$B$52,Lister!$A$24)+SUMIF($O$20:$O$39,Lister!$D$29,C20:C39)-SUMIFS(C20:C39,$O$20:$O$39,Lister!$D$29,$B$20:$B$39,Lister!$B$20)+SUMIFS(C43:C52,$O$43:$O$52,Lister!$D$29,$B$43:$B$52,Lister!$A$24)</f>
        <v>0</v>
      </c>
      <c r="D58" s="100">
        <f>+SUMIF($O$20:$O$39,Lister!$D$30,D20:D39)-SUMIFS(D20:D39,$O$20:$O$39,Lister!$D$30,$B$20:$B$39,Lister!$B$20)+SUMIFS(D43:D52,$O$43:$O$52,Lister!$D$30,$B$43:$B$52,Lister!$A$24)+SUMIF($O$20:$O$39,Lister!$D$29,D20:D39)-SUMIFS(D20:D39,$O$20:$O$39,Lister!$D$29,$B$20:$B$39,Lister!$B$20)+SUMIFS(D43:D52,$O$43:$O$52,Lister!$D$29,$B$43:$B$52,Lister!$A$24)</f>
        <v>0</v>
      </c>
      <c r="E58" s="100">
        <f>+SUMIF($O$20:$O$39,Lister!$D$30,E20:E39)-SUMIFS(E20:E39,$O$20:$O$39,Lister!$D$30,$B$20:$B$39,Lister!$B$20)+SUMIFS(E43:E52,$O$43:$O$52,Lister!$D$30,$B$43:$B$52,Lister!$A$24)+SUMIF($O$20:$O$39,Lister!$D$29,E20:E39)-SUMIFS(E20:E39,$O$20:$O$39,Lister!$D$29,$B$20:$B$39,Lister!$B$20)+SUMIFS(E43:E52,$O$43:$O$52,Lister!$D$29,$B$43:$B$52,Lister!$A$24)</f>
        <v>0</v>
      </c>
      <c r="F58" s="100">
        <f>+SUMIF($O$20:$O$39,Lister!$D$30,F20:F39)-SUMIFS(F20:F39,$O$20:$O$39,Lister!$D$30,$B$20:$B$39,Lister!$B$20)+SUMIFS(F43:F52,$O$43:$O$52,Lister!$D$30,$B$43:$B$52,Lister!$A$24)+SUMIF($O$20:$O$39,Lister!$D$29,F20:F39)-SUMIFS(F20:F39,$O$20:$O$39,Lister!$D$29,$B$20:$B$39,Lister!$B$20)+SUMIFS(F43:F52,$O$43:$O$52,Lister!$D$29,$B$43:$B$52,Lister!$A$24)</f>
        <v>0</v>
      </c>
      <c r="G58" s="100">
        <f>+SUMIF($O$20:$O$39,Lister!$D$30,G20:G39)-SUMIFS(G20:G39,$O$20:$O$39,Lister!$D$30,$B$20:$B$39,Lister!$B$20)+SUMIFS(G43:G52,$O$43:$O$52,Lister!$D$30,$B$43:$B$52,Lister!$A$24)+SUMIF($O$20:$O$39,Lister!$D$29,G20:G39)-SUMIFS(G20:G39,$O$20:$O$39,Lister!$D$29,$B$20:$B$39,Lister!$B$20)+SUMIFS(G43:G52,$O$43:$O$52,Lister!$D$29,$B$43:$B$52,Lister!$A$24)</f>
        <v>0</v>
      </c>
      <c r="H58" s="100">
        <f>+SUMIF($O$20:$O$39,Lister!$D$30,H20:H39)-SUMIFS(H20:H39,$O$20:$O$39,Lister!$D$30,$B$20:$B$39,Lister!$B$20)+SUMIFS(H43:H52,$O$43:$O$52,Lister!$D$30,$B$43:$B$52,Lister!$A$24)+SUMIF($O$20:$O$39,Lister!$D$29,H20:H39)-SUMIFS(H20:H39,$O$20:$O$39,Lister!$D$29,$B$20:$B$39,Lister!$B$20)+SUMIFS(H43:H52,$O$43:$O$52,Lister!$D$29,$B$43:$B$52,Lister!$A$24)</f>
        <v>0</v>
      </c>
      <c r="I58" s="100">
        <f>+SUMIF($O$20:$O$39,Lister!$D$30,I20:I39)-SUMIFS(I20:I39,$O$20:$O$39,Lister!$D$30,$B$20:$B$39,Lister!$B$20)+SUMIFS(I43:I52,$O$43:$O$52,Lister!$D$30,$B$43:$B$52,Lister!$A$24)+SUMIF($O$20:$O$39,Lister!$D$29,I20:I39)-SUMIFS(I20:I39,$O$20:$O$39,Lister!$D$29,$B$20:$B$39,Lister!$B$20)+SUMIFS(I43:I52,$O$43:$O$52,Lister!$D$29,$B$43:$B$52,Lister!$A$24)</f>
        <v>0</v>
      </c>
      <c r="J58" s="100">
        <f>+SUMIF($O$20:$O$39,Lister!$D$30,J20:J39)-SUMIFS(J20:J39,$O$20:$O$39,Lister!$D$30,$B$20:$B$39,Lister!$B$20)+SUMIFS(J43:J52,$O$43:$O$52,Lister!$D$30,$B$43:$B$52,Lister!$A$24)+SUMIF($O$20:$O$39,Lister!$D$29,J20:J39)-SUMIFS(J20:J39,$O$20:$O$39,Lister!$D$29,$B$20:$B$39,Lister!$B$20)+SUMIFS(J43:J52,$O$43:$O$52,Lister!$D$29,$B$43:$B$52,Lister!$A$24)</f>
        <v>0</v>
      </c>
      <c r="K58" s="100">
        <f>+SUMIF($O$20:$O$39,Lister!$D$30,K20:K39)-SUMIFS(K20:K39,$O$20:$O$39,Lister!$D$30,$B$20:$B$39,Lister!$B$20)+SUMIFS(K43:K52,$O$43:$O$52,Lister!$D$30,$B$43:$B$52,Lister!$A$24)+SUMIF($O$20:$O$39,Lister!$D$29,K20:K39)-SUMIFS(K20:K39,$O$20:$O$39,Lister!$D$29,$B$20:$B$39,Lister!$B$20)+SUMIFS(K43:K52,$O$43:$O$52,Lister!$D$29,$B$43:$B$52,Lister!$A$24)</f>
        <v>0</v>
      </c>
      <c r="L58" s="100">
        <f>+SUMIF($O$20:$O$39,Lister!$D$30,L20:L39)-SUMIFS(L20:L39,$O$20:$O$39,Lister!$D$30,$B$20:$B$39,Lister!$B$20)+SUMIFS(L43:L52,$O$43:$O$52,Lister!$D$30,$B$43:$B$52,Lister!$A$24)+SUMIF($O$20:$O$39,Lister!$D$29,L20:L39)-SUMIFS(L20:L39,$O$20:$O$39,Lister!$D$29,$B$20:$B$39,Lister!$B$20)+SUMIFS(L43:L52,$O$43:$O$52,Lister!$D$29,$B$43:$B$52,Lister!$A$24)</f>
        <v>0</v>
      </c>
      <c r="M58" s="48"/>
      <c r="N58" s="48"/>
      <c r="O58" s="48"/>
      <c r="P58" s="48"/>
      <c r="Q58" s="23"/>
      <c r="R58" s="5"/>
      <c r="S58" s="4"/>
      <c r="T58" s="4"/>
      <c r="U58" s="4"/>
      <c r="V58" s="4"/>
      <c r="W58" s="4"/>
      <c r="X58" s="4"/>
      <c r="Y58" s="4"/>
      <c r="Z58" s="4"/>
      <c r="AA58" s="4"/>
      <c r="AB58" s="4"/>
      <c r="AC58" s="5"/>
      <c r="AD58" s="70"/>
      <c r="AE58" s="76"/>
      <c r="AF58" s="76"/>
      <c r="AG58" s="70"/>
      <c r="AH58" s="77"/>
      <c r="AI58" s="70"/>
      <c r="AJ58" s="70"/>
      <c r="AK58" s="70"/>
      <c r="AL58" s="70"/>
      <c r="AM58" s="70"/>
      <c r="AN58" s="70"/>
      <c r="AO58" s="70"/>
      <c r="AP58" s="70"/>
      <c r="AQ58" s="70"/>
      <c r="AR58" s="70"/>
      <c r="AS58" s="70"/>
      <c r="AT58" s="70"/>
      <c r="AU58" s="70"/>
      <c r="AV58" s="70"/>
      <c r="AW58" s="70"/>
      <c r="AX58" s="70"/>
      <c r="AY58" s="70"/>
      <c r="AZ58" s="70"/>
      <c r="BA58" s="70"/>
      <c r="BB58" s="70"/>
      <c r="BC58" s="70"/>
      <c r="BD58" s="70"/>
      <c r="BE58" s="70"/>
      <c r="BF58" s="70"/>
      <c r="BG58" s="70"/>
      <c r="BH58" s="70"/>
      <c r="BI58" s="70"/>
      <c r="BJ58" s="70"/>
      <c r="BK58" s="70"/>
      <c r="BL58" s="70"/>
      <c r="BM58" s="70"/>
    </row>
    <row r="59" spans="1:66" ht="15.65" hidden="1" customHeight="1">
      <c r="A59" s="9" t="s">
        <v>186</v>
      </c>
      <c r="B59" s="48"/>
      <c r="C59" s="100">
        <f>+SUMIF($O$20:$O$39,Lister!$D$31,C20:C39)-SUMIFS(C20:C39,$O$20:$O$39,Lister!$D$31,$B$20:$B$39,Lister!$B$20)+SUMIFS(C43:C52,$O$43:$O$52,Lister!$D$31,$B$43:$B$52,Lister!$A$24)</f>
        <v>0</v>
      </c>
      <c r="D59" s="100">
        <f>+SUMIF($O$20:$O$39,Lister!$D$31,D20:D39)-SUMIFS(D20:D39,$O$20:$O$39,Lister!$D$31,$B$20:$B$39,Lister!$B$20)+SUMIFS(D43:D52,$O$43:$O$52,Lister!$D$31,$B$43:$B$52,Lister!$A$24)</f>
        <v>0</v>
      </c>
      <c r="E59" s="100">
        <f>+SUMIF($O$20:$O$39,Lister!$D$31,E20:E39)-SUMIFS(E20:E39,$O$20:$O$39,Lister!$D$31,$B$20:$B$39,Lister!$B$20)+SUMIFS(E43:E52,$O$43:$O$52,Lister!$D$31,$B$43:$B$52,Lister!$A$24)</f>
        <v>0</v>
      </c>
      <c r="F59" s="100">
        <f>+SUMIF($O$20:$O$39,Lister!$D$31,F20:F39)-SUMIFS(F20:F39,$O$20:$O$39,Lister!$D$31,$B$20:$B$39,Lister!$B$20)+SUMIFS(F43:F52,$O$43:$O$52,Lister!$D$31,$B$43:$B$52,Lister!$A$24)</f>
        <v>0</v>
      </c>
      <c r="G59" s="100">
        <f>+SUMIF($O$20:$O$39,Lister!$D$31,G20:G39)-SUMIFS(G20:G39,$O$20:$O$39,Lister!$D$31,$B$20:$B$39,Lister!$B$20)+SUMIFS(G43:G52,$O$43:$O$52,Lister!$D$31,$B$43:$B$52,Lister!$A$24)</f>
        <v>0</v>
      </c>
      <c r="H59" s="100">
        <f>+SUMIF($O$20:$O$39,Lister!$D$31,H20:H39)-SUMIFS(H20:H39,$O$20:$O$39,Lister!$D$31,$B$20:$B$39,Lister!$B$20)+SUMIFS(H43:H52,$O$43:$O$52,Lister!$D$31,$B$43:$B$52,Lister!$A$24)</f>
        <v>0</v>
      </c>
      <c r="I59" s="100">
        <f>+SUMIF($O$20:$O$39,Lister!$D$31,I20:I39)-SUMIFS(I20:I39,$O$20:$O$39,Lister!$D$31,$B$20:$B$39,Lister!$B$20)+SUMIFS(I43:I52,$O$43:$O$52,Lister!$D$31,$B$43:$B$52,Lister!$A$24)</f>
        <v>0</v>
      </c>
      <c r="J59" s="100">
        <f>+SUMIF($O$20:$O$39,Lister!$D$31,J20:J39)-SUMIFS(J20:J39,$O$20:$O$39,Lister!$D$31,$B$20:$B$39,Lister!$B$20)+SUMIFS(J43:J52,$O$43:$O$52,Lister!$D$31,$B$43:$B$52,Lister!$A$24)</f>
        <v>0</v>
      </c>
      <c r="K59" s="100">
        <f>+SUMIF($O$20:$O$39,Lister!$D$31,K20:K39)-SUMIFS(K20:K39,$O$20:$O$39,Lister!$D$31,$B$20:$B$39,Lister!$B$20)+SUMIFS(K43:K52,$O$43:$O$52,Lister!$D$31,$B$43:$B$52,Lister!$A$24)</f>
        <v>0</v>
      </c>
      <c r="L59" s="100">
        <f>+SUMIF($O$20:$O$39,Lister!$D$31,L20:L39)-SUMIFS(L20:L39,$O$20:$O$39,Lister!$D$31,$B$20:$B$39,Lister!$B$20)+SUMIFS(L43:L52,$O$43:$O$52,Lister!$D$31,$B$43:$B$52,Lister!$A$24)</f>
        <v>0</v>
      </c>
      <c r="M59" s="48"/>
      <c r="N59" s="48"/>
      <c r="O59" s="48"/>
      <c r="P59" s="48"/>
      <c r="Q59" s="23"/>
      <c r="R59" s="5"/>
      <c r="S59" s="4"/>
      <c r="T59" s="4"/>
      <c r="U59" s="4"/>
      <c r="V59" s="4"/>
      <c r="W59" s="4"/>
      <c r="X59" s="4"/>
      <c r="Y59" s="4"/>
      <c r="Z59" s="4"/>
      <c r="AA59" s="4"/>
      <c r="AB59" s="4"/>
      <c r="AC59" s="5"/>
      <c r="AD59" s="70"/>
      <c r="AE59" s="76"/>
      <c r="AF59" s="76"/>
      <c r="AG59" s="70"/>
      <c r="AH59" s="77"/>
      <c r="AI59" s="70"/>
      <c r="AJ59" s="70"/>
      <c r="AK59" s="70"/>
      <c r="AL59" s="70"/>
      <c r="AM59" s="70"/>
      <c r="AN59" s="70"/>
      <c r="AO59" s="70"/>
      <c r="AP59" s="70"/>
      <c r="AQ59" s="70"/>
      <c r="AR59" s="70"/>
      <c r="AS59" s="70"/>
      <c r="AT59" s="70"/>
      <c r="AU59" s="70"/>
      <c r="AV59" s="70"/>
      <c r="AW59" s="70"/>
      <c r="AX59" s="70"/>
      <c r="AY59" s="70"/>
      <c r="AZ59" s="70"/>
      <c r="BA59" s="70"/>
      <c r="BB59" s="70"/>
      <c r="BC59" s="70"/>
      <c r="BD59" s="70"/>
      <c r="BE59" s="70"/>
      <c r="BF59" s="70"/>
      <c r="BG59" s="70"/>
      <c r="BH59" s="70"/>
      <c r="BI59" s="70"/>
      <c r="BJ59" s="70"/>
      <c r="BK59" s="70"/>
      <c r="BL59" s="70"/>
      <c r="BM59" s="70"/>
    </row>
    <row r="60" spans="1:66" ht="15.65" customHeight="1">
      <c r="A60" s="9"/>
      <c r="B60" s="48"/>
      <c r="C60" s="48"/>
      <c r="D60" s="48"/>
      <c r="E60" s="48"/>
      <c r="F60" s="48"/>
      <c r="G60" s="48"/>
      <c r="H60" s="48"/>
      <c r="I60" s="48"/>
      <c r="J60" s="48"/>
      <c r="K60" s="48"/>
      <c r="L60" s="48"/>
      <c r="M60" s="48"/>
      <c r="N60" s="48"/>
      <c r="O60" s="48"/>
      <c r="P60" s="48"/>
      <c r="Q60" s="70"/>
      <c r="R60" s="70"/>
      <c r="S60" s="77"/>
      <c r="T60" s="70"/>
      <c r="U60" s="70"/>
      <c r="V60" s="70"/>
      <c r="W60" s="70"/>
      <c r="X60" s="70"/>
      <c r="Y60" s="70"/>
      <c r="Z60" s="70"/>
      <c r="AA60" s="70"/>
      <c r="AB60" s="70"/>
      <c r="AC60" s="70"/>
      <c r="AD60" s="70"/>
      <c r="AE60" s="70"/>
      <c r="AF60" s="70"/>
      <c r="AG60" s="70"/>
      <c r="AH60" s="70"/>
      <c r="AI60" s="70"/>
      <c r="AJ60" s="70"/>
      <c r="AK60" s="70"/>
      <c r="AL60" s="70"/>
      <c r="AM60" s="70"/>
      <c r="AN60" s="70"/>
      <c r="AO60" s="70"/>
      <c r="AP60" s="70"/>
      <c r="AQ60" s="70"/>
      <c r="AR60" s="70"/>
      <c r="AS60" s="70"/>
      <c r="AT60" s="70"/>
      <c r="AU60" s="70"/>
      <c r="AV60" s="70"/>
      <c r="AW60" s="70"/>
      <c r="AX60" s="70"/>
      <c r="AY60" s="70"/>
      <c r="AZ60" s="70"/>
    </row>
    <row r="61" spans="1:66" ht="15.65" customHeight="1" thickBot="1">
      <c r="A61" s="4" t="s">
        <v>91</v>
      </c>
      <c r="B61" s="8"/>
      <c r="C61" s="8">
        <f t="shared" ref="C61:L61" si="82">+C19</f>
        <v>2026</v>
      </c>
      <c r="D61" s="8">
        <f t="shared" si="82"/>
        <v>2027</v>
      </c>
      <c r="E61" s="8">
        <f t="shared" si="82"/>
        <v>2028</v>
      </c>
      <c r="F61" s="8">
        <f t="shared" si="82"/>
        <v>2029</v>
      </c>
      <c r="G61" s="8">
        <f t="shared" si="82"/>
        <v>2030</v>
      </c>
      <c r="H61" s="8">
        <f t="shared" si="82"/>
        <v>2031</v>
      </c>
      <c r="I61" s="8">
        <f t="shared" si="82"/>
        <v>2032</v>
      </c>
      <c r="J61" s="8">
        <f t="shared" si="82"/>
        <v>2033</v>
      </c>
      <c r="K61" s="8">
        <f t="shared" si="82"/>
        <v>2034</v>
      </c>
      <c r="L61" s="8">
        <f t="shared" si="82"/>
        <v>2035</v>
      </c>
      <c r="M61" s="8" t="s">
        <v>34</v>
      </c>
      <c r="N61" s="8"/>
      <c r="O61" s="8"/>
      <c r="P61" s="8"/>
      <c r="Q61" s="70"/>
      <c r="R61" s="70"/>
      <c r="S61" s="70"/>
      <c r="T61" s="70"/>
      <c r="U61" s="70"/>
      <c r="V61" s="70"/>
      <c r="W61" s="70"/>
      <c r="X61" s="70"/>
      <c r="Y61" s="70"/>
      <c r="Z61" s="70"/>
      <c r="AA61" s="70"/>
      <c r="AB61" s="70"/>
      <c r="AC61" s="70"/>
      <c r="AD61" s="70"/>
      <c r="AE61" s="70"/>
      <c r="AF61" s="70"/>
      <c r="AG61" s="70"/>
      <c r="AH61" s="70"/>
      <c r="AI61" s="70"/>
      <c r="AJ61" s="70"/>
      <c r="AK61" s="70"/>
      <c r="AL61" s="70"/>
      <c r="AM61" s="70"/>
      <c r="AN61" s="70"/>
      <c r="AO61" s="70"/>
      <c r="AP61" s="70"/>
      <c r="AQ61" s="70"/>
      <c r="AR61" s="70"/>
      <c r="AS61" s="70"/>
      <c r="AT61" s="70"/>
      <c r="AU61" s="70"/>
      <c r="AV61" s="70"/>
      <c r="AW61" s="70"/>
      <c r="AX61" s="70"/>
      <c r="AY61" s="70"/>
      <c r="AZ61" s="70"/>
    </row>
    <row r="62" spans="1:66" s="9" customFormat="1" ht="15.65" customHeight="1">
      <c r="A62" s="219" t="s">
        <v>114</v>
      </c>
      <c r="B62" s="220"/>
      <c r="C62" s="288"/>
      <c r="D62" s="288"/>
      <c r="E62" s="288"/>
      <c r="F62" s="288"/>
      <c r="G62" s="288"/>
      <c r="H62" s="288"/>
      <c r="I62" s="288"/>
      <c r="J62" s="288"/>
      <c r="K62" s="288"/>
      <c r="L62" s="288"/>
      <c r="M62" s="21">
        <f>SUM(C62:L62)</f>
        <v>0</v>
      </c>
      <c r="N62" s="285"/>
      <c r="O62" s="285" t="s">
        <v>113</v>
      </c>
      <c r="P62" s="7"/>
      <c r="Q62" s="120" t="s">
        <v>101</v>
      </c>
      <c r="R62" s="123"/>
      <c r="S62" s="121"/>
      <c r="T62" s="121"/>
      <c r="U62" s="121"/>
      <c r="V62" s="121"/>
      <c r="W62" s="121"/>
      <c r="X62" s="163"/>
      <c r="Y62" s="121"/>
      <c r="Z62" s="122"/>
      <c r="AA62" s="122"/>
      <c r="AB62" s="122"/>
      <c r="AC62" s="123"/>
      <c r="AF62" s="70"/>
      <c r="AG62" s="70"/>
      <c r="AH62" s="70"/>
      <c r="AI62" s="70"/>
      <c r="AJ62" s="70"/>
      <c r="AK62" s="70"/>
      <c r="AL62" s="70"/>
      <c r="AM62" s="70"/>
      <c r="AN62" s="70"/>
      <c r="AO62" s="70"/>
      <c r="AP62" s="70"/>
      <c r="AQ62" s="70"/>
      <c r="AR62" s="71"/>
      <c r="AS62" s="71"/>
      <c r="AT62" s="71"/>
      <c r="AU62" s="71"/>
      <c r="AV62" s="71"/>
      <c r="AW62" s="71"/>
      <c r="AX62" s="71"/>
      <c r="AY62" s="71"/>
      <c r="AZ62" s="71"/>
    </row>
    <row r="63" spans="1:66" ht="15.65" customHeight="1">
      <c r="A63" s="201" t="s">
        <v>114</v>
      </c>
      <c r="B63" s="16"/>
      <c r="C63" s="288"/>
      <c r="D63" s="288"/>
      <c r="E63" s="288"/>
      <c r="F63" s="288"/>
      <c r="G63" s="288"/>
      <c r="H63" s="288"/>
      <c r="I63" s="288"/>
      <c r="J63" s="288"/>
      <c r="K63" s="288"/>
      <c r="L63" s="288"/>
      <c r="M63" s="21">
        <f t="shared" ref="M63:M75" si="83">SUM(C63:L63)</f>
        <v>0</v>
      </c>
      <c r="N63" s="285"/>
      <c r="O63" s="285" t="s">
        <v>113</v>
      </c>
      <c r="Q63" s="107" t="s">
        <v>22</v>
      </c>
      <c r="R63" s="139" t="s">
        <v>34</v>
      </c>
      <c r="S63" s="45">
        <f>+S19</f>
        <v>2026</v>
      </c>
      <c r="T63" s="45">
        <f>+S63+1</f>
        <v>2027</v>
      </c>
      <c r="U63" s="8">
        <f t="shared" ref="U63:Z63" si="84">+T63+1</f>
        <v>2028</v>
      </c>
      <c r="V63" s="8">
        <f t="shared" si="84"/>
        <v>2029</v>
      </c>
      <c r="W63" s="8">
        <f t="shared" si="84"/>
        <v>2030</v>
      </c>
      <c r="X63" s="124">
        <f t="shared" si="84"/>
        <v>2031</v>
      </c>
      <c r="Y63" s="8">
        <f t="shared" si="84"/>
        <v>2032</v>
      </c>
      <c r="Z63" s="8">
        <f t="shared" si="84"/>
        <v>2033</v>
      </c>
      <c r="AA63" s="8">
        <f>+Z63+1</f>
        <v>2034</v>
      </c>
      <c r="AB63" s="8">
        <f>+AA63+1</f>
        <v>2035</v>
      </c>
      <c r="AC63" s="139" t="s">
        <v>34</v>
      </c>
      <c r="AF63" s="71"/>
      <c r="AG63" s="71"/>
      <c r="AH63" s="71"/>
      <c r="AI63" s="71"/>
      <c r="AJ63" s="71"/>
      <c r="AK63" s="71"/>
      <c r="AL63" s="71"/>
      <c r="AM63" s="71"/>
      <c r="AN63" s="71"/>
      <c r="AO63" s="71"/>
      <c r="AP63" s="71"/>
      <c r="AQ63" s="71"/>
      <c r="AR63" s="70"/>
      <c r="AS63" s="70"/>
      <c r="AT63" s="70"/>
      <c r="AU63" s="70"/>
      <c r="AV63" s="70"/>
      <c r="AW63" s="70"/>
      <c r="AX63" s="70"/>
      <c r="AY63" s="70"/>
      <c r="AZ63" s="70"/>
    </row>
    <row r="64" spans="1:66" ht="15.65" customHeight="1">
      <c r="A64" s="219" t="s">
        <v>114</v>
      </c>
      <c r="B64" s="220"/>
      <c r="C64" s="288"/>
      <c r="D64" s="288"/>
      <c r="E64" s="288"/>
      <c r="F64" s="288"/>
      <c r="G64" s="288"/>
      <c r="H64" s="288"/>
      <c r="I64" s="288"/>
      <c r="J64" s="288"/>
      <c r="K64" s="288"/>
      <c r="L64" s="288"/>
      <c r="M64" s="21">
        <f t="shared" si="83"/>
        <v>0</v>
      </c>
      <c r="N64" s="285"/>
      <c r="O64" s="285" t="s">
        <v>113</v>
      </c>
      <c r="P64" s="119"/>
      <c r="Q64" s="147" t="s">
        <v>74</v>
      </c>
      <c r="R64" s="315">
        <f t="shared" ref="R64:R73" si="85">+AC64</f>
        <v>0</v>
      </c>
      <c r="S64" s="316">
        <f>+S40</f>
        <v>0</v>
      </c>
      <c r="T64" s="316">
        <f t="shared" ref="T64:Z64" si="86">+T40</f>
        <v>0</v>
      </c>
      <c r="U64" s="316">
        <f t="shared" si="86"/>
        <v>0</v>
      </c>
      <c r="V64" s="316">
        <f t="shared" si="86"/>
        <v>0</v>
      </c>
      <c r="W64" s="316">
        <f t="shared" si="86"/>
        <v>0</v>
      </c>
      <c r="X64" s="317">
        <f t="shared" si="86"/>
        <v>0</v>
      </c>
      <c r="Y64" s="294">
        <f t="shared" si="86"/>
        <v>0</v>
      </c>
      <c r="Z64" s="28">
        <f t="shared" si="86"/>
        <v>0</v>
      </c>
      <c r="AA64" s="28">
        <f>+AA40</f>
        <v>0</v>
      </c>
      <c r="AB64" s="28">
        <f>+AB40</f>
        <v>0</v>
      </c>
      <c r="AC64" s="140">
        <f>SUM(S64:AB64)</f>
        <v>0</v>
      </c>
      <c r="AF64" s="70"/>
      <c r="AG64" s="70"/>
      <c r="AH64" s="70"/>
      <c r="AI64" s="70"/>
      <c r="AJ64" s="70"/>
      <c r="AK64" s="70"/>
      <c r="AL64" s="70"/>
      <c r="AM64" s="70"/>
      <c r="AN64" s="70"/>
      <c r="AO64" s="70"/>
      <c r="AP64" s="70"/>
      <c r="AQ64" s="70"/>
      <c r="AR64" s="70"/>
      <c r="AS64" s="70"/>
      <c r="AT64" s="70"/>
      <c r="AU64" s="70"/>
      <c r="AV64" s="70"/>
      <c r="AW64" s="70"/>
      <c r="AX64" s="70"/>
      <c r="AY64" s="70"/>
      <c r="AZ64" s="70"/>
    </row>
    <row r="65" spans="1:52" ht="15.65" customHeight="1">
      <c r="A65" s="201" t="s">
        <v>114</v>
      </c>
      <c r="B65" s="16"/>
      <c r="C65" s="288"/>
      <c r="D65" s="288"/>
      <c r="E65" s="288"/>
      <c r="F65" s="288"/>
      <c r="G65" s="288"/>
      <c r="H65" s="288"/>
      <c r="I65" s="288"/>
      <c r="J65" s="288"/>
      <c r="K65" s="288"/>
      <c r="L65" s="288"/>
      <c r="M65" s="21">
        <f t="shared" si="83"/>
        <v>0</v>
      </c>
      <c r="N65" s="285"/>
      <c r="O65" s="285" t="s">
        <v>113</v>
      </c>
      <c r="P65" s="119"/>
      <c r="Q65" s="148" t="s">
        <v>75</v>
      </c>
      <c r="R65" s="309">
        <f>+AC65</f>
        <v>0</v>
      </c>
      <c r="S65" s="310">
        <f t="shared" ref="S65:Z65" si="87">+S56</f>
        <v>0</v>
      </c>
      <c r="T65" s="310">
        <f t="shared" si="87"/>
        <v>0</v>
      </c>
      <c r="U65" s="310">
        <f t="shared" si="87"/>
        <v>0</v>
      </c>
      <c r="V65" s="310">
        <f t="shared" si="87"/>
        <v>0</v>
      </c>
      <c r="W65" s="310">
        <f t="shared" si="87"/>
        <v>0</v>
      </c>
      <c r="X65" s="311">
        <f t="shared" si="87"/>
        <v>0</v>
      </c>
      <c r="Y65" s="295">
        <f t="shared" si="87"/>
        <v>0</v>
      </c>
      <c r="Z65" s="113">
        <f t="shared" si="87"/>
        <v>0</v>
      </c>
      <c r="AA65" s="113">
        <f>+AA56</f>
        <v>0</v>
      </c>
      <c r="AB65" s="113">
        <f>+AB56</f>
        <v>0</v>
      </c>
      <c r="AC65" s="141">
        <f t="shared" ref="AC65:AC73" si="88">SUM(S65:AB65)</f>
        <v>0</v>
      </c>
      <c r="AF65" s="70"/>
      <c r="AG65" s="70"/>
      <c r="AH65" s="70"/>
      <c r="AI65" s="70"/>
      <c r="AJ65" s="70"/>
      <c r="AK65" s="70"/>
      <c r="AL65" s="70"/>
      <c r="AM65" s="70"/>
      <c r="AN65" s="70"/>
      <c r="AO65" s="70"/>
      <c r="AP65" s="70"/>
      <c r="AQ65" s="70"/>
      <c r="AR65" s="70"/>
      <c r="AS65" s="70"/>
      <c r="AT65" s="70"/>
      <c r="AU65" s="70"/>
      <c r="AV65" s="70"/>
      <c r="AW65" s="70"/>
      <c r="AX65" s="70"/>
      <c r="AY65" s="70"/>
      <c r="AZ65" s="70"/>
    </row>
    <row r="66" spans="1:52" ht="15.65" customHeight="1">
      <c r="A66" s="219" t="s">
        <v>114</v>
      </c>
      <c r="B66" s="220"/>
      <c r="C66" s="288"/>
      <c r="D66" s="288"/>
      <c r="E66" s="288"/>
      <c r="F66" s="288"/>
      <c r="G66" s="288"/>
      <c r="H66" s="288"/>
      <c r="I66" s="288"/>
      <c r="J66" s="288"/>
      <c r="K66" s="288"/>
      <c r="L66" s="288"/>
      <c r="M66" s="21">
        <f t="shared" si="83"/>
        <v>0</v>
      </c>
      <c r="N66" s="285"/>
      <c r="O66" s="285" t="s">
        <v>113</v>
      </c>
      <c r="P66" s="119"/>
      <c r="Q66" s="149" t="s">
        <v>76</v>
      </c>
      <c r="R66" s="312">
        <f t="shared" si="85"/>
        <v>0</v>
      </c>
      <c r="S66" s="313">
        <f>+SUM(S64:S65)</f>
        <v>0</v>
      </c>
      <c r="T66" s="313">
        <f t="shared" ref="T66:Z66" si="89">+SUM(T64:T65)</f>
        <v>0</v>
      </c>
      <c r="U66" s="313">
        <f t="shared" si="89"/>
        <v>0</v>
      </c>
      <c r="V66" s="313">
        <f t="shared" si="89"/>
        <v>0</v>
      </c>
      <c r="W66" s="313">
        <f t="shared" si="89"/>
        <v>0</v>
      </c>
      <c r="X66" s="314">
        <f t="shared" si="89"/>
        <v>0</v>
      </c>
      <c r="Y66" s="296">
        <f t="shared" si="89"/>
        <v>0</v>
      </c>
      <c r="Z66" s="137">
        <f t="shared" si="89"/>
        <v>0</v>
      </c>
      <c r="AA66" s="137">
        <f>+SUM(AA64:AA65)</f>
        <v>0</v>
      </c>
      <c r="AB66" s="137">
        <f>+SUM(AB64:AB65)</f>
        <v>0</v>
      </c>
      <c r="AC66" s="138">
        <f t="shared" si="88"/>
        <v>0</v>
      </c>
      <c r="AF66" s="70"/>
      <c r="AG66" s="70"/>
      <c r="AH66" s="70"/>
      <c r="AI66" s="70"/>
      <c r="AJ66" s="70"/>
      <c r="AK66" s="70"/>
      <c r="AL66" s="70"/>
      <c r="AM66" s="70"/>
      <c r="AN66" s="70"/>
      <c r="AO66" s="70"/>
      <c r="AP66" s="70"/>
      <c r="AQ66" s="70"/>
      <c r="AR66" s="70"/>
      <c r="AS66" s="70"/>
      <c r="AT66" s="70"/>
      <c r="AU66" s="70"/>
      <c r="AV66" s="70"/>
      <c r="AW66" s="70"/>
      <c r="AX66" s="70"/>
      <c r="AY66" s="70"/>
      <c r="AZ66" s="70"/>
    </row>
    <row r="67" spans="1:52" ht="15.65" customHeight="1">
      <c r="A67" s="201" t="s">
        <v>114</v>
      </c>
      <c r="B67" s="16"/>
      <c r="C67" s="288"/>
      <c r="D67" s="288"/>
      <c r="E67" s="288"/>
      <c r="F67" s="288"/>
      <c r="G67" s="288"/>
      <c r="H67" s="288"/>
      <c r="I67" s="288"/>
      <c r="J67" s="288"/>
      <c r="K67" s="288"/>
      <c r="L67" s="288"/>
      <c r="M67" s="21">
        <f t="shared" si="83"/>
        <v>0</v>
      </c>
      <c r="N67" s="285"/>
      <c r="O67" s="285" t="s">
        <v>113</v>
      </c>
      <c r="P67" s="119"/>
      <c r="Q67" s="149" t="s">
        <v>77</v>
      </c>
      <c r="R67" s="312">
        <f t="shared" si="85"/>
        <v>0</v>
      </c>
      <c r="S67" s="313">
        <f>+C75</f>
        <v>0</v>
      </c>
      <c r="T67" s="313">
        <f t="shared" ref="T67:AB67" si="90">+D75</f>
        <v>0</v>
      </c>
      <c r="U67" s="313">
        <f t="shared" si="90"/>
        <v>0</v>
      </c>
      <c r="V67" s="313">
        <f t="shared" si="90"/>
        <v>0</v>
      </c>
      <c r="W67" s="313">
        <f t="shared" si="90"/>
        <v>0</v>
      </c>
      <c r="X67" s="314">
        <f t="shared" si="90"/>
        <v>0</v>
      </c>
      <c r="Y67" s="296">
        <f t="shared" si="90"/>
        <v>0</v>
      </c>
      <c r="Z67" s="137">
        <f t="shared" si="90"/>
        <v>0</v>
      </c>
      <c r="AA67" s="137">
        <f t="shared" si="90"/>
        <v>0</v>
      </c>
      <c r="AB67" s="137">
        <f t="shared" si="90"/>
        <v>0</v>
      </c>
      <c r="AC67" s="138">
        <f t="shared" si="88"/>
        <v>0</v>
      </c>
      <c r="AF67" s="70"/>
      <c r="AG67" s="70"/>
      <c r="AH67" s="70"/>
      <c r="AI67" s="70"/>
      <c r="AJ67" s="70"/>
      <c r="AK67" s="70"/>
      <c r="AL67" s="70"/>
      <c r="AM67" s="70"/>
      <c r="AN67" s="70"/>
      <c r="AO67" s="70"/>
      <c r="AP67" s="70"/>
      <c r="AQ67" s="70"/>
      <c r="AR67" s="70"/>
      <c r="AS67" s="70"/>
      <c r="AT67" s="70"/>
      <c r="AU67" s="70"/>
      <c r="AV67" s="70"/>
      <c r="AW67" s="70"/>
      <c r="AX67" s="70"/>
      <c r="AY67" s="70"/>
      <c r="AZ67" s="70"/>
    </row>
    <row r="68" spans="1:52" ht="15.65" customHeight="1">
      <c r="A68" s="219" t="s">
        <v>114</v>
      </c>
      <c r="B68" s="220"/>
      <c r="C68" s="288"/>
      <c r="D68" s="288"/>
      <c r="E68" s="288"/>
      <c r="F68" s="288"/>
      <c r="G68" s="288"/>
      <c r="H68" s="288"/>
      <c r="I68" s="288"/>
      <c r="J68" s="288"/>
      <c r="K68" s="288"/>
      <c r="L68" s="288"/>
      <c r="M68" s="21">
        <f t="shared" si="83"/>
        <v>0</v>
      </c>
      <c r="N68" s="285"/>
      <c r="O68" s="285" t="s">
        <v>113</v>
      </c>
      <c r="P68" s="119"/>
      <c r="Q68" s="149" t="s">
        <v>78</v>
      </c>
      <c r="R68" s="312">
        <f t="shared" si="85"/>
        <v>0</v>
      </c>
      <c r="S68" s="313">
        <f>+S67+S66</f>
        <v>0</v>
      </c>
      <c r="T68" s="313">
        <f t="shared" ref="T68:Z68" si="91">+T67+T66</f>
        <v>0</v>
      </c>
      <c r="U68" s="313">
        <f t="shared" si="91"/>
        <v>0</v>
      </c>
      <c r="V68" s="313">
        <f t="shared" si="91"/>
        <v>0</v>
      </c>
      <c r="W68" s="313">
        <f t="shared" si="91"/>
        <v>0</v>
      </c>
      <c r="X68" s="314">
        <f t="shared" si="91"/>
        <v>0</v>
      </c>
      <c r="Y68" s="296">
        <f t="shared" si="91"/>
        <v>0</v>
      </c>
      <c r="Z68" s="137">
        <f t="shared" si="91"/>
        <v>0</v>
      </c>
      <c r="AA68" s="137">
        <f>+AA67+AA66</f>
        <v>0</v>
      </c>
      <c r="AB68" s="137">
        <f>+AB67+AB66</f>
        <v>0</v>
      </c>
      <c r="AC68" s="138">
        <f t="shared" si="88"/>
        <v>0</v>
      </c>
      <c r="AF68" s="70"/>
      <c r="AG68" s="70"/>
      <c r="AH68" s="70"/>
      <c r="AI68" s="70"/>
      <c r="AJ68" s="70"/>
      <c r="AK68" s="70"/>
      <c r="AL68" s="70"/>
      <c r="AM68" s="70"/>
      <c r="AN68" s="70"/>
      <c r="AO68" s="70"/>
      <c r="AP68" s="70"/>
      <c r="AQ68" s="70"/>
      <c r="AR68" s="70"/>
      <c r="AS68" s="70"/>
      <c r="AT68" s="70"/>
      <c r="AU68" s="70"/>
      <c r="AV68" s="70"/>
      <c r="AW68" s="70"/>
      <c r="AX68" s="70"/>
      <c r="AY68" s="70"/>
      <c r="AZ68" s="70"/>
    </row>
    <row r="69" spans="1:52" ht="15.65" customHeight="1">
      <c r="A69" s="201" t="s">
        <v>114</v>
      </c>
      <c r="B69" s="16"/>
      <c r="C69" s="288"/>
      <c r="D69" s="288"/>
      <c r="E69" s="288"/>
      <c r="F69" s="288"/>
      <c r="G69" s="288"/>
      <c r="H69" s="288"/>
      <c r="I69" s="288"/>
      <c r="J69" s="288"/>
      <c r="K69" s="288"/>
      <c r="L69" s="288"/>
      <c r="M69" s="21">
        <f t="shared" si="83"/>
        <v>0</v>
      </c>
      <c r="N69" s="285"/>
      <c r="O69" s="285" t="s">
        <v>113</v>
      </c>
      <c r="P69" s="119"/>
      <c r="Q69" s="150" t="s">
        <v>0</v>
      </c>
      <c r="R69" s="312">
        <f>+AC69</f>
        <v>0</v>
      </c>
      <c r="S69" s="153">
        <f>IF($C$12=2,S66*$C$6/100,
IF($G$6=Lister!$D$4,S66*$C$6/100,
IF($G$6=Lister!$D$5,S68*$C$6/100,
IF($G$6=Lister!$D$6,(S68-SUMIF($A$62:$A$72,Lister!$M$10,C62:C72))*$C$6/100,
IF($G$6=Lister!$D$7,(S68-SUMIF($A$62:$A$72,Lister!$M$10,C62:C72)-SUMIF($A$62:$A$72,Lister!$M$7,C62:C72))*$C$6/100,
IF($G$6=Lister!$D$8,(S68+S70)*$C$6/100,
IF($G$6=Lister!$D$9,S67*$C$6/100,0)))))))</f>
        <v>0</v>
      </c>
      <c r="T69" s="153">
        <f>IF($C$12=2,T66*$C$6/100,
IF($G$6=Lister!$D$4,T66*$C$6/100,
IF($G$6=Lister!$D$5,T68*$C$6/100,
IF($G$6=Lister!$D$6,(T68-SUMIF($A$62:$A$72,Lister!$M$10,D62:D72))*$C$6/100,
IF($G$6=Lister!$D$7,(T68-SUMIF($A$62:$A$72,Lister!$M$10,D62:D72)-SUMIF($A$62:$A$72,Lister!$M$7,D62:D72))*$C$6/100,
IF($G$6=Lister!$D$8,(T68+T70)*$C$6/100,
IF($G$6=Lister!$D$9,T67*$C$6/100,0)))))))</f>
        <v>0</v>
      </c>
      <c r="U69" s="153">
        <f>IF($C$12=2,U66*$C$6/100,
IF($G$6=Lister!$D$4,U66*$C$6/100,
IF($G$6=Lister!$D$5,U68*$C$6/100,
IF($G$6=Lister!$D$6,(U68-SUMIF($A$62:$A$72,Lister!$M$10,E62:E72))*$C$6/100,
IF($G$6=Lister!$D$7,(U68-SUMIF($A$62:$A$72,Lister!$M$10,E62:E72)-SUMIF($A$62:$A$72,Lister!$M$7,E62:E72))*$C$6/100,
IF($G$6=Lister!$D$8,(U68+U70)*$C$6/100,
IF($G$6=Lister!$D$9,U67*$C$6/100,0)))))))</f>
        <v>0</v>
      </c>
      <c r="V69" s="153">
        <f>IF($C$12=2,V66*$C$6/100,
IF($G$6=Lister!$D$4,V66*$C$6/100,
IF($G$6=Lister!$D$5,V68*$C$6/100,
IF($G$6=Lister!$D$6,(V68-SUMIF($A$62:$A$72,Lister!$M$10,F62:F72))*$C$6/100,
IF($G$6=Lister!$D$7,(V68-SUMIF($A$62:$A$72,Lister!$M$10,F62:F72)-SUMIF($A$62:$A$72,Lister!$M$7,F62:F72))*$C$6/100,
IF($G$6=Lister!$D$8,(V68+V70)*$C$6/100,
IF($G$6=Lister!$D$9,V67*$C$6/100,0)))))))</f>
        <v>0</v>
      </c>
      <c r="W69" s="153">
        <f>IF($C$12=2,W66*$C$6/100,
IF($G$6=Lister!$D$4,W66*$C$6/100,
IF($G$6=Lister!$D$5,W68*$C$6/100,
IF($G$6=Lister!$D$6,(W68-SUMIF($A$62:$A$72,Lister!$M$10,G62:G72))*$C$6/100,
IF($G$6=Lister!$D$7,(W68-SUMIF($A$62:$A$72,Lister!$M$10,G62:G72)-SUMIF($A$62:$A$72,Lister!$M$7,G62:G72))*$C$6/100,
IF($G$6=Lister!$D$8,(W68+W70)*$C$6/100,
IF($G$6=Lister!$D$9,W67*$C$6/100,0)))))))</f>
        <v>0</v>
      </c>
      <c r="X69" s="300">
        <f>IF($C$12=2,X66*$C$6/100,
IF($G$6=Lister!$D$4,X66*$C$6/100,
IF($G$6=Lister!$D$5,X68*$C$6/100,
IF($G$6=Lister!$D$6,(X68-SUMIF($A$62:$A$72,Lister!$M$10,H62:H72))*$C$6/100,
IF($G$6=Lister!$D$7,(X68-SUMIF($A$62:$A$72,Lister!$M$10,H62:H72)-SUMIF($A$62:$A$72,Lister!$M$7,H62:H72))*$C$6/100,
IF($G$6=Lister!$D$8,(X68+X70)*$C$6/100,
IF($G$6=Lister!$D$9,X67*$C$6/100,0)))))))</f>
        <v>0</v>
      </c>
      <c r="Y69" s="297">
        <f>IF($C$12=2,Y66*$C$6/100,
IF($G$6=Lister!$D$4,Y66*$C$6/100,
IF($G$6=Lister!$D$5,Y68*$C$6/100,
IF($G$6=Lister!$D$6,(Y68-SUMIF($A$62:$A$72,Lister!$M$10,I62:I72))*$C$6/100,
IF($G$6=Lister!$D$7,(Y68-SUMIF($A$62:$A$72,Lister!$M$10,I62:I72)-SUMIF($A$62:$A$72,Lister!$M$7,I62:I72))*$C$6/100,
IF($G$6=Lister!$D$8,(Y68+Y70)*$C$6/100,
IF($G$6=Lister!$D$9,Y67*$C$6/100,0)))))))</f>
        <v>0</v>
      </c>
      <c r="Z69" s="21">
        <f>IF($C$12=2,Z66*$C$6/100,
IF($G$6=Lister!$D$4,Z66*$C$6/100,
IF($G$6=Lister!$D$5,Z68*$C$6/100,
IF($G$6=Lister!$D$6,(Z68-SUMIF($A$62:$A$72,Lister!$M$10,J62:J72))*$C$6/100,
IF($G$6=Lister!$D$7,(Z68-SUMIF($A$62:$A$72,Lister!$M$10,J62:J72)-SUMIF($A$62:$A$72,Lister!$M$7,J62:J72))*$C$6/100,
IF($G$6=Lister!$D$8,(Z68+Z70)*$C$6/100,
IF($G$6=Lister!$D$9,Z67*$C$6/100,0)))))))</f>
        <v>0</v>
      </c>
      <c r="AA69" s="21">
        <f>IF($C$12=2,AA66*$C$6/100,
IF($G$6=Lister!$D$4,AA66*$C$6/100,
IF($G$6=Lister!$D$5,AA68*$C$6/100,
IF($G$6=Lister!$D$6,(AA68-SUMIF($A$62:$A$72,Lister!$M$10,K62:K72))*$C$6/100,
IF($G$6=Lister!$D$7,(AA68-SUMIF($A$62:$A$72,Lister!$M$10,K62:K72)-SUMIF($A$62:$A$72,Lister!$M$7,K62:K72))*$C$6/100,
IF($G$6=Lister!$D$8,(AA68+AA70)*$C$6/100,
IF($G$6=Lister!$D$9,AA67*$C$6/100,0)))))))</f>
        <v>0</v>
      </c>
      <c r="AB69" s="21">
        <f>IF($C$12=2,AB66*$C$6/100,
IF($G$6=Lister!$D$4,AB66*$C$6/100,
IF($G$6=Lister!$D$5,AB68*$C$6/100,
IF($G$6=Lister!$D$6,(AB68-SUMIF($A$62:$A$72,Lister!$M$10,L62:L72))*$C$6/100,
IF($G$6=Lister!$D$7,(AB68-SUMIF($A$62:$A$72,Lister!$M$10,L62:L72)-SUMIF($A$62:$A$72,Lister!$M$7,L62:L72))*$C$6/100,
IF($G$6=Lister!$D$8,(AB68+AB70)*$C$6/100,
IF($G$6=Lister!$D$9,AB67*$C$6/100,0)))))))</f>
        <v>0</v>
      </c>
      <c r="AC69" s="138">
        <f t="shared" si="88"/>
        <v>0</v>
      </c>
      <c r="AF69" s="70"/>
      <c r="AG69" s="70"/>
      <c r="AH69" s="70"/>
      <c r="AI69" s="70"/>
      <c r="AJ69" s="70"/>
      <c r="AK69" s="70"/>
      <c r="AL69" s="70"/>
      <c r="AM69" s="70"/>
      <c r="AN69" s="70"/>
      <c r="AO69" s="70"/>
      <c r="AP69" s="70"/>
      <c r="AQ69" s="70"/>
      <c r="AR69" s="70"/>
      <c r="AS69" s="70"/>
      <c r="AT69" s="70"/>
      <c r="AU69" s="70"/>
      <c r="AV69" s="70"/>
      <c r="AW69" s="70"/>
      <c r="AX69" s="70"/>
      <c r="AY69" s="70"/>
      <c r="AZ69" s="70"/>
    </row>
    <row r="70" spans="1:52" ht="15.65" customHeight="1">
      <c r="A70" s="219" t="s">
        <v>114</v>
      </c>
      <c r="B70" s="220"/>
      <c r="C70" s="288"/>
      <c r="D70" s="288"/>
      <c r="E70" s="288"/>
      <c r="F70" s="288"/>
      <c r="G70" s="288"/>
      <c r="H70" s="288"/>
      <c r="I70" s="288"/>
      <c r="J70" s="288"/>
      <c r="K70" s="288"/>
      <c r="L70" s="288"/>
      <c r="M70" s="21">
        <f t="shared" si="83"/>
        <v>0</v>
      </c>
      <c r="N70" s="285"/>
      <c r="O70" s="285" t="s">
        <v>113</v>
      </c>
      <c r="P70" s="119"/>
      <c r="Q70" s="151" t="s">
        <v>103</v>
      </c>
      <c r="R70" s="312">
        <f t="shared" si="85"/>
        <v>0</v>
      </c>
      <c r="S70" s="153">
        <f>+IF($C$8=Lister!$O$5,C$40*Takstblad!C$84,0)</f>
        <v>0</v>
      </c>
      <c r="T70" s="153">
        <f>+IF($C$8=Lister!$O$5,D$40*Takstblad!D$84,0)</f>
        <v>0</v>
      </c>
      <c r="U70" s="153">
        <f>+IF($C$8=Lister!$O$5,E$40*Takstblad!E$84,0)</f>
        <v>0</v>
      </c>
      <c r="V70" s="153">
        <f>+IF($C$8=Lister!$O$5,F$40*Takstblad!F$84,0)</f>
        <v>0</v>
      </c>
      <c r="W70" s="153">
        <f>+IF($C$8=Lister!$O$5,G$40*Takstblad!G$84,0)</f>
        <v>0</v>
      </c>
      <c r="X70" s="300">
        <f>+IF($C$8=Lister!$O$5,H$40*Takstblad!H$84,0)</f>
        <v>0</v>
      </c>
      <c r="Y70" s="297">
        <f>+IF($C$8=Lister!$O$5,I$40*Takstblad!I$84,0)</f>
        <v>0</v>
      </c>
      <c r="Z70" s="21">
        <f>+IF($C$8=Lister!$O$5,J$40*Takstblad!J$84,0)</f>
        <v>0</v>
      </c>
      <c r="AA70" s="21">
        <f>+IF($C$8=Lister!$O$5,K$40*Takstblad!K$84,0)</f>
        <v>0</v>
      </c>
      <c r="AB70" s="21">
        <f>+IF($C$8=Lister!$O$5,L$40*Takstblad!L$84,0)</f>
        <v>0</v>
      </c>
      <c r="AC70" s="138">
        <f t="shared" si="88"/>
        <v>0</v>
      </c>
      <c r="AF70" s="70"/>
      <c r="AG70" s="70"/>
      <c r="AH70" s="70"/>
      <c r="AI70" s="70"/>
      <c r="AJ70" s="70"/>
      <c r="AK70" s="70"/>
      <c r="AL70" s="70"/>
      <c r="AM70" s="70"/>
      <c r="AN70" s="70"/>
      <c r="AO70" s="70"/>
      <c r="AP70" s="70"/>
      <c r="AQ70" s="70"/>
      <c r="AR70" s="70"/>
      <c r="AS70" s="70"/>
      <c r="AT70" s="70"/>
      <c r="AU70" s="70"/>
      <c r="AV70" s="70"/>
      <c r="AW70" s="70"/>
      <c r="AX70" s="70"/>
      <c r="AY70" s="70"/>
      <c r="AZ70" s="70"/>
    </row>
    <row r="71" spans="1:52" ht="17.649999999999999" customHeight="1">
      <c r="A71" s="201" t="s">
        <v>114</v>
      </c>
      <c r="B71" s="16"/>
      <c r="C71" s="288"/>
      <c r="D71" s="288"/>
      <c r="E71" s="288"/>
      <c r="F71" s="288"/>
      <c r="G71" s="288"/>
      <c r="H71" s="288"/>
      <c r="I71" s="288"/>
      <c r="J71" s="288"/>
      <c r="K71" s="288"/>
      <c r="L71" s="288"/>
      <c r="M71" s="21">
        <f t="shared" si="83"/>
        <v>0</v>
      </c>
      <c r="N71" s="285"/>
      <c r="O71" s="285" t="s">
        <v>113</v>
      </c>
      <c r="P71" s="119"/>
      <c r="Q71" s="151" t="s">
        <v>108</v>
      </c>
      <c r="R71" s="312">
        <f t="shared" si="85"/>
        <v>0</v>
      </c>
      <c r="S71" s="153">
        <f>+S87+S101</f>
        <v>0</v>
      </c>
      <c r="T71" s="153">
        <f t="shared" ref="T71:AB71" si="92">+T87+T101</f>
        <v>0</v>
      </c>
      <c r="U71" s="153">
        <f t="shared" si="92"/>
        <v>0</v>
      </c>
      <c r="V71" s="153">
        <f t="shared" si="92"/>
        <v>0</v>
      </c>
      <c r="W71" s="153">
        <f t="shared" si="92"/>
        <v>0</v>
      </c>
      <c r="X71" s="300">
        <f t="shared" si="92"/>
        <v>0</v>
      </c>
      <c r="Y71" s="297">
        <f t="shared" si="92"/>
        <v>0</v>
      </c>
      <c r="Z71" s="21">
        <f t="shared" si="92"/>
        <v>0</v>
      </c>
      <c r="AA71" s="21">
        <f t="shared" si="92"/>
        <v>0</v>
      </c>
      <c r="AB71" s="21">
        <f t="shared" si="92"/>
        <v>0</v>
      </c>
      <c r="AC71" s="138">
        <f t="shared" si="88"/>
        <v>0</v>
      </c>
      <c r="AF71" s="70"/>
      <c r="AG71" s="70"/>
      <c r="AH71" s="70"/>
      <c r="AI71" s="70"/>
      <c r="AJ71" s="70"/>
      <c r="AK71" s="70"/>
      <c r="AL71" s="70"/>
      <c r="AM71" s="70"/>
      <c r="AN71" s="70"/>
      <c r="AO71" s="70"/>
      <c r="AP71" s="70"/>
      <c r="AQ71" s="70"/>
      <c r="AR71" s="70"/>
      <c r="AS71" s="70"/>
      <c r="AT71" s="70"/>
      <c r="AU71" s="70"/>
      <c r="AV71" s="70"/>
      <c r="AW71" s="70"/>
      <c r="AX71" s="70"/>
      <c r="AY71" s="70"/>
      <c r="AZ71" s="70"/>
    </row>
    <row r="72" spans="1:52" s="11" customFormat="1" ht="15.65" customHeight="1">
      <c r="A72" s="219" t="s">
        <v>114</v>
      </c>
      <c r="B72" s="220"/>
      <c r="C72" s="288"/>
      <c r="D72" s="288"/>
      <c r="E72" s="288"/>
      <c r="F72" s="288"/>
      <c r="G72" s="288"/>
      <c r="H72" s="288"/>
      <c r="I72" s="288"/>
      <c r="J72" s="288"/>
      <c r="K72" s="288"/>
      <c r="L72" s="288"/>
      <c r="M72" s="21">
        <f t="shared" si="83"/>
        <v>0</v>
      </c>
      <c r="N72" s="285"/>
      <c r="O72" s="285" t="s">
        <v>113</v>
      </c>
      <c r="P72" s="119"/>
      <c r="Q72" s="150" t="s">
        <v>531</v>
      </c>
      <c r="R72" s="312">
        <f t="shared" si="85"/>
        <v>0</v>
      </c>
      <c r="S72" s="153" t="str">
        <f>IF($C$12=2,(SUM(S68:S71)*$C$13)/100,"0")</f>
        <v>0</v>
      </c>
      <c r="T72" s="153" t="str">
        <f t="shared" ref="T72:Z72" si="93">IF($C$12=2,(SUM(T68:T71)*$C$13)/100,"0")</f>
        <v>0</v>
      </c>
      <c r="U72" s="153" t="str">
        <f t="shared" si="93"/>
        <v>0</v>
      </c>
      <c r="V72" s="153" t="str">
        <f t="shared" si="93"/>
        <v>0</v>
      </c>
      <c r="W72" s="153" t="str">
        <f t="shared" si="93"/>
        <v>0</v>
      </c>
      <c r="X72" s="300" t="str">
        <f t="shared" si="93"/>
        <v>0</v>
      </c>
      <c r="Y72" s="298" t="str">
        <f t="shared" si="93"/>
        <v>0</v>
      </c>
      <c r="Z72" s="153" t="str">
        <f t="shared" si="93"/>
        <v>0</v>
      </c>
      <c r="AA72" s="153" t="str">
        <f>IF($C$12=2,(SUM(AA68:AA71)*$C$13)/100,"0")</f>
        <v>0</v>
      </c>
      <c r="AB72" s="153" t="str">
        <f>IF($C$12=2,(SUM(AB68:AB71)*$C$13)/100,"0")</f>
        <v>0</v>
      </c>
      <c r="AC72" s="138">
        <f t="shared" si="88"/>
        <v>0</v>
      </c>
      <c r="AF72" s="70"/>
      <c r="AG72" s="70"/>
      <c r="AH72" s="70"/>
      <c r="AI72" s="70"/>
      <c r="AJ72" s="70"/>
      <c r="AK72" s="70"/>
      <c r="AL72" s="70"/>
      <c r="AM72" s="70"/>
      <c r="AN72" s="70"/>
      <c r="AO72" s="70"/>
      <c r="AP72" s="70"/>
      <c r="AQ72" s="70"/>
      <c r="AR72" s="78"/>
      <c r="AS72" s="78"/>
      <c r="AT72" s="78"/>
      <c r="AU72" s="78"/>
      <c r="AV72" s="78"/>
      <c r="AW72" s="78"/>
      <c r="AX72" s="78"/>
      <c r="AY72" s="78"/>
      <c r="AZ72" s="78"/>
    </row>
    <row r="73" spans="1:52" s="11" customFormat="1" ht="15" customHeight="1">
      <c r="A73" s="5" t="s">
        <v>233</v>
      </c>
      <c r="B73" s="16"/>
      <c r="C73" s="28">
        <f>IFERROR(IF($C$12=2,0,IF($C$8="project-supplement",0,IF(OR($G$7="Salary and Operations",$G$7="Operations"),(VLOOKUP($C$2,Takstblad!$B$71:$L$83,2,FALSE)*C$77)))),0)</f>
        <v>0</v>
      </c>
      <c r="D73" s="28">
        <f>IFERROR(IF($C$12=2,0,IF($C$8="project-supplement",0,IF(OR($G$7="Salary and Operations",$G$7="Operations"),(VLOOKUP($C$2,Takstblad!$B$71:$L$83,3,FALSE)*D$77)))),0)</f>
        <v>0</v>
      </c>
      <c r="E73" s="28">
        <f>IFERROR(IF($C$12=2,0,IF($C$8="project-supplement",0,IF(OR($G$7="Salary and Operations",$G$7="Operations"),(VLOOKUP($C$2,Takstblad!$B$71:$L$83,4,FALSE)*E$77)))),0)</f>
        <v>0</v>
      </c>
      <c r="F73" s="28">
        <f>IFERROR(IF($C$12=2,0,IF($C$8="project-supplement",0,IF(OR($G$7="Salary and Operations",$G$7="Operations"),(VLOOKUP($C$2,Takstblad!$B$71:$L$83,5,FALSE)*F$77)))),0)</f>
        <v>0</v>
      </c>
      <c r="G73" s="28">
        <f>IFERROR(IF($C$12=2,0,IF($C$8="project-supplement",0,IF(OR($G$7="Salary and Operations",$G$7="Operations"),(VLOOKUP($C$2,Takstblad!$B$71:$L$83,6,FALSE)*G$77)))),0)</f>
        <v>0</v>
      </c>
      <c r="H73" s="28">
        <f>IFERROR(IF($C$12=2,0,IF($C$8="project-supplement",0,IF(OR($G$7="Salary and Operations",$G$7="Operations"),(VLOOKUP($C$2,Takstblad!$B$71:$L$83,7,FALSE)*H$77)))),0)</f>
        <v>0</v>
      </c>
      <c r="I73" s="28">
        <f>IFERROR(IF($C$12=2,0,IF($C$8="project-supplement",0,IF(OR($G$7="Salary and Operations",$G$7="Operations"),(VLOOKUP($C$2,Takstblad!$B$71:$L$83,8,FALSE)*I$77)))),0)</f>
        <v>0</v>
      </c>
      <c r="J73" s="28">
        <f>IFERROR(IF($C$12=2,0,IF($C$8="project-supplement",0,IF(OR($G$7="Salary and Operations",$G$7="Operations"),(VLOOKUP($C$2,Takstblad!$B$71:$L$83,9,FALSE)*J$77)))),0)</f>
        <v>0</v>
      </c>
      <c r="K73" s="28">
        <f>IFERROR(IF($C$12=2,0,IF($C$8="project-supplement",0,IF(OR($G$7="Salary and Operations",$G$7="Operations"),(VLOOKUP($C$2,Takstblad!$B$71:$L$83,10,FALSE)*K$77)))),0)</f>
        <v>0</v>
      </c>
      <c r="L73" s="28">
        <f>IFERROR(IF($C$12=2,0,IF($C$8="project-supplement",0,IF(OR($G$7="Salary and Operations",$G$7="Operations"),(VLOOKUP($C$2,Takstblad!$B$71:$L$83,11,FALSE)*L$77)))),0)</f>
        <v>0</v>
      </c>
      <c r="M73" s="21">
        <f t="shared" si="83"/>
        <v>0</v>
      </c>
      <c r="N73" s="28"/>
      <c r="O73" s="225" t="s">
        <v>152</v>
      </c>
      <c r="P73" s="118"/>
      <c r="Q73" s="149" t="s">
        <v>101</v>
      </c>
      <c r="R73" s="312">
        <f t="shared" si="85"/>
        <v>0</v>
      </c>
      <c r="S73" s="313">
        <f>+SUM(S68:S72)</f>
        <v>0</v>
      </c>
      <c r="T73" s="313">
        <f t="shared" ref="T73:Z73" si="94">+SUM(T68:T72)</f>
        <v>0</v>
      </c>
      <c r="U73" s="313">
        <f t="shared" si="94"/>
        <v>0</v>
      </c>
      <c r="V73" s="313">
        <f t="shared" si="94"/>
        <v>0</v>
      </c>
      <c r="W73" s="313">
        <f t="shared" si="94"/>
        <v>0</v>
      </c>
      <c r="X73" s="314">
        <f t="shared" si="94"/>
        <v>0</v>
      </c>
      <c r="Y73" s="296">
        <f t="shared" si="94"/>
        <v>0</v>
      </c>
      <c r="Z73" s="137">
        <f t="shared" si="94"/>
        <v>0</v>
      </c>
      <c r="AA73" s="137">
        <f>+SUM(AA68:AA72)</f>
        <v>0</v>
      </c>
      <c r="AB73" s="137">
        <f>+SUM(AB68:AB72)</f>
        <v>0</v>
      </c>
      <c r="AC73" s="138">
        <f t="shared" si="88"/>
        <v>0</v>
      </c>
      <c r="AF73" s="70"/>
      <c r="AG73" s="70"/>
      <c r="AH73" s="70"/>
      <c r="AI73" s="70"/>
      <c r="AJ73" s="70"/>
      <c r="AK73" s="70"/>
      <c r="AL73" s="70"/>
      <c r="AM73" s="70"/>
      <c r="AN73" s="70"/>
      <c r="AO73" s="70"/>
      <c r="AP73" s="70"/>
      <c r="AQ73" s="70"/>
      <c r="AR73" s="78"/>
      <c r="AS73" s="78"/>
      <c r="AT73" s="78"/>
      <c r="AU73" s="78"/>
      <c r="AV73" s="78"/>
      <c r="AW73" s="78"/>
      <c r="AX73" s="78"/>
      <c r="AY73" s="78"/>
      <c r="AZ73" s="78"/>
    </row>
    <row r="74" spans="1:52" ht="15" customHeight="1" thickBot="1">
      <c r="A74" s="5" t="s">
        <v>712</v>
      </c>
      <c r="B74" s="16"/>
      <c r="C74" s="28">
        <f>IFERROR(IF($C$12=2,0,IF($C$8="project-supplement",0,IF(OR($G$7="Salary and Operations",$G$7="Operations"),(VLOOKUP($C$2,Takstblad!$B$71:$L$83,2,FALSE)*C$78)))),0)</f>
        <v>0</v>
      </c>
      <c r="D74" s="28">
        <f>IFERROR(IF($C$12=2,0,IF($C$8="project-supplement",0,IF(OR($G$7="Salary and Operations",$G$7="Operations"),(VLOOKUP($C$2,Takstblad!$B$71:$L$83,3,FALSE)*D$78)))),0)</f>
        <v>0</v>
      </c>
      <c r="E74" s="28">
        <f>IFERROR(IF($C$12=2,0,IF($C$8="project-supplement",0,IF(OR($G$7="Salary and Operations",$G$7="Operations"),(VLOOKUP($C$2,Takstblad!$B$71:$L$83,4,FALSE)*E$78)))),0)</f>
        <v>0</v>
      </c>
      <c r="F74" s="28">
        <f>IFERROR(IF($C$12=2,0,IF($C$8="project-supplement",0,IF(OR($G$7="Salary and Operations",$G$7="Operations"),(VLOOKUP($C$2,Takstblad!$B$71:$L$83,5,FALSE)*F$78)))),0)</f>
        <v>0</v>
      </c>
      <c r="G74" s="28">
        <f>IFERROR(IF($C$12=2,0,IF($C$8="project-supplement",0,IF(OR($G$7="Salary and Operations",$G$7="Operations"),(VLOOKUP($C$2,Takstblad!$B$71:$L$83,6,FALSE)*G$78)))),0)</f>
        <v>0</v>
      </c>
      <c r="H74" s="28">
        <f>IFERROR(IF($C$12=2,0,IF($C$8="project-supplement",0,IF(OR($G$7="Salary and Operations",$G$7="Operations"),(VLOOKUP($C$2,Takstblad!$B$71:$L$83,7,FALSE)*H$78)))),0)</f>
        <v>0</v>
      </c>
      <c r="I74" s="28">
        <f>IFERROR(IF($C$12=2,0,IF($C$8="project-supplement",0,IF(OR($G$7="Salary and Operations",$G$7="Operations"),(VLOOKUP($C$2,Takstblad!$B$71:$L$83,8,FALSE)*I$78)))),0)</f>
        <v>0</v>
      </c>
      <c r="J74" s="28">
        <f>IFERROR(IF($C$12=2,0,IF($C$8="project-supplement",0,IF(OR($G$7="Salary and Operations",$G$7="Operations"),(VLOOKUP($C$2,Takstblad!$B$71:$L$83,9,FALSE)*J$78)))),0)</f>
        <v>0</v>
      </c>
      <c r="K74" s="28">
        <f>IFERROR(IF($C$12=2,0,IF($C$8="project-supplement",0,IF(OR($G$7="Salary and Operations",$G$7="Operations"),(VLOOKUP($C$2,Takstblad!$B$71:$L$83,10,FALSE)*K$78)))),0)</f>
        <v>0</v>
      </c>
      <c r="L74" s="28">
        <f>IFERROR(IF($C$12=2,0,IF($C$8="project-supplement",0,IF(OR($G$7="Salary and Operations",$G$7="Operations"),(VLOOKUP($C$2,Takstblad!$B$71:$L$83,11,FALSE)*L$78)))),0)</f>
        <v>0</v>
      </c>
      <c r="M74" s="21">
        <f t="shared" si="83"/>
        <v>0</v>
      </c>
      <c r="N74" s="28"/>
      <c r="O74" s="225" t="s">
        <v>112</v>
      </c>
      <c r="P74" s="118"/>
      <c r="Q74" s="127"/>
      <c r="R74" s="129"/>
      <c r="S74" s="128"/>
      <c r="T74" s="128"/>
      <c r="U74" s="128"/>
      <c r="V74" s="128"/>
      <c r="W74" s="128"/>
      <c r="X74" s="129"/>
      <c r="Y74" s="128"/>
      <c r="Z74" s="128"/>
      <c r="AA74" s="128"/>
      <c r="AB74" s="128"/>
      <c r="AC74" s="129"/>
      <c r="AF74" s="78"/>
      <c r="AG74" s="78"/>
      <c r="AH74" s="78"/>
      <c r="AI74" s="78"/>
      <c r="AJ74" s="78"/>
      <c r="AK74" s="78"/>
      <c r="AL74" s="78"/>
      <c r="AM74" s="78"/>
      <c r="AN74" s="78"/>
      <c r="AO74" s="78"/>
      <c r="AP74" s="78"/>
      <c r="AQ74" s="78"/>
      <c r="AR74" s="70"/>
      <c r="AS74" s="70"/>
      <c r="AT74" s="70"/>
      <c r="AU74" s="70"/>
      <c r="AV74" s="70"/>
      <c r="AW74" s="70"/>
      <c r="AX74" s="70"/>
      <c r="AY74" s="70"/>
      <c r="AZ74" s="70"/>
    </row>
    <row r="75" spans="1:52" ht="15" customHeight="1" thickBot="1">
      <c r="A75" s="4" t="s">
        <v>72</v>
      </c>
      <c r="B75" s="16"/>
      <c r="C75" s="22">
        <f>SUM(C62:C74)-SUMIF($A$62:$A$72,Lister!$M$9,C62:C72)-ABS(SUMIF($A$62:$A$72,Lister!$M$9,C62:C72))</f>
        <v>0</v>
      </c>
      <c r="D75" s="22">
        <f>SUM(D62:D74)-SUMIF($A$62:$A$72,Lister!$M$9,D62:D72)-ABS(SUMIF($A$62:$A$72,Lister!$M$9,D62:D72))</f>
        <v>0</v>
      </c>
      <c r="E75" s="22">
        <f>SUM(E62:E74)-SUMIF($A$62:$A$72,Lister!$M$9,E62:E72)-ABS(SUMIF($A$62:$A$72,Lister!$M$9,E62:E72))</f>
        <v>0</v>
      </c>
      <c r="F75" s="22">
        <f>SUM(F62:F74)-SUMIF($A$62:$A$72,Lister!$M$9,F62:F72)-ABS(SUMIF($A$62:$A$72,Lister!$M$9,F62:F72))</f>
        <v>0</v>
      </c>
      <c r="G75" s="22">
        <f>SUM(G62:G74)-SUMIF($A$62:$A$72,Lister!$M$9,G62:G72)-ABS(SUMIF($A$62:$A$72,Lister!$M$9,G62:G72))</f>
        <v>0</v>
      </c>
      <c r="H75" s="22">
        <f>SUM(H62:H74)-SUMIF($A$62:$A$72,Lister!$M$9,H62:H72)-ABS(SUMIF($A$62:$A$72,Lister!$M$9,H62:H72))</f>
        <v>0</v>
      </c>
      <c r="I75" s="51">
        <f>SUM(I62:I74)-SUMIF($A$62:$A$72,Lister!$M$9,I62:I72)-ABS(SUMIF($A$62:$A$72,Lister!$M$9,I62:I72))</f>
        <v>0</v>
      </c>
      <c r="J75" s="51">
        <f>SUM(J62:J74)-SUMIF($A$62:$A$72,Lister!$M$9,J62:J72)-ABS(SUMIF($A$62:$A$72,Lister!$M$9,J62:J72))</f>
        <v>0</v>
      </c>
      <c r="K75" s="51">
        <f>SUM(K62:K74)-SUMIF($A$62:$A$72,Lister!$M$9,K62:K72)-ABS(SUMIF($A$62:$A$72,Lister!$M$9,K62:K72))</f>
        <v>0</v>
      </c>
      <c r="L75" s="51">
        <f>SUM(L62:L74)-SUMIF($A$62:$A$72,Lister!$M$9,L62:L72)-ABS(SUMIF($A$62:$A$72,Lister!$M$9,L62:L72))</f>
        <v>0</v>
      </c>
      <c r="M75" s="13">
        <f t="shared" si="83"/>
        <v>0</v>
      </c>
      <c r="N75" s="13"/>
      <c r="O75" s="16"/>
      <c r="P75" s="16"/>
      <c r="Q75" s="130" t="s">
        <v>587</v>
      </c>
      <c r="R75" s="131"/>
      <c r="S75" s="230"/>
      <c r="T75" s="230"/>
      <c r="U75" s="230"/>
      <c r="V75" s="230"/>
      <c r="W75" s="230"/>
      <c r="X75" s="301"/>
      <c r="Y75" s="230"/>
      <c r="Z75" s="231"/>
      <c r="AA75" s="231"/>
      <c r="AB75" s="231"/>
      <c r="AC75" s="131"/>
      <c r="AF75" s="78"/>
      <c r="AG75" s="78"/>
      <c r="AH75" s="78"/>
      <c r="AI75" s="78"/>
      <c r="AJ75" s="78"/>
      <c r="AK75" s="78"/>
      <c r="AL75" s="78"/>
      <c r="AM75" s="78"/>
      <c r="AN75" s="78"/>
      <c r="AO75" s="78"/>
      <c r="AP75" s="78"/>
      <c r="AQ75" s="78"/>
      <c r="AR75" s="70"/>
      <c r="AS75" s="70"/>
      <c r="AT75" s="70"/>
      <c r="AU75" s="70"/>
      <c r="AV75" s="70"/>
      <c r="AW75" s="70"/>
      <c r="AX75" s="70"/>
      <c r="AY75" s="70"/>
      <c r="AZ75" s="70"/>
    </row>
    <row r="76" spans="1:52" s="9" customFormat="1" ht="15" customHeight="1">
      <c r="A76" s="71"/>
      <c r="B76" s="76"/>
      <c r="C76" s="76"/>
      <c r="D76" s="76"/>
      <c r="E76" s="76"/>
      <c r="F76" s="76"/>
      <c r="G76" s="76"/>
      <c r="H76" s="76"/>
      <c r="I76" s="76"/>
      <c r="J76" s="76"/>
      <c r="K76" s="76"/>
      <c r="L76" s="76"/>
      <c r="M76" s="76"/>
      <c r="N76" s="76"/>
      <c r="O76" s="86"/>
      <c r="P76" s="86"/>
      <c r="Q76" s="132"/>
      <c r="R76" s="133"/>
      <c r="S76" s="16"/>
      <c r="T76" s="16"/>
      <c r="U76" s="16"/>
      <c r="V76" s="16"/>
      <c r="W76" s="16"/>
      <c r="X76" s="302"/>
      <c r="Y76" s="16"/>
      <c r="Z76" s="16"/>
      <c r="AA76" s="16"/>
      <c r="AB76" s="16"/>
      <c r="AC76" s="133"/>
      <c r="AF76" s="70"/>
      <c r="AG76" s="70"/>
      <c r="AH76" s="70"/>
      <c r="AI76" s="70"/>
      <c r="AJ76" s="70"/>
      <c r="AK76" s="70"/>
      <c r="AL76" s="70"/>
      <c r="AM76" s="70"/>
      <c r="AN76" s="70"/>
      <c r="AO76" s="70"/>
      <c r="AP76" s="70"/>
      <c r="AQ76" s="70"/>
      <c r="AR76" s="71"/>
      <c r="AS76" s="71"/>
      <c r="AT76" s="71"/>
      <c r="AU76" s="71"/>
      <c r="AV76" s="71"/>
      <c r="AW76" s="71"/>
      <c r="AX76" s="71"/>
      <c r="AY76" s="71"/>
      <c r="AZ76" s="71"/>
    </row>
    <row r="77" spans="1:52" ht="14.25" hidden="1" customHeight="1">
      <c r="A77" s="71" t="s">
        <v>196</v>
      </c>
      <c r="B77" s="70"/>
      <c r="C77" s="100">
        <f>SUMIFS(C43:C52,$O$43:$O$52,Lister!$D$30,$B$43:$B$52,Lister!$A$45)+SUMIFS(C43:C52,$O$43:$O$52,Lister!$D$29,$B$43:$B$52,Lister!$A$45)</f>
        <v>0</v>
      </c>
      <c r="D77" s="100">
        <f>SUMIFS(D43:D52,$O$43:$O$52,Lister!$D$30,$B$43:$B$52,Lister!$A$45)+SUMIFS(D43:D52,$O$43:$O$52,Lister!$D$29,$B$43:$B$52,Lister!$A$45)</f>
        <v>0</v>
      </c>
      <c r="E77" s="100">
        <f>SUMIFS(E43:E52,$O$43:$O$52,Lister!$D$30,$B$43:$B$52,Lister!$A$45)+SUMIFS(E43:E52,$O$43:$O$52,Lister!$D$29,$B$43:$B$52,Lister!$A$45)</f>
        <v>0</v>
      </c>
      <c r="F77" s="100">
        <f>SUMIFS(F43:F52,$O$43:$O$52,Lister!$D$30,$B$43:$B$52,Lister!$A$45)+SUMIFS(F43:F52,$O$43:$O$52,Lister!$D$29,$B$43:$B$52,Lister!$A$45)</f>
        <v>0</v>
      </c>
      <c r="G77" s="100">
        <f>SUMIFS(G43:G52,$O$43:$O$52,Lister!$D$30,$B$43:$B$52,Lister!$A$45)+SUMIFS(G43:G52,$O$43:$O$52,Lister!$D$29,$B$43:$B$52,Lister!$A$45)</f>
        <v>0</v>
      </c>
      <c r="H77" s="100">
        <f>SUMIFS(H43:H52,$O$43:$O$52,Lister!$D$30,$B$43:$B$52,Lister!$A$45)+SUMIFS(H43:H52,$O$43:$O$52,Lister!$D$29,$B$43:$B$52,Lister!$A$45)</f>
        <v>0</v>
      </c>
      <c r="I77" s="100">
        <f>SUMIFS(I43:I52,$O$43:$O$52,Lister!$D$30,$B$43:$B$52,Lister!$A$45)+SUMIFS(I43:I52,$O$43:$O$52,Lister!$D$29,$B$43:$B$52,Lister!$A$45)</f>
        <v>0</v>
      </c>
      <c r="J77" s="100">
        <f>SUMIFS(J43:J52,$O$43:$O$52,Lister!$D$30,$B$43:$B$52,Lister!$A$45)+SUMIFS(J43:J52,$O$43:$O$52,Lister!$D$29,$B$43:$B$52,Lister!$A$45)</f>
        <v>0</v>
      </c>
      <c r="K77" s="100">
        <f>SUMIFS(K43:K52,$O$43:$O$52,Lister!$D$30,$B$43:$B$52,Lister!$A$45)+SUMIFS(K43:K52,$O$43:$O$52,Lister!$D$29,$B$43:$B$52,Lister!$A$45)</f>
        <v>0</v>
      </c>
      <c r="L77" s="100">
        <f>SUMIFS(L43:L52,$O$43:$O$52,Lister!$D$30,$B$43:$B$52,Lister!$A$45)+SUMIFS(L43:L52,$O$43:$O$52,Lister!$D$29,$B$43:$B$52,Lister!$A$45)</f>
        <v>0</v>
      </c>
      <c r="M77" s="70"/>
      <c r="N77" s="70"/>
      <c r="O77" s="85"/>
      <c r="P77" s="85"/>
      <c r="Q77" s="132"/>
      <c r="R77" s="133"/>
      <c r="S77" s="16"/>
      <c r="T77" s="16"/>
      <c r="U77" s="16"/>
      <c r="V77" s="16"/>
      <c r="W77" s="16"/>
      <c r="X77" s="302"/>
      <c r="Y77" s="16"/>
      <c r="Z77" s="16"/>
      <c r="AA77" s="16"/>
      <c r="AB77" s="16"/>
      <c r="AC77" s="133"/>
      <c r="AF77" s="70"/>
      <c r="AG77" s="70"/>
      <c r="AH77" s="70"/>
      <c r="AI77" s="70"/>
      <c r="AJ77" s="70"/>
      <c r="AK77" s="70"/>
      <c r="AL77" s="70"/>
      <c r="AM77" s="70"/>
      <c r="AN77" s="70"/>
      <c r="AO77" s="70"/>
      <c r="AP77" s="70"/>
      <c r="AQ77" s="70"/>
      <c r="AR77" s="70"/>
      <c r="AS77" s="70"/>
      <c r="AT77" s="70"/>
      <c r="AU77" s="70"/>
      <c r="AV77" s="70"/>
      <c r="AW77" s="70"/>
      <c r="AX77" s="70"/>
      <c r="AY77" s="70"/>
      <c r="AZ77" s="70"/>
    </row>
    <row r="78" spans="1:52" ht="14.25" hidden="1" customHeight="1">
      <c r="A78" s="71" t="s">
        <v>197</v>
      </c>
      <c r="B78" s="71"/>
      <c r="C78" s="100">
        <f>SUMIFS(C43:C52,$O$43:$O$52,Lister!$D$31,$B$43:$B$52,Lister!$A$45)</f>
        <v>0</v>
      </c>
      <c r="D78" s="100">
        <f>SUMIFS(D43:D52,$O$43:$O$52,Lister!$D$31,$B$43:$B$52,Lister!$A$45)</f>
        <v>0</v>
      </c>
      <c r="E78" s="100">
        <f>SUMIFS(E43:E52,$O$43:$O$52,Lister!$D$31,$B$43:$B$52,Lister!$A$45)</f>
        <v>0</v>
      </c>
      <c r="F78" s="100">
        <f>SUMIFS(F43:F52,$O$43:$O$52,Lister!$D$31,$B$43:$B$52,Lister!$A$45)</f>
        <v>0</v>
      </c>
      <c r="G78" s="100">
        <f>SUMIFS(G43:G52,$O$43:$O$52,Lister!$D$31,$B$43:$B$52,Lister!$A$45)</f>
        <v>0</v>
      </c>
      <c r="H78" s="100">
        <f>SUMIFS(H43:H52,$O$43:$O$52,Lister!$D$31,$B$43:$B$52,Lister!$A$45)</f>
        <v>0</v>
      </c>
      <c r="I78" s="100">
        <f>SUMIFS(I43:I52,$O$43:$O$52,Lister!$D$31,$B$43:$B$52,Lister!$A$45)</f>
        <v>0</v>
      </c>
      <c r="J78" s="100">
        <f>SUMIFS(J43:J52,$O$43:$O$52,Lister!$D$31,$B$43:$B$52,Lister!$A$45)</f>
        <v>0</v>
      </c>
      <c r="K78" s="100">
        <f>SUMIFS(K43:K52,$O$43:$O$52,Lister!$D$31,$B$43:$B$52,Lister!$A$45)</f>
        <v>0</v>
      </c>
      <c r="L78" s="100">
        <f>SUMIFS(L43:L52,$O$43:$O$52,Lister!$D$31,$B$43:$B$52,Lister!$A$45)</f>
        <v>0</v>
      </c>
      <c r="M78" s="71"/>
      <c r="N78" s="71"/>
      <c r="O78" s="87"/>
      <c r="P78" s="87"/>
      <c r="Q78" s="132"/>
      <c r="R78" s="133"/>
      <c r="S78" s="16"/>
      <c r="T78" s="16"/>
      <c r="U78" s="16"/>
      <c r="V78" s="16"/>
      <c r="W78" s="16"/>
      <c r="X78" s="302"/>
      <c r="Y78" s="16"/>
      <c r="Z78" s="16"/>
      <c r="AA78" s="16"/>
      <c r="AB78" s="16"/>
      <c r="AC78" s="133"/>
      <c r="AF78" s="71"/>
      <c r="AG78" s="71"/>
      <c r="AH78" s="71"/>
      <c r="AI78" s="71"/>
      <c r="AJ78" s="71"/>
      <c r="AK78" s="71"/>
      <c r="AL78" s="71"/>
      <c r="AM78" s="71"/>
      <c r="AN78" s="71"/>
      <c r="AO78" s="71"/>
      <c r="AP78" s="71"/>
      <c r="AQ78" s="71"/>
      <c r="AR78" s="70"/>
      <c r="AS78" s="70"/>
    </row>
    <row r="79" spans="1:52" s="9" customFormat="1" ht="14.25" customHeight="1">
      <c r="A79" s="70"/>
      <c r="B79" s="73"/>
      <c r="C79" s="70"/>
      <c r="D79" s="70"/>
      <c r="E79" s="70"/>
      <c r="F79" s="70"/>
      <c r="G79" s="70"/>
      <c r="H79" s="73"/>
      <c r="I79" s="73"/>
      <c r="J79" s="73"/>
      <c r="K79" s="73"/>
      <c r="L79" s="73"/>
      <c r="M79" s="73"/>
      <c r="N79" s="73"/>
      <c r="O79" s="88"/>
      <c r="P79" s="88"/>
      <c r="Q79" s="152" t="s">
        <v>22</v>
      </c>
      <c r="R79" s="124" t="s">
        <v>34</v>
      </c>
      <c r="S79" s="45">
        <f>+S63</f>
        <v>2026</v>
      </c>
      <c r="T79" s="8">
        <f t="shared" ref="T79:Z79" si="95">+T63</f>
        <v>2027</v>
      </c>
      <c r="U79" s="8">
        <f t="shared" si="95"/>
        <v>2028</v>
      </c>
      <c r="V79" s="8">
        <f t="shared" si="95"/>
        <v>2029</v>
      </c>
      <c r="W79" s="8">
        <f t="shared" si="95"/>
        <v>2030</v>
      </c>
      <c r="X79" s="124">
        <f t="shared" si="95"/>
        <v>2031</v>
      </c>
      <c r="Y79" s="8">
        <f t="shared" si="95"/>
        <v>2032</v>
      </c>
      <c r="Z79" s="8">
        <f t="shared" si="95"/>
        <v>2033</v>
      </c>
      <c r="AA79" s="8">
        <f>+AA63</f>
        <v>2034</v>
      </c>
      <c r="AB79" s="8">
        <f>+AB63</f>
        <v>2035</v>
      </c>
      <c r="AC79" s="124" t="s">
        <v>34</v>
      </c>
      <c r="AF79" s="71"/>
      <c r="AG79" s="71"/>
      <c r="AH79" s="71"/>
      <c r="AI79" s="71"/>
      <c r="AJ79" s="71"/>
      <c r="AK79" s="71"/>
      <c r="AL79" s="71"/>
      <c r="AM79" s="71"/>
      <c r="AN79" s="71"/>
      <c r="AO79" s="71"/>
      <c r="AP79" s="71"/>
      <c r="AQ79" s="71"/>
      <c r="AR79" s="71"/>
      <c r="AS79" s="71"/>
    </row>
    <row r="80" spans="1:52" s="9" customFormat="1" ht="14.25" customHeight="1">
      <c r="A80" s="70"/>
      <c r="B80" s="78"/>
      <c r="C80" s="78"/>
      <c r="D80" s="78"/>
      <c r="E80" s="78"/>
      <c r="F80" s="78"/>
      <c r="G80" s="78"/>
      <c r="H80" s="78"/>
      <c r="I80" s="78"/>
      <c r="J80" s="78"/>
      <c r="K80" s="78"/>
      <c r="L80" s="78"/>
      <c r="M80" s="78"/>
      <c r="N80" s="78"/>
      <c r="O80" s="89"/>
      <c r="P80" s="89"/>
      <c r="Q80" s="147" t="s">
        <v>74</v>
      </c>
      <c r="R80" s="315">
        <f t="shared" ref="R80:R89" si="96">+AC80</f>
        <v>0</v>
      </c>
      <c r="S80" s="316">
        <f>+SUMIF($O$20:$O$39,Lister!$D$29,S20:S39)+SUMIF($O$20:$O$39,Lister!$D$30,S20:S39)</f>
        <v>0</v>
      </c>
      <c r="T80" s="316">
        <f>+SUMIF($O$20:$O$39,Lister!$D$29,T20:T39)+SUMIF($O$20:$O$39,Lister!$D$30,T20:T39)</f>
        <v>0</v>
      </c>
      <c r="U80" s="316">
        <f>+SUMIF($O$20:$O$39,Lister!$D$29,U20:U39)+SUMIF($O$20:$O$39,Lister!$D$30,U20:U39)</f>
        <v>0</v>
      </c>
      <c r="V80" s="316">
        <f>+SUMIF($O$20:$O$39,Lister!$D$29,V20:V39)+SUMIF($O$20:$O$39,Lister!$D$30,V20:V39)</f>
        <v>0</v>
      </c>
      <c r="W80" s="316">
        <f>+SUMIF($O$20:$O$39,Lister!$D$29,W20:W39)+SUMIF($O$20:$O$39,Lister!$D$30,W20:W39)</f>
        <v>0</v>
      </c>
      <c r="X80" s="316">
        <f>+SUMIF($O$20:$O$39,Lister!$D$29,X20:X39)+SUMIF($O$20:$O$39,Lister!$D$30,X20:X39)</f>
        <v>0</v>
      </c>
      <c r="Y80" s="316">
        <f>+SUMIF($O$20:$O$39,Lister!$D$29,Y20:Y39)+SUMIF($O$20:$O$39,Lister!$D$30,Y20:Y39)</f>
        <v>0</v>
      </c>
      <c r="Z80" s="316">
        <f>+SUMIF($O$20:$O$39,Lister!$D$29,Z20:Z39)+SUMIF($O$20:$O$39,Lister!$D$30,Z20:Z39)</f>
        <v>0</v>
      </c>
      <c r="AA80" s="316">
        <f>+SUMIF($O$20:$O$39,Lister!$D$29,AA20:AA39)+SUMIF($O$20:$O$39,Lister!$D$30,AA20:AA39)</f>
        <v>0</v>
      </c>
      <c r="AB80" s="316">
        <f>+SUMIF($O$20:$O$39,Lister!$D$29,AB20:AB39)+SUMIF($O$20:$O$39,Lister!$D$30,AB20:AB39)</f>
        <v>0</v>
      </c>
      <c r="AC80" s="140">
        <f>SUM(S80:AB80)</f>
        <v>0</v>
      </c>
      <c r="AF80" s="71"/>
      <c r="AG80" s="71"/>
      <c r="AH80" s="71"/>
      <c r="AI80" s="71"/>
      <c r="AJ80" s="71"/>
      <c r="AK80" s="71"/>
      <c r="AL80" s="71"/>
      <c r="AM80" s="71"/>
      <c r="AN80" s="71"/>
      <c r="AO80" s="71"/>
      <c r="AP80" s="71"/>
      <c r="AQ80" s="71"/>
      <c r="AR80" s="71"/>
      <c r="AS80" s="71"/>
    </row>
    <row r="81" spans="1:62" ht="14.25" customHeight="1">
      <c r="H81"/>
      <c r="N81" s="78"/>
      <c r="O81" s="89"/>
      <c r="P81" s="89"/>
      <c r="Q81" s="148" t="s">
        <v>75</v>
      </c>
      <c r="R81" s="309">
        <f t="shared" si="96"/>
        <v>0</v>
      </c>
      <c r="S81" s="310">
        <f>+SUMIF($O$43:$O$55,Lister!$D$29,S43:S55)+SUMIF($O$43:$O$55,Lister!$D$30,S43:S55)</f>
        <v>0</v>
      </c>
      <c r="T81" s="319">
        <f>+SUMIF($O$43:$O$55,Lister!$D$29,T43:T55)+SUMIF($O$43:$O$55,Lister!$D$30,T43:T55)</f>
        <v>0</v>
      </c>
      <c r="U81" s="310">
        <f>+SUMIF($O$43:$O$55,Lister!$D$29,U43:U55)+SUMIF($O$43:$O$55,Lister!$D$30,U43:U55)</f>
        <v>0</v>
      </c>
      <c r="V81" s="319">
        <f>+SUMIF($O$43:$O$55,Lister!$D$29,V43:V55)+SUMIF($O$43:$O$55,Lister!$D$30,V43:V55)</f>
        <v>0</v>
      </c>
      <c r="W81" s="310">
        <f>+SUMIF($O$43:$O$55,Lister!$D$29,W43:W55)+SUMIF($O$43:$O$55,Lister!$D$30,W43:W55)</f>
        <v>0</v>
      </c>
      <c r="X81" s="320">
        <f>+SUMIF($O$43:$O$55,Lister!$D$29,X43:X55)+SUMIF($O$43:$O$55,Lister!$D$30,X43:X55)</f>
        <v>0</v>
      </c>
      <c r="Y81" s="295">
        <f>+SUMIF($O$43:$O$55,Lister!$D$29,Y43:Y55)+SUMIF($O$43:$O$55,Lister!$D$30,Y43:Y55)</f>
        <v>0</v>
      </c>
      <c r="Z81" s="113">
        <f>+SUMIF($O$43:$O$55,Lister!$D$29,Z43:Z55)+SUMIF($O$43:$O$55,Lister!$D$30,Z43:Z55)</f>
        <v>0</v>
      </c>
      <c r="AA81" s="113">
        <f>+SUMIF($O$43:$O$55,Lister!$D$29,AA43:AA55)+SUMIF($O$43:$O$55,Lister!$D$30,AA43:AA55)</f>
        <v>0</v>
      </c>
      <c r="AB81" s="113">
        <f>+SUMIF($O$43:$O$55,Lister!$D$29,AB43:AB55)+SUMIF($O$43:$O$55,Lister!$D$30,AB43:AB55)</f>
        <v>0</v>
      </c>
      <c r="AC81" s="141">
        <f t="shared" ref="AC81:AC89" si="97">SUM(S81:AB81)</f>
        <v>0</v>
      </c>
      <c r="AF81" s="71"/>
      <c r="AG81" s="71"/>
      <c r="AH81" s="71"/>
      <c r="AI81" s="71"/>
      <c r="AJ81" s="71"/>
      <c r="AK81" s="71"/>
      <c r="AL81" s="71"/>
      <c r="AM81" s="71"/>
      <c r="AN81" s="71"/>
      <c r="AO81" s="71"/>
      <c r="AP81" s="71"/>
      <c r="AQ81" s="71"/>
      <c r="AR81" s="70"/>
      <c r="AS81" s="70"/>
    </row>
    <row r="82" spans="1:62" s="14" customFormat="1" ht="14.25" customHeight="1">
      <c r="N82" s="70"/>
      <c r="P82" s="85"/>
      <c r="Q82" s="149" t="s">
        <v>76</v>
      </c>
      <c r="R82" s="312">
        <f t="shared" si="96"/>
        <v>0</v>
      </c>
      <c r="S82" s="313">
        <f t="shared" ref="S82:AB82" si="98">+SUM(S80:S81)</f>
        <v>0</v>
      </c>
      <c r="T82" s="313">
        <f t="shared" si="98"/>
        <v>0</v>
      </c>
      <c r="U82" s="313">
        <f t="shared" si="98"/>
        <v>0</v>
      </c>
      <c r="V82" s="313">
        <f t="shared" si="98"/>
        <v>0</v>
      </c>
      <c r="W82" s="313">
        <f t="shared" si="98"/>
        <v>0</v>
      </c>
      <c r="X82" s="314">
        <f t="shared" si="98"/>
        <v>0</v>
      </c>
      <c r="Y82" s="142">
        <f t="shared" si="98"/>
        <v>0</v>
      </c>
      <c r="Z82" s="137">
        <f t="shared" si="98"/>
        <v>0</v>
      </c>
      <c r="AA82" s="137">
        <f t="shared" si="98"/>
        <v>0</v>
      </c>
      <c r="AB82" s="137">
        <f t="shared" si="98"/>
        <v>0</v>
      </c>
      <c r="AC82" s="138">
        <f t="shared" si="97"/>
        <v>0</v>
      </c>
      <c r="AF82" s="71"/>
      <c r="AG82" s="71"/>
      <c r="AH82" s="71"/>
      <c r="AI82" s="71"/>
      <c r="AJ82" s="71"/>
      <c r="AK82" s="71"/>
      <c r="AL82" s="71"/>
      <c r="AM82" s="71"/>
      <c r="AN82" s="71"/>
      <c r="AO82" s="71"/>
      <c r="AP82" s="71"/>
      <c r="AQ82" s="71"/>
      <c r="AR82" s="79"/>
      <c r="AS82" s="79"/>
    </row>
    <row r="83" spans="1:62" ht="14.25" customHeight="1">
      <c r="N83" s="70"/>
      <c r="O83" s="85"/>
      <c r="P83" s="85"/>
      <c r="Q83" s="149" t="s">
        <v>77</v>
      </c>
      <c r="R83" s="312">
        <f t="shared" si="96"/>
        <v>0</v>
      </c>
      <c r="S83" s="313">
        <f>+SUMIF($O$62:$O$74,Lister!$D$29,C62:C74)+SUMIF($O$62:$O$74,Lister!$D$30,C62:C74)-SUMIFS(C62:C74,$O$62:$O$74,Lister!$D$29,$A$62:$A$74,Lister!$M$9)-SUMIFS(C62:C74,$O$62:$O$74,Lister!$D$30,$A$62:$A$74,Lister!$M$9)</f>
        <v>0</v>
      </c>
      <c r="T83" s="313">
        <f>+SUMIF($O$62:$O$74,Lister!$D$29,D62:D74)+SUMIF($O$62:$O$74,Lister!$D$30,D62:D74)-SUMIFS(D62:D74,$O$62:$O$74,Lister!$D$29,$A$62:$A$74,Lister!$M$9)-SUMIFS(D62:D74,$O$62:$O$74,Lister!$D$30,$A$62:$A$74,Lister!$M$9)</f>
        <v>0</v>
      </c>
      <c r="U83" s="313">
        <f>+SUMIF($O$62:$O$74,Lister!$D$29,E62:E74)+SUMIF($O$62:$O$74,Lister!$D$30,E62:E74)-SUMIFS(E62:E74,$O$62:$O$74,Lister!$D$29,$A$62:$A$74,Lister!$M$9)-SUMIFS(E62:E74,$O$62:$O$74,Lister!$D$30,$A$62:$A$74,Lister!$M$9)</f>
        <v>0</v>
      </c>
      <c r="V83" s="313">
        <f>+SUMIF($O$62:$O$74,Lister!$D$29,F62:F74)+SUMIF($O$62:$O$74,Lister!$D$30,F62:F74)-SUMIFS(F62:F74,$O$62:$O$74,Lister!$D$29,$A$62:$A$74,Lister!$M$9)-SUMIFS(F62:F74,$O$62:$O$74,Lister!$D$30,$A$62:$A$74,Lister!$M$9)</f>
        <v>0</v>
      </c>
      <c r="W83" s="313">
        <f>+SUMIF($O$62:$O$74,Lister!$D$29,G62:G74)+SUMIF($O$62:$O$74,Lister!$D$30,G62:G74)-SUMIFS(G62:G74,$O$62:$O$74,Lister!$D$29,$A$62:$A$74,Lister!$M$9)-SUMIFS(G62:G74,$O$62:$O$74,Lister!$D$30,$A$62:$A$74,Lister!$M$9)</f>
        <v>0</v>
      </c>
      <c r="X83" s="314">
        <f>+SUMIF($O$62:$O$74,Lister!$D$29,H62:H74)+SUMIF($O$62:$O$74,Lister!$D$30,H62:H74)-SUMIFS(H62:H74,$O$62:$O$74,Lister!$D$29,$A$62:$A$74,Lister!$M$9)-SUMIFS(H62:H74,$O$62:$O$74,Lister!$D$30,$A$62:$A$74,Lister!$M$9)</f>
        <v>0</v>
      </c>
      <c r="Y83" s="142">
        <f>+SUMIF($O$62:$O$74,Lister!$D$29,I62:I74)+SUMIF($O$62:$O$74,Lister!$D$30,I62:I74)-SUMIFS(I62:I74,$O$62:$O$74,Lister!$D$29,$A$62:$A$74,Lister!$M$9)-SUMIFS(I62:I74,$O$62:$O$74,Lister!$D$30,$A$62:$A$74,Lister!$M$9)</f>
        <v>0</v>
      </c>
      <c r="Z83" s="137">
        <f>+SUMIF($O$62:$O$74,Lister!$D$29,J62:J74)+SUMIF($O$62:$O$74,Lister!$D$30,J62:J74)-SUMIFS(J62:J74,$O$62:$O$74,Lister!$D$29,$A$62:$A$74,Lister!$M$9)-SUMIFS(J62:J74,$O$62:$O$74,Lister!$D$30,$A$62:$A$74,Lister!$M$9)</f>
        <v>0</v>
      </c>
      <c r="AA83" s="137">
        <f>+SUMIF($O$62:$O$74,Lister!$D$29,K62:K74)+SUMIF($O$62:$O$74,Lister!$D$30,K62:K74)-SUMIFS(K62:K74,$O$62:$O$74,Lister!$D$29,$A$62:$A$74,Lister!$M$9)-SUMIFS(K62:K74,$O$62:$O$74,Lister!$D$30,$A$62:$A$74,Lister!$M$9)</f>
        <v>0</v>
      </c>
      <c r="AB83" s="137">
        <f>+SUMIF($O$62:$O$74,Lister!$D$29,L62:L74)+SUMIF($O$62:$O$74,Lister!$D$30,L62:L74)-SUMIFS(L62:L74,$O$62:$O$74,Lister!$D$29,$A$62:$A$74,Lister!$M$9)-SUMIFS(L62:L74,$O$62:$O$74,Lister!$D$30,$A$62:$A$74,Lister!$M$9)</f>
        <v>0</v>
      </c>
      <c r="AC83" s="138">
        <f t="shared" si="97"/>
        <v>0</v>
      </c>
      <c r="AF83" s="70"/>
      <c r="AG83" s="70"/>
      <c r="AH83" s="70"/>
      <c r="AI83" s="70"/>
      <c r="AJ83" s="70"/>
      <c r="AK83" s="70"/>
      <c r="AL83" s="70"/>
      <c r="AM83" s="70"/>
      <c r="AN83" s="70"/>
      <c r="AO83" s="70"/>
      <c r="AP83" s="70"/>
      <c r="AQ83" s="70"/>
      <c r="AR83" s="70"/>
      <c r="AS83" s="70"/>
    </row>
    <row r="84" spans="1:62" s="9" customFormat="1" ht="14.25" customHeight="1">
      <c r="N84" s="79"/>
      <c r="O84" s="90"/>
      <c r="P84" s="90"/>
      <c r="Q84" s="149" t="s">
        <v>78</v>
      </c>
      <c r="R84" s="312">
        <f t="shared" si="96"/>
        <v>0</v>
      </c>
      <c r="S84" s="313">
        <f t="shared" ref="S84:AB84" si="99">+S82+S83</f>
        <v>0</v>
      </c>
      <c r="T84" s="313">
        <f t="shared" si="99"/>
        <v>0</v>
      </c>
      <c r="U84" s="313">
        <f t="shared" si="99"/>
        <v>0</v>
      </c>
      <c r="V84" s="313">
        <f t="shared" si="99"/>
        <v>0</v>
      </c>
      <c r="W84" s="313">
        <f t="shared" si="99"/>
        <v>0</v>
      </c>
      <c r="X84" s="314">
        <f t="shared" si="99"/>
        <v>0</v>
      </c>
      <c r="Y84" s="296">
        <f t="shared" si="99"/>
        <v>0</v>
      </c>
      <c r="Z84" s="137">
        <f t="shared" si="99"/>
        <v>0</v>
      </c>
      <c r="AA84" s="137">
        <f t="shared" si="99"/>
        <v>0</v>
      </c>
      <c r="AB84" s="137">
        <f t="shared" si="99"/>
        <v>0</v>
      </c>
      <c r="AC84" s="138">
        <f t="shared" si="97"/>
        <v>0</v>
      </c>
      <c r="AF84" s="79"/>
      <c r="AG84" s="79"/>
      <c r="AH84" s="79"/>
      <c r="AI84" s="79"/>
      <c r="AJ84" s="79"/>
      <c r="AK84" s="79"/>
      <c r="AL84" s="79"/>
      <c r="AM84" s="79"/>
      <c r="AN84" s="79"/>
      <c r="AO84" s="79"/>
      <c r="AP84" s="79"/>
      <c r="AQ84" s="79"/>
      <c r="AR84" s="71"/>
      <c r="AS84" s="71"/>
    </row>
    <row r="85" spans="1:62" ht="14.25" customHeight="1">
      <c r="N85" s="70"/>
      <c r="O85" s="85"/>
      <c r="P85" s="85"/>
      <c r="Q85" s="150" t="s">
        <v>0</v>
      </c>
      <c r="R85" s="312">
        <f t="shared" si="96"/>
        <v>0</v>
      </c>
      <c r="S85" s="153">
        <f>IF($C$12=2,S82*$C$6/100,
IF($G$6=Lister!$D$4,S82*$C$6/100,
IF($G$6=Lister!$D$5,S84*$C$6/100,
IF($G$6=Lister!$D$6,(S84-SUMIFS(C62:C74,$O$62:$O$74,Lister!$D$29,$A$62:$A$74,Lister!$M$10)-SUMIFS(C62:C74,$O$62:$O$74,Lister!$D$30,$A$62:$A$74,Lister!$M$10))*$C$6/100,
IF($G$6=Lister!$D$7,(S84-SUMIFS(C62:C74,$O$62:$O$74,Lister!$D$29,$A$62:$A$74,Lister!$M$10)-SUMIFS(C62:C74,$O$62:$O$74,Lister!$D$30,$A$62:$A$74,Lister!$M$10)-SUMIFS(C62:C74,$O$62:$O$74,Lister!$D$29,$A$62:$A$74,Lister!$M$7)-SUMIFS(C62:C74,$O$62:$O$74,Lister!$D$30,$A$62:$A$74,Lister!$M$7))*$C$6/100,
IF($G$6=Lister!$D$8,(S84+S86)*$C$6/100,
IF($G$6=Lister!$D$9,S83*$C$6/100,0)))))))</f>
        <v>0</v>
      </c>
      <c r="T85" s="321">
        <f>IF($C$12=2,T82*$C$6/100,
IF($G$6=Lister!$D$4,T82*$C$6/100,
IF($G$6=Lister!$D$5,T84*$C$6/100,
IF($G$6=Lister!$D$6,(T84-SUMIFS(D62:D74,$O$62:$O$74,Lister!$D$29,$A$62:$A$74,Lister!$M$10)-SUMIFS(D62:D74,$O$62:$O$74,Lister!$D$30,$A$62:$A$74,Lister!$M$10))*$C$6/100,
IF($G$6=Lister!$D$7,(T84-SUMIFS(D62:D74,$O$62:$O$74,Lister!$D$29,$A$62:$A$74,Lister!$M$10)-SUMIFS(D62:D74,$O$62:$O$74,Lister!$D$30,$A$62:$A$74,Lister!$M$10)-SUMIFS(D62:D74,$O$62:$O$74,Lister!$D$29,$A$62:$A$74,Lister!$M$7)-SUMIFS(D62:D74,$O$62:$O$74,Lister!$D$30,$A$62:$A$74,Lister!$M$7))*$C$6/100,
IF($G$6=Lister!$D$8,(T84+T86)*$C$6/100,
IF($G$6=Lister!$D$9,T83*$C$6/100,0)))))))</f>
        <v>0</v>
      </c>
      <c r="U85" s="321">
        <f>IF($C$12=2,U82*$C$6/100,
IF($G$6=Lister!$D$4,U82*$C$6/100,
IF($G$6=Lister!$D$5,U84*$C$6/100,
IF($G$6=Lister!$D$6,(U84-SUMIFS(E62:E74,$O$62:$O$74,Lister!$D$29,$A$62:$A$74,Lister!$M$10)-SUMIFS(E62:E74,$O$62:$O$74,Lister!$D$30,$A$62:$A$74,Lister!$M$10))*$C$6/100,
IF($G$6=Lister!$D$7,(U84-SUMIFS(E62:E74,$O$62:$O$74,Lister!$D$29,$A$62:$A$74,Lister!$M$10)-SUMIFS(E62:E74,$O$62:$O$74,Lister!$D$30,$A$62:$A$74,Lister!$M$10)-SUMIFS(E62:E74,$O$62:$O$74,Lister!$D$29,$A$62:$A$74,Lister!$M$7)-SUMIFS(E62:E74,$O$62:$O$74,Lister!$D$30,$A$62:$A$74,Lister!$M$7))*$C$6/100,
IF($G$6=Lister!$D$8,(U84+U86)*$C$6/100,
IF($G$6=Lister!$D$9,U83*$C$6/100,0)))))))</f>
        <v>0</v>
      </c>
      <c r="V85" s="321">
        <f>IF($C$12=2,V82*$C$6/100,
IF($G$6=Lister!$D$4,V82*$C$6/100,
IF($G$6=Lister!$D$5,V84*$C$6/100,
IF($G$6=Lister!$D$6,(V84-SUMIFS(F62:F74,$O$62:$O$74,Lister!$D$29,$A$62:$A$74,Lister!$M$10)-SUMIFS(F62:F74,$O$62:$O$74,Lister!$D$30,$A$62:$A$74,Lister!$M$10))*$C$6/100,
IF($G$6=Lister!$D$7,(V84-SUMIFS(F62:F74,$O$62:$O$74,Lister!$D$29,$A$62:$A$74,Lister!$M$10)-SUMIFS(F62:F74,$O$62:$O$74,Lister!$D$30,$A$62:$A$74,Lister!$M$10)-SUMIFS(F62:F74,$O$62:$O$74,Lister!$D$29,$A$62:$A$74,Lister!$M$7)-SUMIFS(F62:F74,$O$62:$O$74,Lister!$D$30,$A$62:$A$74,Lister!$M$7))*$C$6/100,
IF($G$6=Lister!$D$8,(V84+V86)*$C$6/100,
IF($G$6=Lister!$D$9,V83*$C$6/100,0)))))))</f>
        <v>0</v>
      </c>
      <c r="W85" s="321">
        <f>IF($C$12=2,W82*$C$6/100,
IF($G$6=Lister!$D$4,W82*$C$6/100,
IF($G$6=Lister!$D$5,W84*$C$6/100,
IF($G$6=Lister!$D$6,(W84-SUMIFS(G62:G74,$O$62:$O$74,Lister!$D$29,$A$62:$A$74,Lister!$M$10)-SUMIFS(G62:G74,$O$62:$O$74,Lister!$D$30,$A$62:$A$74,Lister!$M$10))*$C$6/100,
IF($G$6=Lister!$D$7,(W84-SUMIFS(G62:G74,$O$62:$O$74,Lister!$D$29,$A$62:$A$74,Lister!$M$10)-SUMIFS(G62:G74,$O$62:$O$74,Lister!$D$30,$A$62:$A$74,Lister!$M$10)-SUMIFS(G62:G74,$O$62:$O$74,Lister!$D$29,$A$62:$A$74,Lister!$M$7)-SUMIFS(G62:G74,$O$62:$O$74,Lister!$D$30,$A$62:$A$74,Lister!$M$7))*$C$6/100,
IF($G$6=Lister!$D$8,(W84+W86)*$C$6/100,
IF($G$6=Lister!$D$9,W83*$C$6/100,0)))))))</f>
        <v>0</v>
      </c>
      <c r="X85" s="322">
        <f>IF($C$12=2,X82*$C$6/100,
IF($G$6=Lister!$D$4,X82*$C$6/100,
IF($G$6=Lister!$D$5,X84*$C$6/100,
IF($G$6=Lister!$D$6,(X84-SUMIFS(H62:H74,$O$62:$O$74,Lister!$D$29,$A$62:$A$74,Lister!$M$10)-SUMIFS(H62:H74,$O$62:$O$74,Lister!$D$30,$A$62:$A$74,Lister!$M$10))*$C$6/100,
IF($G$6=Lister!$D$7,(X84-SUMIFS(H62:H74,$O$62:$O$74,Lister!$D$29,$A$62:$A$74,Lister!$M$10)-SUMIFS(H62:H74,$O$62:$O$74,Lister!$D$30,$A$62:$A$74,Lister!$M$10)-SUMIFS(H62:H74,$O$62:$O$74,Lister!$D$29,$A$62:$A$74,Lister!$M$7)-SUMIFS(H62:H74,$O$62:$O$74,Lister!$D$30,$A$62:$A$74,Lister!$M$7))*$C$6/100,
IF($G$6=Lister!$D$8,(X84+X86)*$C$6/100,
IF($G$6=Lister!$D$9,X83*$C$6/100,0)))))))</f>
        <v>0</v>
      </c>
      <c r="Y85" s="203">
        <f>IF($C$12=2,Y82*$C$6/100,
IF($G$6=Lister!$D$4,Y82*$C$6/100,
IF($G$6=Lister!$D$5,Y84*$C$6/100,
IF($G$6=Lister!$D$6,(Y84-SUMIFS(I62:I74,$O$62:$O$74,Lister!$D$29,$A$62:$A$74,Lister!$M$10)-SUMIFS(I62:I74,$O$62:$O$74,Lister!$D$30,$A$62:$A$74,Lister!$M$10))*$C$6/100,
IF($G$6=Lister!$D$7,(Y84-SUMIFS(I62:I74,$O$62:$O$74,Lister!$D$29,$A$62:$A$74,Lister!$M$10)-SUMIFS(I62:I74,$O$62:$O$74,Lister!$D$30,$A$62:$A$74,Lister!$M$10)-SUMIFS(I62:I74,$O$62:$O$74,Lister!$D$29,$A$62:$A$74,Lister!$M$7)-SUMIFS(I62:I74,$O$62:$O$74,Lister!$D$30,$A$62:$A$74,Lister!$M$7))*$C$6/100,
IF($G$6=Lister!$D$8,(Y84+Y86)*$C$6/100,
IF($G$6=Lister!$D$9,Y83*$C$6/100,0)))))))</f>
        <v>0</v>
      </c>
      <c r="Z85" s="202">
        <f>IF($C$12=2,Z82*$C$6/100,
IF($G$6=Lister!$D$4,Z82*$C$6/100,
IF($G$6=Lister!$D$5,Z84*$C$6/100,
IF($G$6=Lister!$D$6,(Z84-SUMIFS(J62:J74,$O$62:$O$74,Lister!$D$29,$A$62:$A$74,Lister!$M$10)-SUMIFS(J62:J74,$O$62:$O$74,Lister!$D$30,$A$62:$A$74,Lister!$M$10))*$C$6/100,
IF($G$6=Lister!$D$7,(Z84-SUMIFS(J62:J74,$O$62:$O$74,Lister!$D$29,$A$62:$A$74,Lister!$M$10)-SUMIFS(J62:J74,$O$62:$O$74,Lister!$D$30,$A$62:$A$74,Lister!$M$10)-SUMIFS(J62:J74,$O$62:$O$74,Lister!$D$29,$A$62:$A$74,Lister!$M$7)-SUMIFS(J62:J74,$O$62:$O$74,Lister!$D$30,$A$62:$A$74,Lister!$M$7))*$C$6/100,
IF($G$6=Lister!$D$8,(Z84+Z86)*$C$6/100,
IF($G$6=Lister!$D$9,Z83*$C$6/100,0)))))))</f>
        <v>0</v>
      </c>
      <c r="AA85" s="202">
        <f>IF($C$12=2,AA82*$C$6/100,
IF($G$6=Lister!$D$4,AA82*$C$6/100,
IF($G$6=Lister!$D$5,AA84*$C$6/100,
IF($G$6=Lister!$D$6,(AA84-SUMIFS(K62:K74,$O$62:$O$74,Lister!$D$29,$A$62:$A$74,Lister!$M$10)-SUMIFS(K62:K74,$O$62:$O$74,Lister!$D$30,$A$62:$A$74,Lister!$M$10))*$C$6/100,
IF($G$6=Lister!$D$7,(AA84-SUMIFS(K62:K74,$O$62:$O$74,Lister!$D$29,$A$62:$A$74,Lister!$M$10)-SUMIFS(K62:K74,$O$62:$O$74,Lister!$D$30,$A$62:$A$74,Lister!$M$10)-SUMIFS(K62:K74,$O$62:$O$74,Lister!$D$29,$A$62:$A$74,Lister!$M$7)-SUMIFS(K62:K74,$O$62:$O$74,Lister!$D$30,$A$62:$A$74,Lister!$M$7))*$C$6/100,
IF($G$6=Lister!$D$8,(AA84+AA86)*$C$6/100,
IF($G$6=Lister!$D$9,AA83*$C$6/100,0)))))))</f>
        <v>0</v>
      </c>
      <c r="AB85" s="202">
        <f>IF($C$12=2,AB82*$C$6/100,
IF($G$6=Lister!$D$4,AB82*$C$6/100,
IF($G$6=Lister!$D$5,AB84*$C$6/100,
IF($G$6=Lister!$D$6,(AB84-SUMIFS(L62:L74,$O$62:$O$74,Lister!$D$29,$A$62:$A$74,Lister!$M$10)-SUMIFS(L62:L74,$O$62:$O$74,Lister!$D$30,$A$62:$A$74,Lister!$M$10))*$C$6/100,
IF($G$6=Lister!$D$7,(AB84-SUMIFS(L62:L74,$O$62:$O$74,Lister!$D$29,$A$62:$A$74,Lister!$M$10)-SUMIFS(L62:L74,$O$62:$O$74,Lister!$D$30,$A$62:$A$74,Lister!$M$10)-SUMIFS(L62:L74,$O$62:$O$74,Lister!$D$29,$A$62:$A$74,Lister!$M$7)-SUMIFS(L62:L74,$O$62:$O$74,Lister!$D$30,$A$62:$A$74,Lister!$M$7))*$C$6/100,
IF($G$6=Lister!$D$8,(AB84+AB86)*$C$6/100,
IF($G$6=Lister!$D$9,AB83*$C$6/100,0)))))))</f>
        <v>0</v>
      </c>
      <c r="AC85" s="138">
        <f t="shared" si="97"/>
        <v>0</v>
      </c>
      <c r="AF85" s="70"/>
      <c r="AG85" s="70"/>
      <c r="AH85" s="70"/>
      <c r="AI85" s="70"/>
      <c r="AJ85" s="70"/>
      <c r="AK85" s="70"/>
      <c r="AL85" s="70"/>
      <c r="AM85" s="70"/>
      <c r="AN85" s="70"/>
      <c r="AO85" s="70"/>
      <c r="AP85" s="70"/>
      <c r="AQ85" s="70"/>
      <c r="AR85" s="70"/>
      <c r="AS85" s="70"/>
    </row>
    <row r="86" spans="1:62" s="9" customFormat="1" ht="14.25" customHeight="1">
      <c r="N86" s="71"/>
      <c r="O86" s="87"/>
      <c r="P86" s="87"/>
      <c r="Q86" s="151" t="s">
        <v>103</v>
      </c>
      <c r="R86" s="312">
        <f t="shared" si="96"/>
        <v>0</v>
      </c>
      <c r="S86" s="153">
        <f>+IF($C$8=Lister!$O$5,(SUMIF($O$20:$O$29,Lister!$D$29,C20:C29)+SUMIF($O$20:$O$29,Lister!$D$30,C20:C29))*Takstblad!C$84,0)</f>
        <v>0</v>
      </c>
      <c r="T86" s="153">
        <f>+IF($C$8=Lister!$O$5,(SUMIF($O$20:$O$29,Lister!$D$29,D20:D29)+SUMIF($O$20:$O$29,Lister!$D$30,D20:D29))*Takstblad!D$84,0)</f>
        <v>0</v>
      </c>
      <c r="U86" s="153">
        <f>+IF($C$8=Lister!$O$5,(SUMIF($O$20:$O$29,Lister!$D$29,E20:E29)+SUMIF($O$20:$O$29,Lister!$D$30,E20:E29))*Takstblad!E$84,0)</f>
        <v>0</v>
      </c>
      <c r="V86" s="153">
        <f>+IF($C$8=Lister!$O$5,(SUMIF($O$20:$O$29,Lister!$D$29,F20:F29)+SUMIF($O$20:$O$29,Lister!$D$30,F20:F29))*Takstblad!F$84,0)</f>
        <v>0</v>
      </c>
      <c r="W86" s="153">
        <f>+IF($C$8=Lister!$O$5,(SUMIF($O$20:$O$29,Lister!$D$29,G20:G29)+SUMIF($O$20:$O$29,Lister!$D$30,G20:G29))*Takstblad!G$84,0)</f>
        <v>0</v>
      </c>
      <c r="X86" s="300">
        <f>+IF($C$8=Lister!$O$5,(SUMIF($O$20:$O$29,Lister!$D$29,H20:H29)+SUMIF($O$20:$O$29,Lister!$D$30,H20:H29))*Takstblad!H$84,0)</f>
        <v>0</v>
      </c>
      <c r="Y86" s="110">
        <f>+IF($C$8=Lister!$O$5,(SUMIF($O$20:$O$29,Lister!$D$29,I20:I29)+SUMIF($O$20:$O$29,Lister!$D$30,I20:I29))*Takstblad!I$84,0)</f>
        <v>0</v>
      </c>
      <c r="Z86" s="21">
        <f>+IF($C$8=Lister!$O$5,(SUMIF($O$20:$O$29,Lister!$D$29,J20:J29)+SUMIF($O$20:$O$29,Lister!$D$30,J20:J29))*Takstblad!J$84,0)</f>
        <v>0</v>
      </c>
      <c r="AA86" s="21">
        <f>+IF($C$8=Lister!$O$5,(SUMIF($O$20:$O$29,Lister!$D$29,K20:K29)+SUMIF($O$20:$O$29,Lister!$D$30,K20:K29))*Takstblad!K$84,0)</f>
        <v>0</v>
      </c>
      <c r="AB86" s="21">
        <f>+IF($C$8=Lister!$O$5,(SUMIF($O$20:$O$29,Lister!$D$29,L20:L29)+SUMIF($O$20:$O$29,Lister!$D$30,L20:L29))*Takstblad!L$84,0)</f>
        <v>0</v>
      </c>
      <c r="AC86" s="138">
        <f t="shared" si="97"/>
        <v>0</v>
      </c>
      <c r="AF86" s="71"/>
      <c r="AG86" s="71"/>
      <c r="AH86" s="71"/>
      <c r="AI86" s="71"/>
      <c r="AJ86" s="71"/>
      <c r="AK86" s="71"/>
      <c r="AL86" s="71"/>
      <c r="AM86" s="71"/>
      <c r="AN86" s="71"/>
      <c r="AO86" s="71"/>
      <c r="AP86" s="71"/>
      <c r="AQ86" s="71"/>
      <c r="AR86" s="71"/>
      <c r="AS86" s="71"/>
    </row>
    <row r="87" spans="1:62" s="9" customFormat="1" ht="14.25" customHeight="1">
      <c r="N87" s="70"/>
      <c r="O87" s="85"/>
      <c r="P87" s="85"/>
      <c r="Q87" s="151" t="s">
        <v>108</v>
      </c>
      <c r="R87" s="312">
        <f t="shared" si="96"/>
        <v>0</v>
      </c>
      <c r="S87" s="153">
        <f>+IF($C$8="Project-Supplement",((
SUMIFS(C20:C39,$O$20:$O$39,Lister!$D$30,$A$20:$A$39,Lister!$A$21)
+SUMIFS(C20:C39,$O$20:$O$39,Lister!$D$30,$A$20:$A$39,Lister!$A$31)
+SUMIFS(C20:C39,$O$20:$O$39,Lister!$D$30,$A$20:$A$39,Lister!$A$32)
+SUMIFS(C20:C39,$O$20:$O$39,Lister!$D$30,$A$20:$A$39,Lister!$A$22)
+SUMIFS(C20:C39,$O$20:$O$39,Lister!$D$30,$A$20:$A$39,Lister!$A$23)
+SUMIFS(C20:C39,$O$20:$O$39,Lister!$D$30,$A$20:$A$39,Lister!$A$20)
+SUMIFS(C20:C39,$O$20:$O$39,Lister!$D$30,$A$20:$A$39,Lister!$A$34)
+SUMIFS(C20:C39,$O$20:$O$39,Lister!$D$30,$A$20:$A$39,Lister!$A$33)
+SUMIFS(C20:C39,$O$20:$O$39,Lister!$D$29,$A$20:$A$39,Lister!$A$21)
+SUMIFS(C20:C39,$O$20:$O$39,Lister!$D$29,$A$20:$A$39,Lister!$A$31)
+SUMIFS(C20:C39,$O$20:$O$39,Lister!$D$29,$A$20:$A$39,Lister!$A$32)
+SUMIFS(C20:C39,$O$20:$O$39,Lister!$D$29,$A$20:$A$39,Lister!$A$22)
+SUMIFS(C20:C39,$O$20:$O$39,Lister!$D$29,$A$20:$A$39,Lister!$A$23)
+SUMIFS(C20:C39,$O$20:$O$39,Lister!$D$29,$A$20:$A$39,Lister!$A$20)
+SUMIFS(C20:C39,$O$20:$O$39,Lister!$D$29,$A$20:$A$39,Lister!$A$34)
+SUMIFS(C20:C39,$O$20:$O$39,Lister!$D$29,$A$20:$A$39,Lister!$A$33))
/12)*Takstblad!C$85,0)</f>
        <v>0</v>
      </c>
      <c r="T87" s="153">
        <f>+IF($C$8="Project-Supplement",((
SUMIFS(D20:D39,$O$20:$O$39,Lister!$D$30,$A$20:$A$39,Lister!$A$21)
+SUMIFS(D20:D39,$O$20:$O$39,Lister!$D$30,$A$20:$A$39,Lister!$A$31)
+SUMIFS(D20:D39,$O$20:$O$39,Lister!$D$30,$A$20:$A$39,Lister!$A$32)
+SUMIFS(D20:D39,$O$20:$O$39,Lister!$D$30,$A$20:$A$39,Lister!$A$22)
+SUMIFS(D20:D39,$O$20:$O$39,Lister!$D$30,$A$20:$A$39,Lister!$A$23)
+SUMIFS(D20:D39,$O$20:$O$39,Lister!$D$30,$A$20:$A$39,Lister!$A$20)
+SUMIFS(D20:D39,$O$20:$O$39,Lister!$D$30,$A$20:$A$39,Lister!$A$34)
+SUMIFS(D20:D39,$O$20:$O$39,Lister!$D$30,$A$20:$A$39,Lister!$A$33)
+SUMIFS(D20:D39,$O$20:$O$39,Lister!$D$29,$A$20:$A$39,Lister!$A$21)
+SUMIFS(D20:D39,$O$20:$O$39,Lister!$D$29,$A$20:$A$39,Lister!$A$31)
+SUMIFS(D20:D39,$O$20:$O$39,Lister!$D$29,$A$20:$A$39,Lister!$A$32)
+SUMIFS(D20:D39,$O$20:$O$39,Lister!$D$29,$A$20:$A$39,Lister!$A$22)
+SUMIFS(D20:D39,$O$20:$O$39,Lister!$D$29,$A$20:$A$39,Lister!$A$23)
+SUMIFS(D20:D39,$O$20:$O$39,Lister!$D$29,$A$20:$A$39,Lister!$A$20)
+SUMIFS(D20:D39,$O$20:$O$39,Lister!$D$29,$A$20:$A$39,Lister!$A$34)
+SUMIFS(D20:D39,$O$20:$O$39,Lister!$D$29,$A$20:$A$39,Lister!$A$33))
/12)*Takstblad!D$85,0)</f>
        <v>0</v>
      </c>
      <c r="U87" s="153">
        <f>+IF($C$8="Project-Supplement",((
SUMIFS(E20:E39,$O$20:$O$39,Lister!$D$30,$A$20:$A$39,Lister!$A$21)
+SUMIFS(E20:E39,$O$20:$O$39,Lister!$D$30,$A$20:$A$39,Lister!$A$31)
+SUMIFS(E20:E39,$O$20:$O$39,Lister!$D$30,$A$20:$A$39,Lister!$A$32)
+SUMIFS(E20:E39,$O$20:$O$39,Lister!$D$30,$A$20:$A$39,Lister!$A$22)
+SUMIFS(E20:E39,$O$20:$O$39,Lister!$D$30,$A$20:$A$39,Lister!$A$23)
+SUMIFS(E20:E39,$O$20:$O$39,Lister!$D$30,$A$20:$A$39,Lister!$A$20)
+SUMIFS(E20:E39,$O$20:$O$39,Lister!$D$30,$A$20:$A$39,Lister!$A$34)
+SUMIFS(E20:E39,$O$20:$O$39,Lister!$D$30,$A$20:$A$39,Lister!$A$33)
+SUMIFS(E20:E39,$O$20:$O$39,Lister!$D$29,$A$20:$A$39,Lister!$A$21)
+SUMIFS(E20:E39,$O$20:$O$39,Lister!$D$29,$A$20:$A$39,Lister!$A$31)
+SUMIFS(E20:E39,$O$20:$O$39,Lister!$D$29,$A$20:$A$39,Lister!$A$32)
+SUMIFS(E20:E39,$O$20:$O$39,Lister!$D$29,$A$20:$A$39,Lister!$A$22)
+SUMIFS(E20:E39,$O$20:$O$39,Lister!$D$29,$A$20:$A$39,Lister!$A$23)
+SUMIFS(E20:E39,$O$20:$O$39,Lister!$D$29,$A$20:$A$39,Lister!$A$20)
+SUMIFS(E20:E39,$O$20:$O$39,Lister!$D$29,$A$20:$A$39,Lister!$A$34)
+SUMIFS(E20:E39,$O$20:$O$39,Lister!$D$29,$A$20:$A$39,Lister!$A$33))
/12)*Takstblad!E$85,0)</f>
        <v>0</v>
      </c>
      <c r="V87" s="153">
        <f>+IF($C$8="Project-Supplement",((
SUMIFS(F20:F39,$O$20:$O$39,Lister!$D$30,$A$20:$A$39,Lister!$A$21)
+SUMIFS(F20:F39,$O$20:$O$39,Lister!$D$30,$A$20:$A$39,Lister!$A$31)
+SUMIFS(F20:F39,$O$20:$O$39,Lister!$D$30,$A$20:$A$39,Lister!$A$32)
+SUMIFS(F20:F39,$O$20:$O$39,Lister!$D$30,$A$20:$A$39,Lister!$A$22)
+SUMIFS(F20:F39,$O$20:$O$39,Lister!$D$30,$A$20:$A$39,Lister!$A$23)
+SUMIFS(F20:F39,$O$20:$O$39,Lister!$D$30,$A$20:$A$39,Lister!$A$20)
+SUMIFS(F20:F39,$O$20:$O$39,Lister!$D$30,$A$20:$A$39,Lister!$A$34)
+SUMIFS(F20:F39,$O$20:$O$39,Lister!$D$30,$A$20:$A$39,Lister!$A$33)
+SUMIFS(F20:F39,$O$20:$O$39,Lister!$D$29,$A$20:$A$39,Lister!$A$21)
+SUMIFS(F20:F39,$O$20:$O$39,Lister!$D$29,$A$20:$A$39,Lister!$A$31)
+SUMIFS(F20:F39,$O$20:$O$39,Lister!$D$29,$A$20:$A$39,Lister!$A$32)
+SUMIFS(F20:F39,$O$20:$O$39,Lister!$D$29,$A$20:$A$39,Lister!$A$22)
+SUMIFS(F20:F39,$O$20:$O$39,Lister!$D$29,$A$20:$A$39,Lister!$A$23)
+SUMIFS(F20:F39,$O$20:$O$39,Lister!$D$29,$A$20:$A$39,Lister!$A$20)
+SUMIFS(F20:F39,$O$20:$O$39,Lister!$D$29,$A$20:$A$39,Lister!$A$34)
+SUMIFS(F20:F39,$O$20:$O$39,Lister!$D$29,$A$20:$A$39,Lister!$A$33))
/12)*Takstblad!F$85,0)</f>
        <v>0</v>
      </c>
      <c r="W87" s="153">
        <f>+IF($C$8="Project-Supplement",((
SUMIFS(G20:G39,$O$20:$O$39,Lister!$D$30,$A$20:$A$39,Lister!$A$21)
+SUMIFS(G20:G39,$O$20:$O$39,Lister!$D$30,$A$20:$A$39,Lister!$A$31)
+SUMIFS(G20:G39,$O$20:$O$39,Lister!$D$30,$A$20:$A$39,Lister!$A$32)
+SUMIFS(G20:G39,$O$20:$O$39,Lister!$D$30,$A$20:$A$39,Lister!$A$22)
+SUMIFS(G20:G39,$O$20:$O$39,Lister!$D$30,$A$20:$A$39,Lister!$A$23)
+SUMIFS(G20:G39,$O$20:$O$39,Lister!$D$30,$A$20:$A$39,Lister!$A$20)
+SUMIFS(G20:G39,$O$20:$O$39,Lister!$D$30,$A$20:$A$39,Lister!$A$34)
+SUMIFS(G20:G39,$O$20:$O$39,Lister!$D$30,$A$20:$A$39,Lister!$A$33)
+SUMIFS(G20:G39,$O$20:$O$39,Lister!$D$29,$A$20:$A$39,Lister!$A$21)
+SUMIFS(G20:G39,$O$20:$O$39,Lister!$D$29,$A$20:$A$39,Lister!$A$31)
+SUMIFS(G20:G39,$O$20:$O$39,Lister!$D$29,$A$20:$A$39,Lister!$A$32)
+SUMIFS(G20:G39,$O$20:$O$39,Lister!$D$29,$A$20:$A$39,Lister!$A$22)
+SUMIFS(G20:G39,$O$20:$O$39,Lister!$D$29,$A$20:$A$39,Lister!$A$23)
+SUMIFS(G20:G39,$O$20:$O$39,Lister!$D$29,$A$20:$A$39,Lister!$A$20)
+SUMIFS(G20:G39,$O$20:$O$39,Lister!$D$29,$A$20:$A$39,Lister!$A$34)
+SUMIFS(G20:G39,$O$20:$O$39,Lister!$D$29,$A$20:$A$39,Lister!$A$33))
/12)*Takstblad!G$85,0)</f>
        <v>0</v>
      </c>
      <c r="X87" s="300">
        <f>+IF($C$8="Project-Supplement",((
SUMIFS(H20:H39,$O$20:$O$39,Lister!$D$30,$A$20:$A$39,Lister!$A$21)
+SUMIFS(H20:H39,$O$20:$O$39,Lister!$D$30,$A$20:$A$39,Lister!$A$31)
+SUMIFS(H20:H39,$O$20:$O$39,Lister!$D$30,$A$20:$A$39,Lister!$A$32)
+SUMIFS(H20:H39,$O$20:$O$39,Lister!$D$30,$A$20:$A$39,Lister!$A$22)
+SUMIFS(H20:H39,$O$20:$O$39,Lister!$D$30,$A$20:$A$39,Lister!$A$23)
+SUMIFS(H20:H39,$O$20:$O$39,Lister!$D$30,$A$20:$A$39,Lister!$A$20)
+SUMIFS(H20:H39,$O$20:$O$39,Lister!$D$30,$A$20:$A$39,Lister!$A$34)
+SUMIFS(H20:H39,$O$20:$O$39,Lister!$D$30,$A$20:$A$39,Lister!$A$33)
+SUMIFS(H20:H39,$O$20:$O$39,Lister!$D$29,$A$20:$A$39,Lister!$A$21)
+SUMIFS(H20:H39,$O$20:$O$39,Lister!$D$29,$A$20:$A$39,Lister!$A$31)
+SUMIFS(H20:H39,$O$20:$O$39,Lister!$D$29,$A$20:$A$39,Lister!$A$32)
+SUMIFS(H20:H39,$O$20:$O$39,Lister!$D$29,$A$20:$A$39,Lister!$A$22)
+SUMIFS(H20:H39,$O$20:$O$39,Lister!$D$29,$A$20:$A$39,Lister!$A$23)
+SUMIFS(H20:H39,$O$20:$O$39,Lister!$D$29,$A$20:$A$39,Lister!$A$20)
+SUMIFS(H20:H39,$O$20:$O$39,Lister!$D$29,$A$20:$A$39,Lister!$A$34)
+SUMIFS(H20:H39,$O$20:$O$39,Lister!$D$29,$A$20:$A$39,Lister!$A$33))
/12)*Takstblad!H$85,0)</f>
        <v>0</v>
      </c>
      <c r="Y87" s="110">
        <f>+IF($C$8="Project-Supplement",((
SUMIFS(I20:I39,$O$20:$O$39,Lister!$D$30,$A$20:$A$39,Lister!$A$21)
+SUMIFS(I20:I39,$O$20:$O$39,Lister!$D$30,$A$20:$A$39,Lister!$A$31)
+SUMIFS(I20:I39,$O$20:$O$39,Lister!$D$30,$A$20:$A$39,Lister!$A$32)
+SUMIFS(I20:I39,$O$20:$O$39,Lister!$D$30,$A$20:$A$39,Lister!$A$22)
+SUMIFS(I20:I39,$O$20:$O$39,Lister!$D$30,$A$20:$A$39,Lister!$A$23)
+SUMIFS(I20:I39,$O$20:$O$39,Lister!$D$30,$A$20:$A$39,Lister!$A$20)
+SUMIFS(I20:I39,$O$20:$O$39,Lister!$D$30,$A$20:$A$39,Lister!$A$34)
+SUMIFS(I20:I39,$O$20:$O$39,Lister!$D$30,$A$20:$A$39,Lister!$A$33)
+SUMIFS(I20:I39,$O$20:$O$39,Lister!$D$29,$A$20:$A$39,Lister!$A$21)
+SUMIFS(I20:I39,$O$20:$O$39,Lister!$D$29,$A$20:$A$39,Lister!$A$31)
+SUMIFS(I20:I39,$O$20:$O$39,Lister!$D$29,$A$20:$A$39,Lister!$A$32)
+SUMIFS(I20:I39,$O$20:$O$39,Lister!$D$29,$A$20:$A$39,Lister!$A$22)
+SUMIFS(I20:I39,$O$20:$O$39,Lister!$D$29,$A$20:$A$39,Lister!$A$23)
+SUMIFS(I20:I39,$O$20:$O$39,Lister!$D$29,$A$20:$A$39,Lister!$A$20)
+SUMIFS(I20:I39,$O$20:$O$39,Lister!$D$29,$A$20:$A$39,Lister!$A$34)
+SUMIFS(I20:I39,$O$20:$O$39,Lister!$D$29,$A$20:$A$39,Lister!$A$33))
/12)*Takstblad!I$85,0)</f>
        <v>0</v>
      </c>
      <c r="Z87" s="21">
        <f>+IF($C$8="Project-Supplement",((
SUMIFS(J20:J39,$O$20:$O$39,Lister!$D$30,$A$20:$A$39,Lister!$A$21)
+SUMIFS(J20:J39,$O$20:$O$39,Lister!$D$30,$A$20:$A$39,Lister!$A$31)
+SUMIFS(J20:J39,$O$20:$O$39,Lister!$D$30,$A$20:$A$39,Lister!$A$32)
+SUMIFS(J20:J39,$O$20:$O$39,Lister!$D$30,$A$20:$A$39,Lister!$A$22)
+SUMIFS(J20:J39,$O$20:$O$39,Lister!$D$30,$A$20:$A$39,Lister!$A$23)
+SUMIFS(J20:J39,$O$20:$O$39,Lister!$D$30,$A$20:$A$39,Lister!$A$20)
+SUMIFS(J20:J39,$O$20:$O$39,Lister!$D$30,$A$20:$A$39,Lister!$A$34)
+SUMIFS(J20:J39,$O$20:$O$39,Lister!$D$30,$A$20:$A$39,Lister!$A$33)
+SUMIFS(J20:J39,$O$20:$O$39,Lister!$D$29,$A$20:$A$39,Lister!$A$21)
+SUMIFS(J20:J39,$O$20:$O$39,Lister!$D$29,$A$20:$A$39,Lister!$A$31)
+SUMIFS(J20:J39,$O$20:$O$39,Lister!$D$29,$A$20:$A$39,Lister!$A$32)
+SUMIFS(J20:J39,$O$20:$O$39,Lister!$D$29,$A$20:$A$39,Lister!$A$22)
+SUMIFS(J20:J39,$O$20:$O$39,Lister!$D$29,$A$20:$A$39,Lister!$A$23)
+SUMIFS(J20:J39,$O$20:$O$39,Lister!$D$29,$A$20:$A$39,Lister!$A$20)
+SUMIFS(J20:J39,$O$20:$O$39,Lister!$D$29,$A$20:$A$39,Lister!$A$34)
+SUMIFS(J20:J39,$O$20:$O$39,Lister!$D$29,$A$20:$A$39,Lister!$A$33))
/12)*Takstblad!J$85,0)</f>
        <v>0</v>
      </c>
      <c r="AA87" s="21">
        <f>+IF($C$8="Project-Supplement",((
SUMIFS(K20:K39,$O$20:$O$39,Lister!$D$30,$A$20:$A$39,Lister!$A$21)
+SUMIFS(K20:K39,$O$20:$O$39,Lister!$D$30,$A$20:$A$39,Lister!$A$31)
+SUMIFS(K20:K39,$O$20:$O$39,Lister!$D$30,$A$20:$A$39,Lister!$A$32)
+SUMIFS(K20:K39,$O$20:$O$39,Lister!$D$30,$A$20:$A$39,Lister!$A$22)
+SUMIFS(K20:K39,$O$20:$O$39,Lister!$D$30,$A$20:$A$39,Lister!$A$23)
+SUMIFS(K20:K39,$O$20:$O$39,Lister!$D$30,$A$20:$A$39,Lister!$A$20)
+SUMIFS(K20:K39,$O$20:$O$39,Lister!$D$30,$A$20:$A$39,Lister!$A$34)
+SUMIFS(K20:K39,$O$20:$O$39,Lister!$D$30,$A$20:$A$39,Lister!$A$33)
+SUMIFS(K20:K39,$O$20:$O$39,Lister!$D$29,$A$20:$A$39,Lister!$A$21)
+SUMIFS(K20:K39,$O$20:$O$39,Lister!$D$29,$A$20:$A$39,Lister!$A$31)
+SUMIFS(K20:K39,$O$20:$O$39,Lister!$D$29,$A$20:$A$39,Lister!$A$32)
+SUMIFS(K20:K39,$O$20:$O$39,Lister!$D$29,$A$20:$A$39,Lister!$A$22)
+SUMIFS(K20:K39,$O$20:$O$39,Lister!$D$29,$A$20:$A$39,Lister!$A$23)
+SUMIFS(K20:K39,$O$20:$O$39,Lister!$D$29,$A$20:$A$39,Lister!$A$20)
+SUMIFS(K20:K39,$O$20:$O$39,Lister!$D$29,$A$20:$A$39,Lister!$A$34)
+SUMIFS(K20:K39,$O$20:$O$39,Lister!$D$29,$A$20:$A$39,Lister!$A$33))
/12)*Takstblad!K$85,0)</f>
        <v>0</v>
      </c>
      <c r="AB87" s="21">
        <f>+IF($C$8="Project-Supplement",((
SUMIFS(L20:L39,$O$20:$O$39,Lister!$D$30,$A$20:$A$39,Lister!$A$21)
+SUMIFS(L20:L39,$O$20:$O$39,Lister!$D$30,$A$20:$A$39,Lister!$A$31)
+SUMIFS(L20:L39,$O$20:$O$39,Lister!$D$30,$A$20:$A$39,Lister!$A$32)
+SUMIFS(L20:L39,$O$20:$O$39,Lister!$D$30,$A$20:$A$39,Lister!$A$22)
+SUMIFS(L20:L39,$O$20:$O$39,Lister!$D$30,$A$20:$A$39,Lister!$A$23)
+SUMIFS(L20:L39,$O$20:$O$39,Lister!$D$30,$A$20:$A$39,Lister!$A$20)
+SUMIFS(L20:L39,$O$20:$O$39,Lister!$D$30,$A$20:$A$39,Lister!$A$34)
+SUMIFS(L20:L39,$O$20:$O$39,Lister!$D$30,$A$20:$A$39,Lister!$A$33)
+SUMIFS(L20:L39,$O$20:$O$39,Lister!$D$29,$A$20:$A$39,Lister!$A$21)
+SUMIFS(L20:L39,$O$20:$O$39,Lister!$D$29,$A$20:$A$39,Lister!$A$31)
+SUMIFS(L20:L39,$O$20:$O$39,Lister!$D$29,$A$20:$A$39,Lister!$A$32)
+SUMIFS(L20:L39,$O$20:$O$39,Lister!$D$29,$A$20:$A$39,Lister!$A$22)
+SUMIFS(L20:L39,$O$20:$O$39,Lister!$D$29,$A$20:$A$39,Lister!$A$23)
+SUMIFS(L20:L39,$O$20:$O$39,Lister!$D$29,$A$20:$A$39,Lister!$A$20)
+SUMIFS(L20:L39,$O$20:$O$39,Lister!$D$29,$A$20:$A$39,Lister!$A$34)
+SUMIFS(L20:L39,$O$20:$O$39,Lister!$D$29,$A$20:$A$39,Lister!$A$33))
/12)*Takstblad!L$85,0)</f>
        <v>0</v>
      </c>
      <c r="AC87" s="138">
        <f t="shared" si="97"/>
        <v>0</v>
      </c>
      <c r="AF87" s="70"/>
      <c r="AG87" s="70"/>
      <c r="AH87" s="70"/>
      <c r="AI87" s="70"/>
      <c r="AJ87" s="70"/>
      <c r="AK87" s="70"/>
      <c r="AL87" s="70"/>
      <c r="AM87" s="70"/>
      <c r="AN87" s="70"/>
      <c r="AO87" s="70"/>
      <c r="AP87" s="70"/>
      <c r="AQ87" s="70"/>
      <c r="AR87" s="71"/>
      <c r="AS87" s="71"/>
    </row>
    <row r="88" spans="1:62" ht="14.25" customHeight="1">
      <c r="N88" s="71"/>
      <c r="O88" s="87"/>
      <c r="P88" s="87"/>
      <c r="Q88" s="150" t="s">
        <v>531</v>
      </c>
      <c r="R88" s="312">
        <f t="shared" si="96"/>
        <v>0</v>
      </c>
      <c r="S88" s="153" t="str">
        <f>IF($C$12=2,(SUM(S84:S87)*$C$13)/100,"0")</f>
        <v>0</v>
      </c>
      <c r="T88" s="153" t="str">
        <f t="shared" ref="T88:Z88" si="100">IF($C$12=2,(SUM(T84:T87)*$C$13)/100,"0")</f>
        <v>0</v>
      </c>
      <c r="U88" s="153" t="str">
        <f t="shared" si="100"/>
        <v>0</v>
      </c>
      <c r="V88" s="153" t="str">
        <f t="shared" si="100"/>
        <v>0</v>
      </c>
      <c r="W88" s="153" t="str">
        <f t="shared" si="100"/>
        <v>0</v>
      </c>
      <c r="X88" s="300" t="str">
        <f t="shared" si="100"/>
        <v>0</v>
      </c>
      <c r="Y88" s="154" t="str">
        <f t="shared" si="100"/>
        <v>0</v>
      </c>
      <c r="Z88" s="153" t="str">
        <f t="shared" si="100"/>
        <v>0</v>
      </c>
      <c r="AA88" s="153" t="str">
        <f>IF($C$12=2,(SUM(AA84:AA87)*$C$13)/100,"0")</f>
        <v>0</v>
      </c>
      <c r="AB88" s="153" t="str">
        <f>IF($C$12=2,(SUM(AB84:AB87)*$C$13)/100,"0")</f>
        <v>0</v>
      </c>
      <c r="AC88" s="138">
        <f t="shared" si="97"/>
        <v>0</v>
      </c>
      <c r="AF88" s="71"/>
      <c r="AG88" s="71"/>
      <c r="AH88" s="71"/>
      <c r="AI88" s="71"/>
      <c r="AJ88" s="71"/>
      <c r="AK88" s="71"/>
      <c r="AL88" s="71"/>
      <c r="AM88" s="71"/>
      <c r="AN88" s="71"/>
      <c r="AO88" s="71"/>
      <c r="AP88" s="71"/>
      <c r="AQ88" s="71"/>
      <c r="AR88" s="71"/>
      <c r="AS88" s="71"/>
      <c r="AT88" s="71"/>
      <c r="AU88" s="71"/>
      <c r="AV88" s="71"/>
      <c r="AW88" s="71"/>
      <c r="AX88" s="71"/>
      <c r="AY88" s="71"/>
      <c r="AZ88" s="71"/>
      <c r="BA88" s="71"/>
      <c r="BB88" s="71"/>
      <c r="BC88" s="71"/>
      <c r="BD88" s="71"/>
      <c r="BE88" s="71"/>
      <c r="BF88" s="71"/>
      <c r="BG88" s="71"/>
      <c r="BH88" s="71"/>
      <c r="BI88" s="71"/>
      <c r="BJ88" s="71"/>
    </row>
    <row r="89" spans="1:62" ht="14.25" customHeight="1">
      <c r="N89" s="80"/>
      <c r="O89" s="91"/>
      <c r="P89" s="91"/>
      <c r="Q89" s="149" t="s">
        <v>101</v>
      </c>
      <c r="R89" s="312">
        <f t="shared" si="96"/>
        <v>0</v>
      </c>
      <c r="S89" s="313">
        <f>+SUM(S84:S88)</f>
        <v>0</v>
      </c>
      <c r="T89" s="313">
        <f t="shared" ref="T89:Z89" si="101">+SUM(T84:T88)</f>
        <v>0</v>
      </c>
      <c r="U89" s="313">
        <f t="shared" si="101"/>
        <v>0</v>
      </c>
      <c r="V89" s="313">
        <f t="shared" si="101"/>
        <v>0</v>
      </c>
      <c r="W89" s="313">
        <f t="shared" si="101"/>
        <v>0</v>
      </c>
      <c r="X89" s="314">
        <f t="shared" si="101"/>
        <v>0</v>
      </c>
      <c r="Y89" s="296">
        <f t="shared" si="101"/>
        <v>0</v>
      </c>
      <c r="Z89" s="137">
        <f t="shared" si="101"/>
        <v>0</v>
      </c>
      <c r="AA89" s="137">
        <f>+SUM(AA84:AA88)</f>
        <v>0</v>
      </c>
      <c r="AB89" s="137">
        <f>+SUM(AB84:AB88)</f>
        <v>0</v>
      </c>
      <c r="AC89" s="138">
        <f t="shared" si="97"/>
        <v>0</v>
      </c>
      <c r="AF89" s="70"/>
      <c r="AG89" s="70"/>
      <c r="AH89" s="70"/>
      <c r="AI89" s="71"/>
      <c r="AJ89" s="71"/>
      <c r="AK89" s="71"/>
      <c r="AL89" s="71"/>
      <c r="AM89" s="71"/>
      <c r="AN89" s="71"/>
      <c r="AO89" s="71"/>
      <c r="AP89" s="71"/>
      <c r="AQ89" s="71"/>
      <c r="AR89" s="71"/>
      <c r="AS89" s="71"/>
      <c r="AT89" s="71"/>
      <c r="AU89" s="71"/>
      <c r="AV89" s="71"/>
      <c r="AW89" s="71"/>
      <c r="AX89" s="71"/>
      <c r="AY89" s="71"/>
      <c r="AZ89" s="71"/>
      <c r="BA89" s="71"/>
      <c r="BB89" s="71"/>
      <c r="BC89" s="71"/>
      <c r="BD89" s="71"/>
      <c r="BE89" s="71"/>
      <c r="BF89" s="71"/>
      <c r="BG89" s="71"/>
      <c r="BH89" s="71"/>
      <c r="BI89" s="71"/>
      <c r="BJ89" s="71"/>
    </row>
    <row r="90" spans="1:62" ht="14.25" customHeight="1">
      <c r="N90" s="81"/>
      <c r="O90" s="92"/>
      <c r="P90" s="92"/>
      <c r="Q90" s="132"/>
      <c r="R90" s="126"/>
      <c r="S90" s="16"/>
      <c r="T90" s="16"/>
      <c r="U90" s="16"/>
      <c r="V90" s="16"/>
      <c r="W90" s="16"/>
      <c r="X90" s="302"/>
      <c r="Y90" s="16"/>
      <c r="Z90" s="16"/>
      <c r="AA90" s="16"/>
      <c r="AB90" s="16"/>
      <c r="AC90" s="126"/>
      <c r="AF90" s="71"/>
      <c r="AG90" s="71"/>
      <c r="AH90" s="71"/>
      <c r="AI90" s="70"/>
      <c r="AJ90" s="70"/>
      <c r="AK90" s="70"/>
      <c r="AL90" s="70"/>
      <c r="AM90" s="70"/>
      <c r="AN90" s="70"/>
      <c r="AO90" s="70"/>
      <c r="AP90" s="70"/>
      <c r="AQ90" s="70"/>
      <c r="AR90" s="70"/>
      <c r="AS90" s="70"/>
      <c r="AT90" s="70"/>
      <c r="AU90" s="70"/>
      <c r="AV90" s="70"/>
      <c r="AW90" s="70"/>
      <c r="AX90" s="70"/>
      <c r="AY90" s="70"/>
      <c r="AZ90" s="70"/>
      <c r="BA90" s="70"/>
      <c r="BB90" s="70"/>
      <c r="BC90" s="70"/>
      <c r="BD90" s="70"/>
      <c r="BE90" s="70"/>
      <c r="BF90" s="70"/>
      <c r="BG90" s="70"/>
      <c r="BH90" s="70"/>
      <c r="BI90" s="70"/>
      <c r="BJ90" s="70"/>
    </row>
    <row r="91" spans="1:62" s="9" customFormat="1" ht="14.25" customHeight="1">
      <c r="N91" s="81"/>
      <c r="O91" s="92"/>
      <c r="P91" s="92"/>
      <c r="Q91" s="130" t="s">
        <v>588</v>
      </c>
      <c r="R91" s="131"/>
      <c r="S91" s="230"/>
      <c r="T91" s="230"/>
      <c r="U91" s="230"/>
      <c r="V91" s="230"/>
      <c r="W91" s="230"/>
      <c r="X91" s="301"/>
      <c r="Y91" s="230"/>
      <c r="Z91" s="231"/>
      <c r="AA91" s="231"/>
      <c r="AB91" s="231"/>
      <c r="AC91" s="131"/>
      <c r="AF91" s="71"/>
      <c r="AG91" s="71"/>
      <c r="AH91" s="71"/>
      <c r="AI91" s="70"/>
      <c r="AJ91" s="70"/>
      <c r="AK91" s="70"/>
      <c r="AL91" s="70"/>
      <c r="AM91" s="70"/>
      <c r="AN91" s="70"/>
      <c r="AO91" s="70"/>
      <c r="AP91" s="70"/>
      <c r="AQ91" s="70"/>
      <c r="AR91" s="70"/>
      <c r="AS91" s="70"/>
      <c r="AT91" s="70"/>
      <c r="AU91" s="70"/>
      <c r="AV91" s="70"/>
      <c r="AW91" s="70"/>
      <c r="AX91" s="70"/>
      <c r="AY91" s="70"/>
      <c r="AZ91" s="70"/>
      <c r="BA91" s="70"/>
      <c r="BB91" s="70"/>
      <c r="BC91" s="70"/>
      <c r="BD91" s="70"/>
      <c r="BE91" s="70"/>
      <c r="BF91" s="70"/>
      <c r="BG91" s="70"/>
      <c r="BH91" s="70"/>
      <c r="BI91" s="70"/>
      <c r="BJ91" s="70"/>
    </row>
    <row r="92" spans="1:62" s="9" customFormat="1" ht="14.25" customHeight="1">
      <c r="N92" s="70"/>
      <c r="O92" s="85"/>
      <c r="P92" s="85"/>
      <c r="Q92" s="134"/>
      <c r="R92" s="133"/>
      <c r="S92" s="16"/>
      <c r="T92" s="16"/>
      <c r="U92" s="16"/>
      <c r="V92" s="16"/>
      <c r="W92" s="16"/>
      <c r="X92" s="302"/>
      <c r="Y92" s="16"/>
      <c r="Z92" s="16"/>
      <c r="AA92" s="16"/>
      <c r="AB92" s="16"/>
      <c r="AC92" s="133"/>
      <c r="AF92" s="70"/>
      <c r="AG92" s="70"/>
      <c r="AH92" s="70"/>
      <c r="AI92" s="70"/>
      <c r="AJ92" s="70"/>
      <c r="AK92" s="70"/>
      <c r="AL92" s="70"/>
      <c r="AM92" s="70"/>
      <c r="AN92" s="70"/>
      <c r="AO92" s="70"/>
      <c r="AP92" s="70"/>
      <c r="AQ92" s="70"/>
      <c r="AR92" s="70"/>
      <c r="AS92" s="70"/>
      <c r="AT92" s="70"/>
      <c r="AU92" s="70"/>
      <c r="AV92" s="70"/>
      <c r="AW92" s="70"/>
      <c r="AX92" s="70"/>
      <c r="AY92" s="70"/>
      <c r="AZ92" s="70"/>
      <c r="BA92" s="70"/>
      <c r="BB92" s="70"/>
      <c r="BC92" s="70"/>
      <c r="BD92" s="70"/>
      <c r="BE92" s="70"/>
      <c r="BF92" s="70"/>
      <c r="BG92" s="70"/>
      <c r="BH92" s="70"/>
      <c r="BI92" s="70"/>
      <c r="BJ92" s="70"/>
    </row>
    <row r="93" spans="1:62" s="9" customFormat="1" ht="14.25" customHeight="1">
      <c r="A93" s="23"/>
      <c r="B93" s="16"/>
      <c r="C93" s="16"/>
      <c r="D93" s="16"/>
      <c r="E93" s="16"/>
      <c r="F93" s="16"/>
      <c r="G93" s="16"/>
      <c r="H93" s="16"/>
      <c r="I93" s="16"/>
      <c r="J93" s="16"/>
      <c r="K93" s="16"/>
      <c r="L93" s="16"/>
      <c r="M93" s="71"/>
      <c r="N93" s="71"/>
      <c r="O93" s="87"/>
      <c r="P93" s="87"/>
      <c r="Q93" s="152" t="s">
        <v>22</v>
      </c>
      <c r="R93" s="124" t="s">
        <v>34</v>
      </c>
      <c r="S93" s="45">
        <f>+S79</f>
        <v>2026</v>
      </c>
      <c r="T93" s="8">
        <f t="shared" ref="T93:Z93" si="102">+T79</f>
        <v>2027</v>
      </c>
      <c r="U93" s="8">
        <f t="shared" si="102"/>
        <v>2028</v>
      </c>
      <c r="V93" s="8">
        <f t="shared" si="102"/>
        <v>2029</v>
      </c>
      <c r="W93" s="8">
        <f t="shared" si="102"/>
        <v>2030</v>
      </c>
      <c r="X93" s="124">
        <f t="shared" si="102"/>
        <v>2031</v>
      </c>
      <c r="Y93" s="8">
        <f t="shared" si="102"/>
        <v>2032</v>
      </c>
      <c r="Z93" s="8">
        <f t="shared" si="102"/>
        <v>2033</v>
      </c>
      <c r="AA93" s="8">
        <f>+AA79</f>
        <v>2034</v>
      </c>
      <c r="AB93" s="8">
        <f>+AB79</f>
        <v>2035</v>
      </c>
      <c r="AC93" s="124" t="s">
        <v>34</v>
      </c>
      <c r="AF93" s="70"/>
      <c r="AG93" s="70"/>
      <c r="AH93" s="70"/>
      <c r="AI93" s="71"/>
      <c r="AJ93" s="71"/>
      <c r="AK93" s="71"/>
      <c r="AL93" s="71"/>
      <c r="AM93" s="71"/>
      <c r="AN93" s="71"/>
      <c r="AO93" s="71"/>
      <c r="AP93" s="71"/>
      <c r="AQ93" s="71"/>
      <c r="AR93" s="71"/>
      <c r="AS93" s="71"/>
      <c r="AT93" s="71"/>
      <c r="AU93" s="71"/>
      <c r="AV93" s="71"/>
      <c r="AW93" s="71"/>
      <c r="AX93" s="71"/>
      <c r="AY93" s="71"/>
      <c r="AZ93" s="71"/>
      <c r="BA93" s="71"/>
      <c r="BB93" s="71"/>
      <c r="BC93" s="71"/>
      <c r="BD93" s="71"/>
      <c r="BE93" s="71"/>
      <c r="BF93" s="71"/>
      <c r="BG93" s="71"/>
      <c r="BH93" s="71"/>
      <c r="BI93" s="71"/>
      <c r="BJ93" s="71"/>
    </row>
    <row r="94" spans="1:62" s="9" customFormat="1" ht="14.25" customHeight="1">
      <c r="N94" s="71"/>
      <c r="O94" s="87"/>
      <c r="P94" s="87"/>
      <c r="Q94" s="147" t="s">
        <v>74</v>
      </c>
      <c r="R94" s="315">
        <f t="shared" ref="R94:R103" si="103">+AC94</f>
        <v>0</v>
      </c>
      <c r="S94" s="316">
        <f>+SUMIF($O$20:$O$39,Lister!$D$31,S20:S39)+SUMIF($O$20:$O$39,Lister!$D$32,S20:S39)</f>
        <v>0</v>
      </c>
      <c r="T94" s="316">
        <f>+SUMIF($O$20:$O$39,Lister!$D$31,T20:T39)+SUMIF($O$20:$O$39,Lister!$D$32,T20:T39)</f>
        <v>0</v>
      </c>
      <c r="U94" s="316">
        <f>+SUMIF($O$20:$O$39,Lister!$D$31,U20:U39)+SUMIF($O$20:$O$39,Lister!$D$32,U20:U39)</f>
        <v>0</v>
      </c>
      <c r="V94" s="316">
        <f>+SUMIF($O$20:$O$39,Lister!$D$31,V20:V39)+SUMIF($O$20:$O$39,Lister!$D$32,V20:V39)</f>
        <v>0</v>
      </c>
      <c r="W94" s="316">
        <f>+SUMIF($O$20:$O$39,Lister!$D$31,W20:W39)+SUMIF($O$20:$O$39,Lister!$D$32,W20:W39)</f>
        <v>0</v>
      </c>
      <c r="X94" s="316">
        <f>+SUMIF($O$20:$O$39,Lister!$D$31,X20:X39)+SUMIF($O$20:$O$39,Lister!$D$32,X20:X39)</f>
        <v>0</v>
      </c>
      <c r="Y94" s="316">
        <f>+SUMIF($O$20:$O$39,Lister!$D$31,Y20:Y39)+SUMIF($O$20:$O$39,Lister!$D$32,Y20:Y39)</f>
        <v>0</v>
      </c>
      <c r="Z94" s="316">
        <f>+SUMIF($O$20:$O$39,Lister!$D$31,Z20:Z39)+SUMIF($O$20:$O$39,Lister!$D$32,Z20:Z39)</f>
        <v>0</v>
      </c>
      <c r="AA94" s="316">
        <f>+SUMIF($O$20:$O$39,Lister!$D$31,AA20:AA39)+SUMIF($O$20:$O$39,Lister!$D$32,AA20:AA39)</f>
        <v>0</v>
      </c>
      <c r="AB94" s="316">
        <f>+SUMIF($O$20:$O$39,Lister!$D$31,AB20:AB39)+SUMIF($O$20:$O$39,Lister!$D$32,AB20:AB39)</f>
        <v>0</v>
      </c>
      <c r="AC94" s="140">
        <f>SUM(S94:AB94)</f>
        <v>0</v>
      </c>
      <c r="AF94" s="70"/>
      <c r="AG94" s="70"/>
      <c r="AH94" s="70"/>
      <c r="AI94" s="71"/>
      <c r="AJ94" s="71"/>
      <c r="AK94" s="71"/>
      <c r="AL94" s="71"/>
      <c r="AM94" s="71"/>
      <c r="AN94" s="71"/>
      <c r="AO94" s="71"/>
      <c r="AP94" s="71"/>
      <c r="AQ94" s="71"/>
      <c r="AR94" s="71"/>
      <c r="AS94" s="71"/>
      <c r="AT94" s="71"/>
      <c r="AU94" s="71"/>
      <c r="AV94" s="71"/>
      <c r="AW94" s="71"/>
      <c r="AX94" s="71"/>
      <c r="AY94" s="71"/>
      <c r="AZ94" s="71"/>
      <c r="BA94" s="71"/>
      <c r="BB94" s="71"/>
      <c r="BC94" s="71"/>
      <c r="BD94" s="71"/>
      <c r="BE94" s="71"/>
      <c r="BF94" s="71"/>
      <c r="BG94" s="71"/>
      <c r="BH94" s="71"/>
      <c r="BI94" s="71"/>
      <c r="BJ94" s="71"/>
    </row>
    <row r="95" spans="1:62" s="9" customFormat="1" ht="14.25" customHeight="1">
      <c r="N95" s="71"/>
      <c r="O95" s="87"/>
      <c r="P95" s="87"/>
      <c r="Q95" s="148" t="s">
        <v>75</v>
      </c>
      <c r="R95" s="309">
        <f t="shared" si="103"/>
        <v>0</v>
      </c>
      <c r="S95" s="310">
        <f>+SUMIF($O$43:$O$55,Lister!$D$31,S43:S55)+SUMIF($O$43:$O$55,Lister!$D$32,S43:S55)</f>
        <v>0</v>
      </c>
      <c r="T95" s="319">
        <f>+SUMIF($O$43:$O$55,Lister!$D$31,T43:T55)+SUMIF($O$43:$O$55,Lister!$D$32,T43:T55)</f>
        <v>0</v>
      </c>
      <c r="U95" s="310">
        <f>+SUMIF($O$43:$O$55,Lister!$D$31,U43:U55)+SUMIF($O$43:$O$55,Lister!$D$32,U43:U55)</f>
        <v>0</v>
      </c>
      <c r="V95" s="319">
        <f>+SUMIF($O$43:$O$55,Lister!$D$31,V43:V55)+SUMIF($O$43:$O$55,Lister!$D$32,V43:V55)</f>
        <v>0</v>
      </c>
      <c r="W95" s="310">
        <f>+SUMIF($O$43:$O$55,Lister!$D$31,W43:W55)+SUMIF($O$43:$O$55,Lister!$D$32,W43:W55)</f>
        <v>0</v>
      </c>
      <c r="X95" s="320">
        <f>+SUMIF($O$43:$O$55,Lister!$D$31,X43:X55)+SUMIF($O$43:$O$55,Lister!$D$32,X43:X55)</f>
        <v>0</v>
      </c>
      <c r="Y95" s="295">
        <f>+SUMIF($O$43:$O$55,Lister!$D$31,Y43:Y55)+SUMIF($O$43:$O$55,Lister!$D$32,Y43:Y55)</f>
        <v>0</v>
      </c>
      <c r="Z95" s="113">
        <f>+SUMIF($O$43:$O$55,Lister!$D$31,Z43:Z55)+SUMIF($O$43:$O$55,Lister!$D$32,Z43:Z55)</f>
        <v>0</v>
      </c>
      <c r="AA95" s="113">
        <f>+SUMIF($O$43:$O$55,Lister!$D$31,AA43:AA55)+SUMIF($O$43:$O$55,Lister!$D$32,AA43:AA55)</f>
        <v>0</v>
      </c>
      <c r="AB95" s="113">
        <f>+SUMIF($O$43:$O$55,Lister!$D$31,AB43:AB55)+SUMIF($O$43:$O$55,Lister!$D$32,AB43:AB55)</f>
        <v>0</v>
      </c>
      <c r="AC95" s="141">
        <f t="shared" ref="AC95:AC103" si="104">SUM(S95:AB95)</f>
        <v>0</v>
      </c>
      <c r="AF95" s="71"/>
      <c r="AG95" s="71"/>
      <c r="AH95" s="71"/>
      <c r="AI95" s="71"/>
      <c r="AJ95" s="71"/>
      <c r="AK95" s="71"/>
      <c r="AL95" s="71"/>
      <c r="AM95" s="71"/>
      <c r="AN95" s="71"/>
      <c r="AO95" s="71"/>
      <c r="AP95" s="71"/>
      <c r="AQ95" s="71"/>
      <c r="AR95" s="71"/>
      <c r="AS95" s="71"/>
      <c r="AT95" s="71"/>
      <c r="AU95" s="71"/>
      <c r="AV95" s="71"/>
      <c r="AW95" s="71"/>
      <c r="AX95" s="71"/>
      <c r="AY95" s="71"/>
      <c r="AZ95" s="71"/>
      <c r="BA95" s="71"/>
      <c r="BB95" s="71"/>
      <c r="BC95" s="71"/>
      <c r="BD95" s="71"/>
      <c r="BE95" s="71"/>
      <c r="BF95" s="71"/>
      <c r="BG95" s="71"/>
      <c r="BH95" s="71"/>
      <c r="BI95" s="71"/>
      <c r="BJ95" s="71"/>
    </row>
    <row r="96" spans="1:62" ht="14.25" customHeight="1">
      <c r="N96" s="71"/>
      <c r="O96" s="87"/>
      <c r="P96" s="87"/>
      <c r="Q96" s="149" t="s">
        <v>76</v>
      </c>
      <c r="R96" s="312">
        <f t="shared" si="103"/>
        <v>0</v>
      </c>
      <c r="S96" s="313">
        <f>+SUM(S94:S95)</f>
        <v>0</v>
      </c>
      <c r="T96" s="313">
        <f>+SUM(T94:T95)</f>
        <v>0</v>
      </c>
      <c r="U96" s="313">
        <f t="shared" ref="U96:Z96" si="105">+SUM(U94:U95)</f>
        <v>0</v>
      </c>
      <c r="V96" s="313">
        <f t="shared" si="105"/>
        <v>0</v>
      </c>
      <c r="W96" s="313">
        <f t="shared" si="105"/>
        <v>0</v>
      </c>
      <c r="X96" s="314">
        <f t="shared" si="105"/>
        <v>0</v>
      </c>
      <c r="Y96" s="142">
        <f t="shared" si="105"/>
        <v>0</v>
      </c>
      <c r="Z96" s="137">
        <f t="shared" si="105"/>
        <v>0</v>
      </c>
      <c r="AA96" s="137">
        <f>+SUM(AA94:AA95)</f>
        <v>0</v>
      </c>
      <c r="AB96" s="137">
        <f>+SUM(AB94:AB95)</f>
        <v>0</v>
      </c>
      <c r="AC96" s="138">
        <f t="shared" si="104"/>
        <v>0</v>
      </c>
      <c r="AF96" s="71"/>
      <c r="AG96" s="71"/>
      <c r="AH96" s="71"/>
      <c r="AI96" s="71"/>
      <c r="AJ96" s="71"/>
      <c r="AK96" s="71"/>
      <c r="AL96" s="71"/>
      <c r="AM96" s="71"/>
      <c r="AN96" s="71"/>
      <c r="AO96" s="71"/>
      <c r="AP96" s="71"/>
      <c r="AQ96" s="71"/>
      <c r="AR96" s="71"/>
      <c r="AS96" s="71"/>
      <c r="AT96" s="71"/>
      <c r="AU96" s="71"/>
      <c r="AV96" s="71"/>
      <c r="AW96" s="71"/>
      <c r="AX96" s="71"/>
      <c r="AY96" s="71"/>
      <c r="AZ96" s="71"/>
      <c r="BA96" s="71"/>
      <c r="BB96" s="71"/>
      <c r="BC96" s="71"/>
      <c r="BD96" s="71"/>
      <c r="BE96" s="71"/>
      <c r="BF96" s="71"/>
      <c r="BG96" s="71"/>
      <c r="BH96" s="71"/>
      <c r="BI96" s="71"/>
      <c r="BJ96" s="71"/>
    </row>
    <row r="97" spans="14:62" s="14" customFormat="1" ht="14.25" customHeight="1">
      <c r="N97" s="71"/>
      <c r="O97" s="87"/>
      <c r="P97" s="87"/>
      <c r="Q97" s="149" t="s">
        <v>77</v>
      </c>
      <c r="R97" s="312">
        <f t="shared" si="103"/>
        <v>0</v>
      </c>
      <c r="S97" s="313">
        <f>+SUMIF($O$62:$O$74,Lister!$D$31,C62:C74)+SUMIF($O$62:$O$74,Lister!$D$32,C62:C74)-SUMIFS(C62:C74,$O$62:$O$74,Lister!$D$31,$A$62:$A$74,Lister!$M$9)-SUMIFS(C62:C74,$O$62:$O$74,Lister!$D$32,$A$62:$A$74,Lister!$M$9)</f>
        <v>0</v>
      </c>
      <c r="T97" s="325">
        <f>+SUMIF($O$62:$O$74,Lister!$D$31,D62:D74)+SUMIF($O$62:$O$74,Lister!$D$32,D62:D74)-SUMIFS(D62:D74,$O$62:$O$74,Lister!$D$31,$A$62:$A$74,Lister!$M$9)-SUMIFS(D62:D74,$O$62:$O$74,Lister!$D$32,$A$62:$A$74,Lister!$M$9)</f>
        <v>0</v>
      </c>
      <c r="U97" s="325">
        <f>+SUMIF($O$62:$O$74,Lister!$D$31,E62:E74)+SUMIF($O$62:$O$74,Lister!$D$32,E62:E74)-SUMIFS(E62:E74,$O$62:$O$74,Lister!$D$31,$A$62:$A$74,Lister!$M$9)-SUMIFS(E62:E74,$O$62:$O$74,Lister!$D$32,$A$62:$A$74,Lister!$M$9)</f>
        <v>0</v>
      </c>
      <c r="V97" s="325">
        <f>+SUMIF($O$62:$O$74,Lister!$D$31,F62:F74)+SUMIF($O$62:$O$74,Lister!$D$32,F62:F74)-SUMIFS(F62:F74,$O$62:$O$74,Lister!$D$31,$A$62:$A$74,Lister!$M$9)-SUMIFS(F62:F74,$O$62:$O$74,Lister!$D$32,$A$62:$A$74,Lister!$M$9)</f>
        <v>0</v>
      </c>
      <c r="W97" s="325">
        <f>+SUMIF($O$62:$O$74,Lister!$D$31,G62:G74)+SUMIF($O$62:$O$74,Lister!$D$32,G62:G74)-SUMIFS(G62:G74,$O$62:$O$74,Lister!$D$31,$A$62:$A$74,Lister!$M$9)-SUMIFS(G62:G74,$O$62:$O$74,Lister!$D$32,$A$62:$A$74,Lister!$M$9)</f>
        <v>0</v>
      </c>
      <c r="X97" s="326">
        <f>+SUMIF($O$62:$O$74,Lister!$D$31,H62:H74)+SUMIF($O$62:$O$74,Lister!$D$32,H62:H74)-SUMIFS(H62:H74,$O$62:$O$74,Lister!$D$31,$A$62:$A$74,Lister!$M$9)-SUMIFS(H62:H74,$O$62:$O$74,Lister!$D$32,$A$62:$A$74,Lister!$M$9)</f>
        <v>0</v>
      </c>
      <c r="Y97" s="207">
        <f>+SUMIF($O$62:$O$74,Lister!$D$31,I62:I74)+SUMIF($O$62:$O$74,Lister!$D$32,I62:I74)-SUMIFS(I62:I74,$O$62:$O$74,Lister!$D$31,$A$62:$A$74,Lister!$M$9)-SUMIFS(I62:I74,$O$62:$O$74,Lister!$D$32,$A$62:$A$74,Lister!$M$9)</f>
        <v>0</v>
      </c>
      <c r="Z97" s="206">
        <f>+SUMIF($O$62:$O$74,Lister!$D$31,J62:J74)+SUMIF($O$62:$O$74,Lister!$D$32,J62:J74)-SUMIFS(J62:J74,$O$62:$O$74,Lister!$D$31,$A$62:$A$74,Lister!$M$9)-SUMIFS(J62:J74,$O$62:$O$74,Lister!$D$32,$A$62:$A$74,Lister!$M$9)</f>
        <v>0</v>
      </c>
      <c r="AA97" s="206">
        <f>+SUMIF($O$62:$O$74,Lister!$D$31,K62:K74)+SUMIF($O$62:$O$74,Lister!$D$32,K62:K74)-SUMIFS(K62:K74,$O$62:$O$74,Lister!$D$31,$A$62:$A$74,Lister!$M$9)-SUMIFS(K62:K74,$O$62:$O$74,Lister!$D$32,$A$62:$A$74,Lister!$M$9)</f>
        <v>0</v>
      </c>
      <c r="AB97" s="206">
        <f>+SUMIF($O$62:$O$74,Lister!$D$31,L62:L74)+SUMIF($O$62:$O$74,Lister!$D$32,L62:L74)-SUMIFS(L62:L74,$O$62:$O$74,Lister!$D$31,$A$62:$A$74,Lister!$M$9)-SUMIFS(L62:L74,$O$62:$O$74,Lister!$D$32,$A$62:$A$74,Lister!$M$9)</f>
        <v>0</v>
      </c>
      <c r="AC97" s="138">
        <f t="shared" si="104"/>
        <v>0</v>
      </c>
      <c r="AF97" s="71"/>
      <c r="AG97" s="71"/>
      <c r="AH97" s="71"/>
      <c r="AI97" s="71"/>
      <c r="AJ97" s="71"/>
      <c r="AK97" s="71"/>
      <c r="AL97" s="71"/>
      <c r="AM97" s="71"/>
      <c r="AN97" s="71"/>
      <c r="AO97" s="71"/>
      <c r="AP97" s="71"/>
      <c r="AQ97" s="71"/>
      <c r="AR97" s="71"/>
      <c r="AS97" s="71"/>
      <c r="AT97" s="71"/>
      <c r="AU97" s="71"/>
      <c r="AV97" s="71"/>
      <c r="AW97" s="71"/>
      <c r="AX97" s="71"/>
      <c r="AY97" s="71"/>
      <c r="AZ97" s="71"/>
      <c r="BA97" s="71"/>
      <c r="BB97" s="71"/>
      <c r="BC97" s="71"/>
      <c r="BD97" s="71"/>
      <c r="BE97" s="71"/>
      <c r="BF97" s="71"/>
      <c r="BG97" s="71"/>
      <c r="BH97" s="71"/>
      <c r="BI97" s="71"/>
      <c r="BJ97" s="71"/>
    </row>
    <row r="98" spans="14:62" s="9" customFormat="1" ht="14.25" customHeight="1">
      <c r="N98" s="70"/>
      <c r="O98" s="85"/>
      <c r="P98" s="85"/>
      <c r="Q98" s="149" t="s">
        <v>78</v>
      </c>
      <c r="R98" s="312">
        <f t="shared" si="103"/>
        <v>0</v>
      </c>
      <c r="S98" s="313">
        <f>+S97+S96</f>
        <v>0</v>
      </c>
      <c r="T98" s="313">
        <f t="shared" ref="T98:Z98" si="106">+T97+T96</f>
        <v>0</v>
      </c>
      <c r="U98" s="313">
        <f t="shared" si="106"/>
        <v>0</v>
      </c>
      <c r="V98" s="313">
        <f t="shared" si="106"/>
        <v>0</v>
      </c>
      <c r="W98" s="313">
        <f t="shared" si="106"/>
        <v>0</v>
      </c>
      <c r="X98" s="314">
        <f t="shared" si="106"/>
        <v>0</v>
      </c>
      <c r="Y98" s="142">
        <f t="shared" si="106"/>
        <v>0</v>
      </c>
      <c r="Z98" s="137">
        <f t="shared" si="106"/>
        <v>0</v>
      </c>
      <c r="AA98" s="137">
        <f>+AA97+AA96</f>
        <v>0</v>
      </c>
      <c r="AB98" s="137">
        <f>+AB97+AB96</f>
        <v>0</v>
      </c>
      <c r="AC98" s="138">
        <f t="shared" si="104"/>
        <v>0</v>
      </c>
      <c r="AF98" s="71"/>
      <c r="AG98" s="71"/>
      <c r="AH98" s="71"/>
      <c r="AI98" s="70"/>
      <c r="AJ98" s="70"/>
      <c r="AK98" s="70"/>
      <c r="AL98" s="70"/>
      <c r="AM98" s="70"/>
      <c r="AN98" s="70"/>
      <c r="AO98" s="70"/>
      <c r="AP98" s="70"/>
      <c r="AQ98" s="70"/>
      <c r="AR98" s="70"/>
      <c r="AS98" s="70"/>
      <c r="AT98" s="70"/>
      <c r="AU98" s="70"/>
      <c r="AV98" s="70"/>
      <c r="AW98" s="70"/>
      <c r="AX98" s="70"/>
      <c r="AY98" s="70"/>
      <c r="AZ98" s="70"/>
      <c r="BA98" s="70"/>
      <c r="BB98" s="70"/>
      <c r="BC98" s="70"/>
      <c r="BD98" s="70"/>
      <c r="BE98" s="70"/>
      <c r="BF98" s="70"/>
      <c r="BG98" s="70"/>
      <c r="BH98" s="70"/>
      <c r="BI98" s="70"/>
      <c r="BJ98" s="70"/>
    </row>
    <row r="99" spans="14:62" s="9" customFormat="1" ht="14.25" customHeight="1">
      <c r="N99" s="79"/>
      <c r="O99" s="90"/>
      <c r="P99" s="90"/>
      <c r="Q99" s="150" t="s">
        <v>0</v>
      </c>
      <c r="R99" s="312">
        <f t="shared" si="103"/>
        <v>0</v>
      </c>
      <c r="S99" s="153">
        <f>IF($C$12=2,S96*$C$6/100,
IF($G$6=Lister!$D$4,S96*$C$6/100,
IF($G$6=Lister!$D$5,S98*$C$6/100,
IF($G$6=Lister!$D$6,(S98-SUMIFS(C62:C74,$O$62:$O$74,Lister!$D$31,$A$62:$A$74,Lister!$M$10)-SUMIFS(C62:C74,$O$62:$O$74,Lister!$D$32,$A$62:$A$74,Lister!$M$10))*$C$6/100,
IF($G$6=Lister!$D$7,(S98-SUMIFS(C62:C74,$O$62:$O$74,Lister!$D$31,$A$62:$A$74,Lister!$M$10)-SUMIFS(C62:C74,$O$62:$O$74,Lister!$D$32,$A$62:$A$74,Lister!$M$10)-SUMIFS(C62:C74,$O$62:$O$74,Lister!$D$31,$A$62:$A$74,Lister!$M$7)-SUMIFS(C62:C74,$O$62:$O$74,Lister!$D$32,$A$62:$A$74,Lister!$M$7))*$C$6/100,
IF($G$6=Lister!$D$8,(S98+S100)*$C$6/100,
IF($G$6=Lister!$D$9,S97*$C$6/100,0)))))))</f>
        <v>0</v>
      </c>
      <c r="T99" s="321">
        <f>IF($C$12=2,T96*$C$6/100,
IF($G$6=Lister!$D$4,T96*$C$6/100,
IF($G$6=Lister!$D$5,T98*$C$6/100,
IF($G$6=Lister!$D$6,(T98-SUMIFS(D62:D74,$O$62:$O$74,Lister!$D$31,$A$62:$A$74,Lister!$M$10)-SUMIFS(D62:D74,$O$62:$O$74,Lister!$D$32,$A$62:$A$74,Lister!$M$10))*$C$6/100,
IF($G$6=Lister!$D$7,(T98-SUMIFS(D62:D74,$O$62:$O$74,Lister!$D$31,$A$62:$A$74,Lister!$M$10)-SUMIFS(D62:D74,$O$62:$O$74,Lister!$D$32,$A$62:$A$74,Lister!$M$10)-SUMIFS(D62:D74,$O$62:$O$74,Lister!$D$31,$A$62:$A$74,Lister!$M$7)-SUMIFS(D62:D74,$O$62:$O$74,Lister!$D$32,$A$62:$A$74,Lister!$M$7))*$C$6/100,
IF($G$6=Lister!$D$8,(T98+T100)*$C$6/100,
IF($G$6=Lister!$D$9,T97*$C$6/100,0)))))))</f>
        <v>0</v>
      </c>
      <c r="U99" s="321">
        <f>IF($C$12=2,U96*$C$6/100,
IF($G$6=Lister!$D$4,U96*$C$6/100,
IF($G$6=Lister!$D$5,U98*$C$6/100,
IF($G$6=Lister!$D$6,(U98-SUMIFS(E62:E74,$O$62:$O$74,Lister!$D$31,$A$62:$A$74,Lister!$M$10)-SUMIFS(E62:E74,$O$62:$O$74,Lister!$D$32,$A$62:$A$74,Lister!$M$10))*$C$6/100,
IF($G$6=Lister!$D$7,(U98-SUMIFS(E62:E74,$O$62:$O$74,Lister!$D$31,$A$62:$A$74,Lister!$M$10)-SUMIFS(E62:E74,$O$62:$O$74,Lister!$D$32,$A$62:$A$74,Lister!$M$10)-SUMIFS(E62:E74,$O$62:$O$74,Lister!$D$31,$A$62:$A$74,Lister!$M$7)-SUMIFS(E62:E74,$O$62:$O$74,Lister!$D$32,$A$62:$A$74,Lister!$M$7))*$C$6/100,
IF($G$6=Lister!$D$8,(U98+U100)*$C$6/100,
IF($G$6=Lister!$D$9,U97*$C$6/100,0)))))))</f>
        <v>0</v>
      </c>
      <c r="V99" s="321">
        <f>IF($C$12=2,V96*$C$6/100,
IF($G$6=Lister!$D$4,V96*$C$6/100,
IF($G$6=Lister!$D$5,V98*$C$6/100,
IF($G$6=Lister!$D$6,(V98-SUMIFS(F62:F74,$O$62:$O$74,Lister!$D$31,$A$62:$A$74,Lister!$M$10)-SUMIFS(F62:F74,$O$62:$O$74,Lister!$D$32,$A$62:$A$74,Lister!$M$10))*$C$6/100,
IF($G$6=Lister!$D$7,(V98-SUMIFS(F62:F74,$O$62:$O$74,Lister!$D$31,$A$62:$A$74,Lister!$M$10)-SUMIFS(F62:F74,$O$62:$O$74,Lister!$D$32,$A$62:$A$74,Lister!$M$10)-SUMIFS(F62:F74,$O$62:$O$74,Lister!$D$31,$A$62:$A$74,Lister!$M$7)-SUMIFS(F62:F74,$O$62:$O$74,Lister!$D$32,$A$62:$A$74,Lister!$M$7))*$C$6/100,
IF($G$6=Lister!$D$8,(V98+V100)*$C$6/100,
IF($G$6=Lister!$D$9,V97*$C$6/100,0)))))))</f>
        <v>0</v>
      </c>
      <c r="W99" s="321">
        <f>IF($C$12=2,W96*$C$6/100,
IF($G$6=Lister!$D$4,W96*$C$6/100,
IF($G$6=Lister!$D$5,W98*$C$6/100,
IF($G$6=Lister!$D$6,(W98-SUMIFS(G62:G74,$O$62:$O$74,Lister!$D$31,$A$62:$A$74,Lister!$M$10)-SUMIFS(G62:G74,$O$62:$O$74,Lister!$D$32,$A$62:$A$74,Lister!$M$10))*$C$6/100,
IF($G$6=Lister!$D$7,(W98-SUMIFS(G62:G74,$O$62:$O$74,Lister!$D$31,$A$62:$A$74,Lister!$M$10)-SUMIFS(G62:G74,$O$62:$O$74,Lister!$D$32,$A$62:$A$74,Lister!$M$10)-SUMIFS(G62:G74,$O$62:$O$74,Lister!$D$31,$A$62:$A$74,Lister!$M$7)-SUMIFS(G62:G74,$O$62:$O$74,Lister!$D$32,$A$62:$A$74,Lister!$M$7))*$C$6/100,
IF($G$6=Lister!$D$8,(W98+W100)*$C$6/100,
IF($G$6=Lister!$D$9,W97*$C$6/100,0)))))))</f>
        <v>0</v>
      </c>
      <c r="X99" s="322">
        <f>IF($C$12=2,X96*$C$6/100,
IF($G$6=Lister!$D$4,X96*$C$6/100,
IF($G$6=Lister!$D$5,X98*$C$6/100,
IF($G$6=Lister!$D$6,(X98-SUMIFS(H62:H74,$O$62:$O$74,Lister!$D$31,$A$62:$A$74,Lister!$M$10)-SUMIFS(H62:H74,$O$62:$O$74,Lister!$D$32,$A$62:$A$74,Lister!$M$10))*$C$6/100,
IF($G$6=Lister!$D$7,(X98-SUMIFS(H62:H74,$O$62:$O$74,Lister!$D$31,$A$62:$A$74,Lister!$M$10)-SUMIFS(H62:H74,$O$62:$O$74,Lister!$D$32,$A$62:$A$74,Lister!$M$10)-SUMIFS(H62:H74,$O$62:$O$74,Lister!$D$31,$A$62:$A$74,Lister!$M$7)-SUMIFS(H62:H74,$O$62:$O$74,Lister!$D$32,$A$62:$A$74,Lister!$M$7))*$C$6/100,
IF($G$6=Lister!$D$8,(X98+X100)*$C$6/100,
IF($G$6=Lister!$D$9,X97*$C$6/100,0)))))))</f>
        <v>0</v>
      </c>
      <c r="Y99" s="203">
        <f>IF($C$12=2,Y96*$C$6/100,
IF($G$6=Lister!$D$4,Y96*$C$6/100,
IF($G$6=Lister!$D$5,Y98*$C$6/100,
IF($G$6=Lister!$D$6,(Y98-SUMIFS(I62:I74,$O$62:$O$74,Lister!$D$31,$A$62:$A$74,Lister!$M$10)-SUMIFS(I62:I74,$O$62:$O$74,Lister!$D$32,$A$62:$A$74,Lister!$M$10))*$C$6/100,
IF($G$6=Lister!$D$7,(Y98-SUMIFS(I62:I74,$O$62:$O$74,Lister!$D$31,$A$62:$A$74,Lister!$M$10)-SUMIFS(I62:I74,$O$62:$O$74,Lister!$D$32,$A$62:$A$74,Lister!$M$10)-SUMIFS(I62:I74,$O$62:$O$74,Lister!$D$31,$A$62:$A$74,Lister!$M$7)-SUMIFS(I62:I74,$O$62:$O$74,Lister!$D$32,$A$62:$A$74,Lister!$M$7))*$C$6/100,
IF($G$6=Lister!$D$8,(Y98+Y100)*$C$6/100,
IF($G$6=Lister!$D$9,Y97*$C$6/100,0)))))))</f>
        <v>0</v>
      </c>
      <c r="Z99" s="202">
        <f>IF($C$12=2,Z96*$C$6/100,
IF($G$6=Lister!$D$4,Z96*$C$6/100,
IF($G$6=Lister!$D$5,Z98*$C$6/100,
IF($G$6=Lister!$D$6,(Z98-SUMIFS(J62:J74,$O$62:$O$74,Lister!$D$31,$A$62:$A$74,Lister!$M$10)-SUMIFS(J62:J74,$O$62:$O$74,Lister!$D$32,$A$62:$A$74,Lister!$M$10))*$C$6/100,
IF($G$6=Lister!$D$7,(Z98-SUMIFS(J62:J74,$O$62:$O$74,Lister!$D$31,$A$62:$A$74,Lister!$M$10)-SUMIFS(J62:J74,$O$62:$O$74,Lister!$D$32,$A$62:$A$74,Lister!$M$10)-SUMIFS(J62:J74,$O$62:$O$74,Lister!$D$31,$A$62:$A$74,Lister!$M$7)-SUMIFS(J62:J74,$O$62:$O$74,Lister!$D$32,$A$62:$A$74,Lister!$M$7))*$C$6/100,
IF($G$6=Lister!$D$8,(Z98+Z100)*$C$6/100,
IF($G$6=Lister!$D$9,Z97*$C$6/100,0)))))))</f>
        <v>0</v>
      </c>
      <c r="AA99" s="202">
        <f>IF($C$12=2,AA96*$C$6/100,
IF($G$6=Lister!$D$4,AA96*$C$6/100,
IF($G$6=Lister!$D$5,AA98*$C$6/100,
IF($G$6=Lister!$D$6,(AA98-SUMIFS(K62:K74,$O$62:$O$74,Lister!$D$31,$A$62:$A$74,Lister!$M$10)-SUMIFS(K62:K74,$O$62:$O$74,Lister!$D$32,$A$62:$A$74,Lister!$M$10))*$C$6/100,
IF($G$6=Lister!$D$7,(AA98-SUMIFS(K62:K74,$O$62:$O$74,Lister!$D$31,$A$62:$A$74,Lister!$M$10)-SUMIFS(K62:K74,$O$62:$O$74,Lister!$D$32,$A$62:$A$74,Lister!$M$10)-SUMIFS(K62:K74,$O$62:$O$74,Lister!$D$31,$A$62:$A$74,Lister!$M$7)-SUMIFS(K62:K74,$O$62:$O$74,Lister!$D$32,$A$62:$A$74,Lister!$M$7))*$C$6/100,
IF($G$6=Lister!$D$8,(AA98+AA100)*$C$6/100,
IF($G$6=Lister!$D$9,AA97*$C$6/100,0)))))))</f>
        <v>0</v>
      </c>
      <c r="AB99" s="202">
        <f>IF($C$12=2,AB96*$C$6/100,
IF($G$6=Lister!$D$4,AB96*$C$6/100,
IF($G$6=Lister!$D$5,AB98*$C$6/100,
IF($G$6=Lister!$D$6,(AB98-SUMIFS(L62:L74,$O$62:$O$74,Lister!$D$31,$A$62:$A$74,Lister!$M$10)-SUMIFS(L62:L74,$O$62:$O$74,Lister!$D$32,$A$62:$A$74,Lister!$M$10))*$C$6/100,
IF($G$6=Lister!$D$7,(AB98-SUMIFS(L62:L74,$O$62:$O$74,Lister!$D$31,$A$62:$A$74,Lister!$M$10)-SUMIFS(L62:L74,$O$62:$O$74,Lister!$D$32,$A$62:$A$74,Lister!$M$10)-SUMIFS(L62:L74,$O$62:$O$74,Lister!$D$31,$A$62:$A$74,Lister!$M$7)-SUMIFS(L62:L74,$O$62:$O$74,Lister!$D$32,$A$62:$A$74,Lister!$M$7))*$C$6/100,
IF($G$6=Lister!$D$8,(AB98+AB100)*$C$6/100,
IF($G$6=Lister!$D$9,AB97*$C$6/100,0)))))))</f>
        <v>0</v>
      </c>
      <c r="AC99" s="138">
        <f t="shared" si="104"/>
        <v>0</v>
      </c>
      <c r="AF99" s="71"/>
      <c r="AG99" s="71"/>
      <c r="AH99" s="71"/>
      <c r="AI99" s="79"/>
      <c r="AJ99" s="79"/>
      <c r="AK99" s="79"/>
      <c r="AL99" s="79"/>
      <c r="AM99" s="79"/>
      <c r="AN99" s="79"/>
      <c r="AO99" s="79"/>
      <c r="AP99" s="79"/>
      <c r="AQ99" s="79"/>
      <c r="AR99" s="79"/>
      <c r="AS99" s="79"/>
      <c r="AT99" s="79"/>
      <c r="AU99" s="79"/>
      <c r="AV99" s="79"/>
      <c r="AW99" s="79"/>
      <c r="AX99" s="79"/>
      <c r="AY99" s="79"/>
      <c r="AZ99" s="79"/>
      <c r="BA99" s="79"/>
      <c r="BB99" s="79"/>
      <c r="BC99" s="79"/>
      <c r="BD99" s="79"/>
      <c r="BE99" s="79"/>
      <c r="BF99" s="79"/>
      <c r="BG99" s="79"/>
      <c r="BH99" s="79"/>
      <c r="BI99" s="79"/>
      <c r="BJ99" s="79"/>
    </row>
    <row r="100" spans="14:62" s="9" customFormat="1" ht="14.25" customHeight="1">
      <c r="N100" s="71"/>
      <c r="O100" s="87"/>
      <c r="P100" s="87"/>
      <c r="Q100" s="151" t="s">
        <v>103</v>
      </c>
      <c r="R100" s="312">
        <f t="shared" si="103"/>
        <v>0</v>
      </c>
      <c r="S100" s="153">
        <f>+IF($C$8=Lister!$O$5,(SUMIF($O$20:$O$29,Lister!$D$31,C20:C29)+SUMIF($O$20:$O$29,Lister!$D$32,C20:C29))*Takstblad!C$84,0)</f>
        <v>0</v>
      </c>
      <c r="T100" s="153">
        <f>+IF($C$8=Lister!$O$5,(SUMIF($O$20:$O$29,Lister!$D$31,D20:D29)+SUMIF($O$20:$O$29,Lister!$D$32,D20:D29))*Takstblad!D$84,0)</f>
        <v>0</v>
      </c>
      <c r="U100" s="153">
        <f>+IF($C$8=Lister!$O$5,(SUMIF($O$20:$O$29,Lister!$D$31,E20:E29)+SUMIF($O$20:$O$29,Lister!$D$32,E20:E29))*Takstblad!E$84,0)</f>
        <v>0</v>
      </c>
      <c r="V100" s="153">
        <f>+IF($C$8=Lister!$O$5,(SUMIF($O$20:$O$29,Lister!$D$31,F20:F29)+SUMIF($O$20:$O$29,Lister!$D$32,F20:F29))*Takstblad!F$84,0)</f>
        <v>0</v>
      </c>
      <c r="W100" s="153">
        <f>+IF($C$8=Lister!$O$5,(SUMIF($O$20:$O$29,Lister!$D$31,G20:G29)+SUMIF($O$20:$O$29,Lister!$D$32,G20:G29))*Takstblad!G$84,0)</f>
        <v>0</v>
      </c>
      <c r="X100" s="300">
        <f>+IF($C$8=Lister!$O$5,(SUMIF($O$20:$O$29,Lister!$D$31,H20:H29)+SUMIF($O$20:$O$29,Lister!$D$32,H20:H29))*Takstblad!H$84,0)</f>
        <v>0</v>
      </c>
      <c r="Y100" s="110">
        <f>+IF($C$8=Lister!$O$5,(SUMIF($O$20:$O$29,Lister!$D$31,I20:I29)+SUMIF($O$20:$O$29,Lister!$D$32,I20:I29))*Takstblad!I$84,0)</f>
        <v>0</v>
      </c>
      <c r="Z100" s="21">
        <f>+IF($C$8=Lister!$O$5,(SUMIF($O$20:$O$29,Lister!$D$31,J20:J29)+SUMIF($O$20:$O$29,Lister!$D$32,J20:J29))*Takstblad!J$84,0)</f>
        <v>0</v>
      </c>
      <c r="AA100" s="21">
        <f>+IF($C$8=Lister!$O$5,(SUMIF($O$20:$O$29,Lister!$D$31,K20:K29)+SUMIF($O$20:$O$29,Lister!$D$32,K20:K29))*Takstblad!K$84,0)</f>
        <v>0</v>
      </c>
      <c r="AB100" s="21">
        <f>+IF($C$8=Lister!$O$5,(SUMIF($O$20:$O$29,Lister!$D$31,L20:L29)+SUMIF($O$20:$O$29,Lister!$D$32,L20:L29))*Takstblad!L$84,0)</f>
        <v>0</v>
      </c>
      <c r="AC100" s="138">
        <f t="shared" si="104"/>
        <v>0</v>
      </c>
      <c r="AF100" s="70"/>
      <c r="AG100" s="70"/>
      <c r="AH100" s="70"/>
      <c r="AI100" s="71"/>
      <c r="AJ100" s="71"/>
      <c r="AK100" s="71"/>
      <c r="AL100" s="71"/>
      <c r="AM100" s="71"/>
      <c r="AN100" s="71"/>
      <c r="AO100" s="71"/>
      <c r="AP100" s="71"/>
      <c r="AQ100" s="71"/>
      <c r="AR100" s="71"/>
      <c r="AS100" s="71"/>
      <c r="AT100" s="71"/>
      <c r="AU100" s="71"/>
      <c r="AV100" s="71"/>
      <c r="AW100" s="71"/>
      <c r="AX100" s="71"/>
      <c r="AY100" s="71"/>
      <c r="AZ100" s="71"/>
      <c r="BA100" s="71"/>
      <c r="BB100" s="71"/>
      <c r="BC100" s="71"/>
      <c r="BD100" s="71"/>
      <c r="BE100" s="71"/>
      <c r="BF100" s="71"/>
      <c r="BG100" s="71"/>
      <c r="BH100" s="71"/>
      <c r="BI100" s="71"/>
      <c r="BJ100" s="71"/>
    </row>
    <row r="101" spans="14:62" s="9" customFormat="1" ht="14.25" customHeight="1">
      <c r="N101" s="71"/>
      <c r="O101" s="87"/>
      <c r="P101" s="87"/>
      <c r="Q101" s="151" t="s">
        <v>108</v>
      </c>
      <c r="R101" s="312">
        <f t="shared" si="103"/>
        <v>0</v>
      </c>
      <c r="S101" s="153"/>
      <c r="T101" s="153"/>
      <c r="U101" s="153"/>
      <c r="V101" s="153"/>
      <c r="W101" s="153"/>
      <c r="X101" s="300"/>
      <c r="Y101" s="110"/>
      <c r="Z101" s="21"/>
      <c r="AA101" s="21"/>
      <c r="AB101" s="21"/>
      <c r="AC101" s="138">
        <f t="shared" si="104"/>
        <v>0</v>
      </c>
      <c r="AF101" s="79"/>
      <c r="AG101" s="79"/>
      <c r="AH101" s="79"/>
      <c r="AI101" s="71"/>
      <c r="AJ101" s="71"/>
      <c r="AK101" s="71"/>
      <c r="AL101" s="71"/>
      <c r="AM101" s="71"/>
      <c r="AN101" s="71"/>
      <c r="AO101" s="71"/>
      <c r="AP101" s="71"/>
      <c r="AQ101" s="71"/>
      <c r="AR101" s="71"/>
      <c r="AS101" s="71"/>
      <c r="AT101" s="71"/>
      <c r="AU101" s="71"/>
      <c r="AV101" s="71"/>
      <c r="AW101" s="71"/>
      <c r="AX101" s="71"/>
      <c r="AY101" s="71"/>
      <c r="AZ101" s="71"/>
      <c r="BA101" s="71"/>
      <c r="BB101" s="71"/>
      <c r="BC101" s="71"/>
      <c r="BD101" s="71"/>
      <c r="BE101" s="71"/>
      <c r="BF101" s="71"/>
      <c r="BG101" s="71"/>
      <c r="BH101" s="71"/>
      <c r="BI101" s="71"/>
      <c r="BJ101" s="71"/>
    </row>
    <row r="102" spans="14:62" s="9" customFormat="1" ht="14.25" customHeight="1">
      <c r="N102" s="71"/>
      <c r="O102" s="87"/>
      <c r="P102" s="87"/>
      <c r="Q102" s="150" t="s">
        <v>531</v>
      </c>
      <c r="R102" s="312">
        <f t="shared" si="103"/>
        <v>0</v>
      </c>
      <c r="S102" s="153" t="str">
        <f>IF($C$12=2,(SUM(S98:S101)*$C$13)/100,"0")</f>
        <v>0</v>
      </c>
      <c r="T102" s="153" t="str">
        <f t="shared" ref="T102:Z102" si="107">IF($C$12=2,(SUM(T98:T101)*$C$13)/100,"0")</f>
        <v>0</v>
      </c>
      <c r="U102" s="153" t="str">
        <f t="shared" si="107"/>
        <v>0</v>
      </c>
      <c r="V102" s="153" t="str">
        <f t="shared" si="107"/>
        <v>0</v>
      </c>
      <c r="W102" s="153" t="str">
        <f t="shared" si="107"/>
        <v>0</v>
      </c>
      <c r="X102" s="300" t="str">
        <f t="shared" si="107"/>
        <v>0</v>
      </c>
      <c r="Y102" s="154" t="str">
        <f t="shared" si="107"/>
        <v>0</v>
      </c>
      <c r="Z102" s="153" t="str">
        <f t="shared" si="107"/>
        <v>0</v>
      </c>
      <c r="AA102" s="153" t="str">
        <f>IF($C$12=2,(SUM(AA98:AA101)*$C$13)/100,"0")</f>
        <v>0</v>
      </c>
      <c r="AB102" s="153" t="str">
        <f>IF($C$12=2,(SUM(AB98:AB101)*$C$13)/100,"0")</f>
        <v>0</v>
      </c>
      <c r="AC102" s="138">
        <f t="shared" si="104"/>
        <v>0</v>
      </c>
      <c r="AF102" s="71"/>
      <c r="AG102" s="71"/>
      <c r="AH102" s="71"/>
      <c r="AI102" s="71"/>
      <c r="AJ102" s="71"/>
      <c r="AK102" s="71"/>
      <c r="AL102" s="71"/>
      <c r="AM102" s="71"/>
      <c r="AN102" s="71"/>
      <c r="AO102" s="71"/>
      <c r="AP102" s="71"/>
      <c r="AQ102" s="71"/>
      <c r="AR102" s="71"/>
      <c r="AS102" s="71"/>
      <c r="AT102" s="71"/>
      <c r="AU102" s="71"/>
      <c r="AV102" s="71"/>
      <c r="AW102" s="71"/>
      <c r="AX102" s="71"/>
      <c r="AY102" s="71"/>
      <c r="AZ102" s="71"/>
      <c r="BA102" s="71"/>
      <c r="BB102" s="71"/>
      <c r="BC102" s="71"/>
      <c r="BD102" s="71"/>
      <c r="BE102" s="71"/>
      <c r="BF102" s="71"/>
      <c r="BG102" s="71"/>
      <c r="BH102" s="71"/>
      <c r="BI102" s="71"/>
      <c r="BJ102" s="71"/>
    </row>
    <row r="103" spans="14:62" s="9" customFormat="1" ht="14.25" customHeight="1">
      <c r="N103" s="71"/>
      <c r="O103" s="87"/>
      <c r="P103" s="87"/>
      <c r="Q103" s="149" t="s">
        <v>101</v>
      </c>
      <c r="R103" s="312">
        <f t="shared" si="103"/>
        <v>0</v>
      </c>
      <c r="S103" s="313">
        <f>+SUM(S98:S102)</f>
        <v>0</v>
      </c>
      <c r="T103" s="313">
        <f t="shared" ref="T103:Z103" si="108">+SUM(T98:T102)</f>
        <v>0</v>
      </c>
      <c r="U103" s="313">
        <f t="shared" si="108"/>
        <v>0</v>
      </c>
      <c r="V103" s="313">
        <f t="shared" si="108"/>
        <v>0</v>
      </c>
      <c r="W103" s="313">
        <f t="shared" si="108"/>
        <v>0</v>
      </c>
      <c r="X103" s="314">
        <f t="shared" si="108"/>
        <v>0</v>
      </c>
      <c r="Y103" s="296">
        <f t="shared" si="108"/>
        <v>0</v>
      </c>
      <c r="Z103" s="137">
        <f t="shared" si="108"/>
        <v>0</v>
      </c>
      <c r="AA103" s="137">
        <f>+SUM(AA98:AA102)</f>
        <v>0</v>
      </c>
      <c r="AB103" s="137">
        <f>+SUM(AB98:AB102)</f>
        <v>0</v>
      </c>
      <c r="AC103" s="138">
        <f t="shared" si="104"/>
        <v>0</v>
      </c>
      <c r="AD103" s="71"/>
      <c r="AE103" s="71"/>
      <c r="AF103" s="71"/>
      <c r="AG103" s="71"/>
      <c r="AH103" s="71"/>
      <c r="AI103" s="71"/>
      <c r="AJ103" s="71"/>
      <c r="AK103" s="71"/>
      <c r="AL103" s="71"/>
      <c r="AM103" s="71"/>
      <c r="AN103" s="71"/>
      <c r="AO103" s="71"/>
      <c r="AP103" s="71"/>
      <c r="AQ103" s="71"/>
      <c r="AR103" s="71"/>
      <c r="AS103" s="71"/>
      <c r="AT103" s="71"/>
      <c r="AU103" s="71"/>
      <c r="AV103" s="71"/>
      <c r="AW103" s="71"/>
      <c r="AX103" s="71"/>
      <c r="AY103" s="71"/>
      <c r="AZ103" s="71"/>
      <c r="BA103" s="71"/>
      <c r="BB103" s="71"/>
      <c r="BC103" s="71"/>
      <c r="BD103" s="71"/>
      <c r="BE103" s="71"/>
      <c r="BF103" s="71"/>
      <c r="BG103" s="71"/>
      <c r="BH103" s="71"/>
      <c r="BI103" s="71"/>
      <c r="BJ103" s="71"/>
    </row>
    <row r="104" spans="14:62" s="9" customFormat="1" ht="14.25" customHeight="1">
      <c r="N104" s="71"/>
      <c r="O104" s="87"/>
      <c r="P104" s="87"/>
      <c r="Q104" s="227"/>
      <c r="R104" s="228"/>
      <c r="S104" s="23"/>
      <c r="X104" s="228"/>
      <c r="AC104" s="228"/>
      <c r="AD104" s="71"/>
      <c r="AE104" s="71"/>
      <c r="AF104" s="71"/>
      <c r="AG104" s="71"/>
      <c r="AH104" s="71"/>
      <c r="AI104" s="71"/>
      <c r="AJ104" s="71"/>
      <c r="AK104" s="71"/>
      <c r="AL104" s="71"/>
      <c r="AM104" s="71"/>
      <c r="AN104" s="71"/>
      <c r="AO104" s="71"/>
      <c r="AP104" s="71"/>
      <c r="AQ104" s="71"/>
      <c r="AR104" s="71"/>
      <c r="AS104" s="71"/>
      <c r="AT104" s="71"/>
      <c r="AU104" s="71"/>
      <c r="AV104" s="71"/>
      <c r="AW104" s="71"/>
      <c r="AX104" s="71"/>
      <c r="AY104" s="71"/>
      <c r="AZ104" s="71"/>
      <c r="BA104" s="71"/>
      <c r="BB104" s="71"/>
      <c r="BC104" s="71"/>
      <c r="BD104" s="71"/>
      <c r="BE104" s="71"/>
      <c r="BF104" s="71"/>
      <c r="BG104" s="71"/>
      <c r="BH104" s="71"/>
      <c r="BI104" s="71"/>
      <c r="BJ104" s="71"/>
    </row>
    <row r="105" spans="14:62" s="9" customFormat="1" ht="14.25" customHeight="1">
      <c r="N105" s="71"/>
      <c r="O105" s="87"/>
      <c r="P105" s="87"/>
      <c r="Q105" s="130" t="s">
        <v>152</v>
      </c>
      <c r="R105" s="131"/>
      <c r="S105" s="230"/>
      <c r="T105" s="230"/>
      <c r="U105" s="230"/>
      <c r="V105" s="230"/>
      <c r="W105" s="230"/>
      <c r="X105" s="301"/>
      <c r="Y105" s="230"/>
      <c r="Z105" s="231"/>
      <c r="AA105" s="231"/>
      <c r="AB105" s="231"/>
      <c r="AC105" s="131"/>
      <c r="AD105" s="71"/>
      <c r="AE105" s="71"/>
      <c r="AF105" s="71"/>
      <c r="AG105" s="71"/>
      <c r="AH105" s="71"/>
      <c r="AI105" s="71"/>
      <c r="AJ105" s="71"/>
      <c r="AK105" s="71"/>
      <c r="AL105" s="71"/>
      <c r="AM105" s="71"/>
      <c r="AN105" s="71"/>
      <c r="AO105" s="71"/>
      <c r="AP105" s="71"/>
      <c r="AQ105" s="71"/>
      <c r="AR105" s="71"/>
      <c r="AS105" s="71"/>
      <c r="AT105" s="71"/>
      <c r="AU105" s="71"/>
      <c r="AV105" s="71"/>
      <c r="AW105" s="71"/>
      <c r="AX105" s="71"/>
      <c r="AY105" s="71"/>
      <c r="AZ105" s="71"/>
      <c r="BA105" s="71"/>
      <c r="BB105" s="71"/>
      <c r="BC105" s="71"/>
      <c r="BD105" s="71"/>
      <c r="BE105" s="71"/>
      <c r="BF105" s="71"/>
      <c r="BG105" s="71"/>
      <c r="BH105" s="71"/>
      <c r="BI105" s="71"/>
      <c r="BJ105" s="71"/>
    </row>
    <row r="106" spans="14:62" s="9" customFormat="1" ht="14.25" customHeight="1">
      <c r="N106" s="71"/>
      <c r="O106" s="87"/>
      <c r="P106" s="87"/>
      <c r="Q106" s="134"/>
      <c r="R106" s="133"/>
      <c r="S106" s="16"/>
      <c r="T106" s="16"/>
      <c r="U106" s="16"/>
      <c r="V106" s="16"/>
      <c r="W106" s="16"/>
      <c r="X106" s="302"/>
      <c r="Y106" s="16"/>
      <c r="Z106" s="16"/>
      <c r="AA106" s="16"/>
      <c r="AB106" s="16"/>
      <c r="AC106" s="133"/>
      <c r="AD106" s="71"/>
      <c r="AE106" s="71"/>
      <c r="AF106" s="71"/>
      <c r="AG106" s="71"/>
      <c r="AH106" s="71"/>
      <c r="AI106" s="71"/>
      <c r="AJ106" s="71"/>
      <c r="AK106" s="71"/>
      <c r="AL106" s="71"/>
      <c r="AM106" s="71"/>
      <c r="AN106" s="71"/>
      <c r="AO106" s="71"/>
      <c r="AP106" s="71"/>
      <c r="AQ106" s="71"/>
      <c r="AR106" s="71"/>
      <c r="AS106" s="71"/>
      <c r="AT106" s="71"/>
      <c r="AU106" s="71"/>
      <c r="AV106" s="71"/>
      <c r="AW106" s="71"/>
      <c r="AX106" s="71"/>
      <c r="AY106" s="71"/>
      <c r="AZ106" s="71"/>
      <c r="BA106" s="71"/>
      <c r="BB106" s="71"/>
      <c r="BC106" s="71"/>
      <c r="BD106" s="71"/>
      <c r="BE106" s="71"/>
      <c r="BF106" s="71"/>
      <c r="BG106" s="71"/>
      <c r="BH106" s="71"/>
      <c r="BI106" s="71"/>
      <c r="BJ106" s="71"/>
    </row>
    <row r="107" spans="14:62" s="9" customFormat="1" ht="14.25" customHeight="1">
      <c r="N107" s="71"/>
      <c r="O107" s="87"/>
      <c r="P107" s="87"/>
      <c r="Q107" s="152" t="s">
        <v>22</v>
      </c>
      <c r="R107" s="124" t="s">
        <v>34</v>
      </c>
      <c r="S107" s="45">
        <f>+S93</f>
        <v>2026</v>
      </c>
      <c r="T107" s="8">
        <f t="shared" ref="T107:Z107" si="109">+T93</f>
        <v>2027</v>
      </c>
      <c r="U107" s="8">
        <f t="shared" si="109"/>
        <v>2028</v>
      </c>
      <c r="V107" s="8">
        <f t="shared" si="109"/>
        <v>2029</v>
      </c>
      <c r="W107" s="8">
        <f t="shared" si="109"/>
        <v>2030</v>
      </c>
      <c r="X107" s="124">
        <f t="shared" si="109"/>
        <v>2031</v>
      </c>
      <c r="Y107" s="8">
        <f t="shared" si="109"/>
        <v>2032</v>
      </c>
      <c r="Z107" s="8">
        <f t="shared" si="109"/>
        <v>2033</v>
      </c>
      <c r="AA107" s="8">
        <f>+AA93</f>
        <v>2034</v>
      </c>
      <c r="AB107" s="8">
        <f>+AB93</f>
        <v>2035</v>
      </c>
      <c r="AC107" s="124" t="s">
        <v>34</v>
      </c>
      <c r="AD107" s="71"/>
      <c r="AE107" s="71"/>
      <c r="AF107" s="71"/>
      <c r="AG107" s="71"/>
      <c r="AH107" s="71"/>
      <c r="AI107" s="71"/>
      <c r="AJ107" s="71"/>
      <c r="AK107" s="71"/>
      <c r="AL107" s="71"/>
      <c r="AM107" s="71"/>
      <c r="AN107" s="71"/>
      <c r="AO107" s="71"/>
      <c r="AP107" s="71"/>
      <c r="AQ107" s="71"/>
      <c r="AR107" s="71"/>
      <c r="AS107" s="71"/>
      <c r="AT107" s="71"/>
      <c r="AU107" s="71"/>
      <c r="AV107" s="71"/>
      <c r="AW107" s="71"/>
      <c r="AX107" s="71"/>
      <c r="AY107" s="71"/>
      <c r="AZ107" s="71"/>
      <c r="BA107" s="71"/>
      <c r="BB107" s="71"/>
      <c r="BC107" s="71"/>
      <c r="BD107" s="71"/>
      <c r="BE107" s="71"/>
      <c r="BF107" s="71"/>
      <c r="BG107" s="71"/>
      <c r="BH107" s="71"/>
      <c r="BI107" s="71"/>
      <c r="BJ107" s="71"/>
    </row>
    <row r="108" spans="14:62" s="9" customFormat="1" ht="14.25" customHeight="1">
      <c r="N108" s="71"/>
      <c r="O108" s="87"/>
      <c r="P108" s="87"/>
      <c r="Q108" s="147" t="s">
        <v>74</v>
      </c>
      <c r="R108" s="315">
        <f t="shared" ref="R108:R117" si="110">+AC108</f>
        <v>0</v>
      </c>
      <c r="S108" s="316">
        <f>+SUMIF($O$20:$O$39,Lister!$D$30,S$20:S$39)</f>
        <v>0</v>
      </c>
      <c r="T108" s="316">
        <f>+SUMIF($O$20:$O$39,Lister!$D$30,T$20:T$39)</f>
        <v>0</v>
      </c>
      <c r="U108" s="316">
        <f>+SUMIF($O$20:$O$39,Lister!$D$30,U$20:U$39)</f>
        <v>0</v>
      </c>
      <c r="V108" s="316">
        <f>+SUMIF($O$20:$O$39,Lister!$D$30,V$20:V$39)</f>
        <v>0</v>
      </c>
      <c r="W108" s="316">
        <f>+SUMIF($O$20:$O$39,Lister!$D$30,W$20:W$39)</f>
        <v>0</v>
      </c>
      <c r="X108" s="316">
        <f>+SUMIF($O$20:$O$39,Lister!$D$30,X$20:X$39)</f>
        <v>0</v>
      </c>
      <c r="Y108" s="316">
        <f>+SUMIF($O$20:$O$39,Lister!$D$30,Y$20:Y$39)</f>
        <v>0</v>
      </c>
      <c r="Z108" s="316">
        <f>+SUMIF($O$20:$O$39,Lister!$D$30,Z$20:Z$39)</f>
        <v>0</v>
      </c>
      <c r="AA108" s="316">
        <f>+SUMIF($O$20:$O$39,Lister!$D$30,AA$20:AA$39)</f>
        <v>0</v>
      </c>
      <c r="AB108" s="316">
        <f>+SUMIF($O$20:$O$39,Lister!$D$30,AB$20:AB$39)</f>
        <v>0</v>
      </c>
      <c r="AC108" s="140">
        <f>SUM(S108:AB108)</f>
        <v>0</v>
      </c>
      <c r="AD108" s="71"/>
      <c r="AE108" s="71"/>
      <c r="AF108" s="71"/>
      <c r="AG108" s="71"/>
      <c r="AH108" s="71"/>
      <c r="AI108" s="71"/>
      <c r="AJ108" s="71"/>
      <c r="AK108" s="71"/>
      <c r="AL108" s="71"/>
      <c r="AM108" s="71"/>
      <c r="AN108" s="71"/>
      <c r="AO108" s="71"/>
      <c r="AP108" s="71"/>
      <c r="AQ108" s="71"/>
      <c r="AR108" s="71"/>
      <c r="AS108" s="71"/>
      <c r="AT108" s="71"/>
      <c r="AU108" s="71"/>
      <c r="AV108" s="71"/>
      <c r="AW108" s="71"/>
      <c r="AX108" s="71"/>
      <c r="AY108" s="71"/>
      <c r="AZ108" s="71"/>
      <c r="BA108" s="71"/>
      <c r="BB108" s="71"/>
      <c r="BC108" s="71"/>
      <c r="BD108" s="71"/>
      <c r="BE108" s="71"/>
      <c r="BF108" s="71"/>
      <c r="BG108" s="71"/>
      <c r="BH108" s="71"/>
      <c r="BI108" s="71"/>
      <c r="BJ108" s="71"/>
    </row>
    <row r="109" spans="14:62" s="9" customFormat="1" ht="14.25" customHeight="1">
      <c r="N109" s="71"/>
      <c r="O109" s="87"/>
      <c r="P109" s="87"/>
      <c r="Q109" s="148" t="s">
        <v>75</v>
      </c>
      <c r="R109" s="309">
        <f t="shared" si="110"/>
        <v>0</v>
      </c>
      <c r="S109" s="310">
        <f>+SUMIF($O$43:$O$55,Lister!$D$30,S$43:S$55)</f>
        <v>0</v>
      </c>
      <c r="T109" s="319">
        <f>+SUMIF($O$43:$O$55,Lister!$D$30,T$43:T$55)</f>
        <v>0</v>
      </c>
      <c r="U109" s="310">
        <f>+SUMIF($O$43:$O$55,Lister!$D$30,U$43:U$55)</f>
        <v>0</v>
      </c>
      <c r="V109" s="319">
        <f>+SUMIF($O$43:$O$55,Lister!$D$30,V$43:V$55)</f>
        <v>0</v>
      </c>
      <c r="W109" s="310">
        <f>+SUMIF($O$43:$O$55,Lister!$D$30,W$43:W$55)</f>
        <v>0</v>
      </c>
      <c r="X109" s="320">
        <f>+SUMIF($O$43:$O$55,Lister!$D$30,X$43:X$55)</f>
        <v>0</v>
      </c>
      <c r="Y109" s="295">
        <f>+SUMIF($O$43:$O$55,Lister!$D$30,Y$43:Y$55)</f>
        <v>0</v>
      </c>
      <c r="Z109" s="113">
        <f>+SUMIF($O$43:$O$55,Lister!$D$30,Z$43:Z$55)</f>
        <v>0</v>
      </c>
      <c r="AA109" s="113">
        <f>+SUMIF($O$43:$O$55,Lister!$D$30,AA$43:AA$55)</f>
        <v>0</v>
      </c>
      <c r="AB109" s="113">
        <f>+SUMIF($O$43:$O$55,Lister!$D$30,AB$43:AB$55)</f>
        <v>0</v>
      </c>
      <c r="AC109" s="141">
        <f t="shared" ref="AC109:AC117" si="111">SUM(S109:AB109)</f>
        <v>0</v>
      </c>
      <c r="AD109" s="71"/>
      <c r="AE109" s="71"/>
      <c r="AF109" s="71"/>
      <c r="AG109" s="71"/>
      <c r="AH109" s="71"/>
      <c r="AI109" s="71"/>
      <c r="AJ109" s="71"/>
      <c r="AK109" s="71"/>
      <c r="AL109" s="71"/>
      <c r="AM109" s="71"/>
      <c r="AN109" s="71"/>
      <c r="AO109" s="71"/>
      <c r="AP109" s="71"/>
      <c r="AQ109" s="71"/>
      <c r="AR109" s="71"/>
      <c r="AS109" s="71"/>
      <c r="AT109" s="71"/>
      <c r="AU109" s="71"/>
      <c r="AV109" s="71"/>
      <c r="AW109" s="71"/>
      <c r="AX109" s="71"/>
      <c r="AY109" s="71"/>
      <c r="AZ109" s="71"/>
      <c r="BA109" s="71"/>
      <c r="BB109" s="71"/>
      <c r="BC109" s="71"/>
      <c r="BD109" s="71"/>
      <c r="BE109" s="71"/>
      <c r="BF109" s="71"/>
      <c r="BG109" s="71"/>
      <c r="BH109" s="71"/>
      <c r="BI109" s="71"/>
      <c r="BJ109" s="71"/>
    </row>
    <row r="110" spans="14:62" s="9" customFormat="1" ht="14.25" customHeight="1">
      <c r="N110" s="71"/>
      <c r="O110" s="87"/>
      <c r="P110" s="87"/>
      <c r="Q110" s="149" t="s">
        <v>76</v>
      </c>
      <c r="R110" s="312">
        <f t="shared" si="110"/>
        <v>0</v>
      </c>
      <c r="S110" s="313">
        <f>+SUM(S108:S109)</f>
        <v>0</v>
      </c>
      <c r="T110" s="313">
        <f t="shared" ref="T110:Z110" si="112">+SUM(T108:T109)</f>
        <v>0</v>
      </c>
      <c r="U110" s="313">
        <f t="shared" si="112"/>
        <v>0</v>
      </c>
      <c r="V110" s="313">
        <f t="shared" si="112"/>
        <v>0</v>
      </c>
      <c r="W110" s="313">
        <f t="shared" si="112"/>
        <v>0</v>
      </c>
      <c r="X110" s="314">
        <f t="shared" si="112"/>
        <v>0</v>
      </c>
      <c r="Y110" s="142">
        <f t="shared" si="112"/>
        <v>0</v>
      </c>
      <c r="Z110" s="137">
        <f t="shared" si="112"/>
        <v>0</v>
      </c>
      <c r="AA110" s="137">
        <f>+SUM(AA108:AA109)</f>
        <v>0</v>
      </c>
      <c r="AB110" s="137">
        <f>+SUM(AB108:AB109)</f>
        <v>0</v>
      </c>
      <c r="AC110" s="138">
        <f t="shared" si="111"/>
        <v>0</v>
      </c>
      <c r="AD110" s="71"/>
      <c r="AE110" s="71"/>
      <c r="AF110" s="71"/>
      <c r="AG110" s="71"/>
      <c r="AH110" s="71"/>
      <c r="AI110" s="71"/>
      <c r="AJ110" s="71"/>
      <c r="AK110" s="71"/>
      <c r="AL110" s="71"/>
      <c r="AM110" s="71"/>
      <c r="AN110" s="71"/>
      <c r="AO110" s="71"/>
      <c r="AP110" s="71"/>
      <c r="AQ110" s="71"/>
      <c r="AR110" s="71"/>
      <c r="AS110" s="71"/>
      <c r="AT110" s="71"/>
      <c r="AU110" s="71"/>
      <c r="AV110" s="71"/>
      <c r="AW110" s="71"/>
      <c r="AX110" s="71"/>
      <c r="AY110" s="71"/>
      <c r="AZ110" s="71"/>
      <c r="BA110" s="71"/>
      <c r="BB110" s="71"/>
      <c r="BC110" s="71"/>
      <c r="BD110" s="71"/>
      <c r="BE110" s="71"/>
      <c r="BF110" s="71"/>
      <c r="BG110" s="71"/>
      <c r="BH110" s="71"/>
      <c r="BI110" s="71"/>
      <c r="BJ110" s="71"/>
    </row>
    <row r="111" spans="14:62" s="9" customFormat="1" ht="14.25" customHeight="1">
      <c r="N111" s="71"/>
      <c r="O111" s="87"/>
      <c r="P111" s="87"/>
      <c r="Q111" s="149" t="s">
        <v>77</v>
      </c>
      <c r="R111" s="312">
        <f t="shared" si="110"/>
        <v>0</v>
      </c>
      <c r="S111" s="313">
        <f>+SUMIF($O$62:$O$74,Lister!$D$30,C$62:C$74)</f>
        <v>0</v>
      </c>
      <c r="T111" s="325">
        <f>+SUMIF($O$62:$O$74,Lister!$D$30,D$62:D$74)</f>
        <v>0</v>
      </c>
      <c r="U111" s="325">
        <f>+SUMIF($O$62:$O$74,Lister!$D$30,E$62:E$74)</f>
        <v>0</v>
      </c>
      <c r="V111" s="325">
        <f>+SUMIF($O$62:$O$74,Lister!$D$30,F$62:F$74)</f>
        <v>0</v>
      </c>
      <c r="W111" s="325">
        <f>+SUMIF($O$62:$O$74,Lister!$D$30,G$62:G$74)</f>
        <v>0</v>
      </c>
      <c r="X111" s="326">
        <f>+SUMIF($O$62:$O$74,Lister!$D$30,H$62:H$74)</f>
        <v>0</v>
      </c>
      <c r="Y111" s="207">
        <f>+SUMIF($O$62:$O$74,Lister!$D$30,I$62:I$74)</f>
        <v>0</v>
      </c>
      <c r="Z111" s="206">
        <f>+SUMIF($O$62:$O$74,Lister!$D$30,J$62:J$74)</f>
        <v>0</v>
      </c>
      <c r="AA111" s="206">
        <f>+SUMIF($O$62:$O$74,Lister!$D$30,K$62:K$74)</f>
        <v>0</v>
      </c>
      <c r="AB111" s="206">
        <f>+SUMIF($O$62:$O$74,Lister!$D$30,L$62:L$74)</f>
        <v>0</v>
      </c>
      <c r="AC111" s="138">
        <f t="shared" si="111"/>
        <v>0</v>
      </c>
      <c r="AD111" s="71"/>
      <c r="AE111" s="71"/>
      <c r="AF111" s="71"/>
      <c r="AG111" s="71"/>
      <c r="AH111" s="71"/>
      <c r="AI111" s="71"/>
      <c r="AJ111" s="71"/>
      <c r="AK111" s="71"/>
      <c r="AL111" s="71"/>
      <c r="AM111" s="71"/>
      <c r="AN111" s="71"/>
      <c r="AO111" s="71"/>
      <c r="AP111" s="71"/>
      <c r="AQ111" s="71"/>
      <c r="AR111" s="71"/>
      <c r="AS111" s="71"/>
      <c r="AT111" s="71"/>
      <c r="AU111" s="71"/>
      <c r="AV111" s="71"/>
      <c r="AW111" s="71"/>
      <c r="AX111" s="71"/>
      <c r="AY111" s="71"/>
      <c r="AZ111" s="71"/>
      <c r="BA111" s="71"/>
      <c r="BB111" s="71"/>
      <c r="BC111" s="71"/>
      <c r="BD111" s="71"/>
      <c r="BE111" s="71"/>
      <c r="BF111" s="71"/>
      <c r="BG111" s="71"/>
      <c r="BH111" s="71"/>
      <c r="BI111" s="71"/>
      <c r="BJ111" s="71"/>
    </row>
    <row r="112" spans="14:62" s="9" customFormat="1" ht="14.25" customHeight="1">
      <c r="N112" s="70"/>
      <c r="O112" s="85"/>
      <c r="P112" s="85"/>
      <c r="Q112" s="149" t="s">
        <v>78</v>
      </c>
      <c r="R112" s="312">
        <f t="shared" si="110"/>
        <v>0</v>
      </c>
      <c r="S112" s="313">
        <f>+S111+S110</f>
        <v>0</v>
      </c>
      <c r="T112" s="313">
        <f t="shared" ref="T112:Z112" si="113">+T111+T110</f>
        <v>0</v>
      </c>
      <c r="U112" s="313">
        <f t="shared" si="113"/>
        <v>0</v>
      </c>
      <c r="V112" s="313">
        <f t="shared" si="113"/>
        <v>0</v>
      </c>
      <c r="W112" s="313">
        <f t="shared" si="113"/>
        <v>0</v>
      </c>
      <c r="X112" s="314">
        <f t="shared" si="113"/>
        <v>0</v>
      </c>
      <c r="Y112" s="142">
        <f t="shared" si="113"/>
        <v>0</v>
      </c>
      <c r="Z112" s="137">
        <f t="shared" si="113"/>
        <v>0</v>
      </c>
      <c r="AA112" s="137">
        <f>+AA111+AA110</f>
        <v>0</v>
      </c>
      <c r="AB112" s="137">
        <f>+AB111+AB110</f>
        <v>0</v>
      </c>
      <c r="AC112" s="138">
        <f t="shared" si="111"/>
        <v>0</v>
      </c>
      <c r="AD112" s="71"/>
      <c r="AE112" s="71"/>
      <c r="AF112" s="71"/>
      <c r="AG112" s="71"/>
      <c r="AH112" s="71"/>
      <c r="AI112" s="70"/>
      <c r="AJ112" s="70"/>
      <c r="AK112" s="70"/>
      <c r="AL112" s="70"/>
      <c r="AM112" s="70"/>
      <c r="AN112" s="70"/>
      <c r="AO112" s="70"/>
      <c r="AP112" s="70"/>
      <c r="AQ112" s="70"/>
      <c r="AR112" s="70"/>
      <c r="AS112" s="70"/>
      <c r="AT112" s="70"/>
      <c r="AU112" s="70"/>
      <c r="AV112" s="70"/>
      <c r="AW112" s="70"/>
      <c r="AX112" s="70"/>
      <c r="AY112" s="70"/>
      <c r="AZ112" s="70"/>
      <c r="BA112" s="70"/>
      <c r="BB112" s="70"/>
      <c r="BC112" s="70"/>
      <c r="BD112" s="70"/>
      <c r="BE112" s="70"/>
      <c r="BF112" s="70"/>
      <c r="BG112" s="70"/>
      <c r="BH112" s="70"/>
      <c r="BI112" s="70"/>
      <c r="BJ112" s="70"/>
    </row>
    <row r="113" spans="1:62" s="9" customFormat="1" ht="14.25" customHeight="1">
      <c r="N113" s="79"/>
      <c r="O113" s="90"/>
      <c r="P113" s="90"/>
      <c r="Q113" s="150" t="s">
        <v>0</v>
      </c>
      <c r="R113" s="312">
        <f t="shared" si="110"/>
        <v>0</v>
      </c>
      <c r="S113" s="153">
        <f>IF($C$12=2,S110*$C$6/100,
IF($G$6=Lister!$D$4,S110*$C$6/100,
IF($G$6=Lister!$D$5,S112*$C$6/100,
IF($G$6=Lister!$D$6,(S112-SUMIFS(C62:C74,$O$62:$O$74,Lister!$D$30,$A$62:$A$74,Lister!$M$10))*$C$6/100,
IF($G$6=Lister!$D$7,(S112-SUMIFS(C62:C74,$O$62:$O$74,Lister!$D$30,$A$62:$A$74,Lister!$M$10)-SUMIFS(C62:C74,$O$62:$O$74,Lister!$D$30,$A$62:$A$74,Lister!$M$7))*$C$6/100,
IF($G$6=Lister!$D$8,(S112+S114)*$C$6/100,
IF($G$6=Lister!$D$9,S111*$C$6/100,0)))))))</f>
        <v>0</v>
      </c>
      <c r="T113" s="321">
        <f>IF($C$12=2,T110*$C$6/100,
IF($G$6=Lister!$D$4,T110*$C$6/100,
IF($G$6=Lister!$D$5,T112*$C$6/100,
IF($G$6=Lister!$D$6,(T112-SUMIFS(D62:D74,$O$62:$O$74,Lister!$D$30,$A$62:$A$74,Lister!$M$10))*$C$6/100,
IF($G$6=Lister!$D$7,(T112-SUMIFS(D62:D74,$O$62:$O$74,Lister!$D$30,$A$62:$A$74,Lister!$M$10)-SUMIFS(D62:D74,$O$62:$O$74,Lister!$D$30,$A$62:$A$74,Lister!$M$7))*$C$6/100,
IF($G$6=Lister!$D$8,(T112+T114)*$C$6/100,
IF($G$6=Lister!$D$9,T111*$C$6/100,0)))))))</f>
        <v>0</v>
      </c>
      <c r="U113" s="321">
        <f>IF($C$12=2,U110*$C$6/100,
IF($G$6=Lister!$D$4,U110*$C$6/100,
IF($G$6=Lister!$D$5,U112*$C$6/100,
IF($G$6=Lister!$D$6,(U112-SUMIFS(E62:E74,$O$62:$O$74,Lister!$D$30,$A$62:$A$74,Lister!$M$10))*$C$6/100,
IF($G$6=Lister!$D$7,(U112-SUMIFS(E62:E74,$O$62:$O$74,Lister!$D$30,$A$62:$A$74,Lister!$M$10)-SUMIFS(E62:E74,$O$62:$O$74,Lister!$D$30,$A$62:$A$74,Lister!$M$7))*$C$6/100,
IF($G$6=Lister!$D$8,(U112+U114)*$C$6/100,
IF($G$6=Lister!$D$9,U111*$C$6/100,0)))))))</f>
        <v>0</v>
      </c>
      <c r="V113" s="321">
        <f>IF($C$12=2,V110*$C$6/100,
IF($G$6=Lister!$D$4,V110*$C$6/100,
IF($G$6=Lister!$D$5,V112*$C$6/100,
IF($G$6=Lister!$D$6,(V112-SUMIFS(F62:F74,$O$62:$O$74,Lister!$D$30,$A$62:$A$74,Lister!$M$10))*$C$6/100,
IF($G$6=Lister!$D$7,(V112-SUMIFS(F62:F74,$O$62:$O$74,Lister!$D$30,$A$62:$A$74,Lister!$M$10)-SUMIFS(F62:F74,$O$62:$O$74,Lister!$D$30,$A$62:$A$74,Lister!$M$7))*$C$6/100,
IF($G$6=Lister!$D$8,(V112+V114)*$C$6/100,
IF($G$6=Lister!$D$9,V111*$C$6/100,0)))))))</f>
        <v>0</v>
      </c>
      <c r="W113" s="321">
        <f>IF($C$12=2,W110*$C$6/100,
IF($G$6=Lister!$D$4,W110*$C$6/100,
IF($G$6=Lister!$D$5,W112*$C$6/100,
IF($G$6=Lister!$D$6,(W112-SUMIFS(G62:G74,$O$62:$O$74,Lister!$D$30,$A$62:$A$74,Lister!$M$10))*$C$6/100,
IF($G$6=Lister!$D$7,(W112-SUMIFS(G62:G74,$O$62:$O$74,Lister!$D$30,$A$62:$A$74,Lister!$M$10)-SUMIFS(G62:G74,$O$62:$O$74,Lister!$D$30,$A$62:$A$74,Lister!$M$7))*$C$6/100,
IF($G$6=Lister!$D$8,(W112+W114)*$C$6/100,
IF($G$6=Lister!$D$9,W111*$C$6/100,0)))))))</f>
        <v>0</v>
      </c>
      <c r="X113" s="322">
        <f>IF($C$12=2,X110*$C$6/100,
IF($G$6=Lister!$D$4,X110*$C$6/100,
IF($G$6=Lister!$D$5,X112*$C$6/100,
IF($G$6=Lister!$D$6,(X112-SUMIFS(H62:H74,$O$62:$O$74,Lister!$D$30,$A$62:$A$74,Lister!$M$10))*$C$6/100,
IF($G$6=Lister!$D$7,(X112-SUMIFS(H62:H74,$O$62:$O$74,Lister!$D$30,$A$62:$A$74,Lister!$M$10)-SUMIFS(H62:H74,$O$62:$O$74,Lister!$D$30,$A$62:$A$74,Lister!$M$7))*$C$6/100,
IF($G$6=Lister!$D$8,(X112+X114)*$C$6/100,
IF($G$6=Lister!$D$9,X111*$C$6/100,0)))))))</f>
        <v>0</v>
      </c>
      <c r="Y113" s="203">
        <f>IF($C$12=2,Y110*$C$6/100,
IF($G$6=Lister!$D$4,Y110*$C$6/100,
IF($G$6=Lister!$D$5,Y112*$C$6/100,
IF($G$6=Lister!$D$6,(Y112-SUMIFS(I62:I74,$O$62:$O$74,Lister!$D$30,$A$62:$A$74,Lister!$M$10))*$C$6/100,
IF($G$6=Lister!$D$7,(Y112-SUMIFS(I62:I74,$O$62:$O$74,Lister!$D$30,$A$62:$A$74,Lister!$M$10)-SUMIFS(I62:I74,$O$62:$O$74,Lister!$D$30,$A$62:$A$74,Lister!$M$7))*$C$6/100,
IF($G$6=Lister!$D$8,(Y112+Y114)*$C$6/100,
IF($G$6=Lister!$D$9,Y111*$C$6/100,0)))))))</f>
        <v>0</v>
      </c>
      <c r="Z113" s="202">
        <f>IF($C$12=2,Z110*$C$6/100,
IF($G$6=Lister!$D$4,Z110*$C$6/100,
IF($G$6=Lister!$D$5,Z112*$C$6/100,
IF($G$6=Lister!$D$6,(Z112-SUMIFS(J62:J74,$O$62:$O$74,Lister!$D$30,$A$62:$A$74,Lister!$M$10))*$C$6/100,
IF($G$6=Lister!$D$7,(Z112-SUMIFS(J62:J74,$O$62:$O$74,Lister!$D$30,$A$62:$A$74,Lister!$M$10)-SUMIFS(J62:J74,$O$62:$O$74,Lister!$D$30,$A$62:$A$74,Lister!$M$7))*$C$6/100,
IF($G$6=Lister!$D$8,(Z112+Z114)*$C$6/100,
IF($G$6=Lister!$D$9,Z111*$C$6/100,0)))))))</f>
        <v>0</v>
      </c>
      <c r="AA113" s="202">
        <f>IF($C$12=2,AA110*$C$6/100,
IF($G$6=Lister!$D$4,AA110*$C$6/100,
IF($G$6=Lister!$D$5,AA112*$C$6/100,
IF($G$6=Lister!$D$6,(AA112-SUMIFS(K62:K74,$O$62:$O$74,Lister!$D$30,$A$62:$A$74,Lister!$M$10))*$C$6/100,
IF($G$6=Lister!$D$7,(AA112-SUMIFS(K62:K74,$O$62:$O$74,Lister!$D$30,$A$62:$A$74,Lister!$M$10)-SUMIFS(K62:K74,$O$62:$O$74,Lister!$D$30,$A$62:$A$74,Lister!$M$7))*$C$6/100,
IF($G$6=Lister!$D$8,(AA112+AA114)*$C$6/100,
IF($G$6=Lister!$D$9,AA111*$C$6/100,0)))))))</f>
        <v>0</v>
      </c>
      <c r="AB113" s="202">
        <f>IF($C$12=2,AB110*$C$6/100,
IF($G$6=Lister!$D$4,AB110*$C$6/100,
IF($G$6=Lister!$D$5,AB112*$C$6/100,
IF($G$6=Lister!$D$6,(AB112-SUMIFS(L62:L74,$O$62:$O$74,Lister!$D$30,$A$62:$A$74,Lister!$M$10))*$C$6/100,
IF($G$6=Lister!$D$7,(AB112-SUMIFS(L62:L74,$O$62:$O$74,Lister!$D$30,$A$62:$A$74,Lister!$M$10)-SUMIFS(L62:L74,$O$62:$O$74,Lister!$D$30,$A$62:$A$74,Lister!$M$7))*$C$6/100,
IF($G$6=Lister!$D$8,(AB112+AB114)*$C$6/100,
IF($G$6=Lister!$D$9,AB111*$C$6/100,0)))))))</f>
        <v>0</v>
      </c>
      <c r="AC113" s="138">
        <f t="shared" si="111"/>
        <v>0</v>
      </c>
      <c r="AD113" s="71"/>
      <c r="AE113" s="71"/>
      <c r="AF113" s="71"/>
      <c r="AG113" s="71"/>
      <c r="AH113" s="71"/>
      <c r="AI113" s="79"/>
      <c r="AJ113" s="79"/>
      <c r="AK113" s="79"/>
      <c r="AL113" s="79"/>
      <c r="AM113" s="79"/>
      <c r="AN113" s="79"/>
      <c r="AO113" s="79"/>
      <c r="AP113" s="79"/>
      <c r="AQ113" s="79"/>
      <c r="AR113" s="79"/>
      <c r="AS113" s="79"/>
      <c r="AT113" s="79"/>
      <c r="AU113" s="79"/>
      <c r="AV113" s="79"/>
      <c r="AW113" s="79"/>
      <c r="AX113" s="79"/>
      <c r="AY113" s="79"/>
      <c r="AZ113" s="79"/>
      <c r="BA113" s="79"/>
      <c r="BB113" s="79"/>
      <c r="BC113" s="79"/>
      <c r="BD113" s="79"/>
      <c r="BE113" s="79"/>
      <c r="BF113" s="79"/>
      <c r="BG113" s="79"/>
      <c r="BH113" s="79"/>
      <c r="BI113" s="79"/>
      <c r="BJ113" s="79"/>
    </row>
    <row r="114" spans="1:62" s="9" customFormat="1" ht="14.25" customHeight="1">
      <c r="N114" s="71"/>
      <c r="O114" s="87"/>
      <c r="P114" s="87"/>
      <c r="Q114" s="151" t="s">
        <v>103</v>
      </c>
      <c r="R114" s="312">
        <f t="shared" si="110"/>
        <v>0</v>
      </c>
      <c r="S114" s="153">
        <f>+IF($C$8=Lister!$O$5,(SUMIF($O$20:$O$29,Lister!$D$30,C20:C29))*Takstblad!C$84,0)</f>
        <v>0</v>
      </c>
      <c r="T114" s="153">
        <f>+IF($C$8=Lister!$O$5,(SUMIF($O$20:$O$29,Lister!$D$30,D20:D29))*Takstblad!D$84,0)</f>
        <v>0</v>
      </c>
      <c r="U114" s="153">
        <f>+IF($C$8=Lister!$O$5,(SUMIF($O$20:$O$29,Lister!$D$30,E20:E29))*Takstblad!E$84,0)</f>
        <v>0</v>
      </c>
      <c r="V114" s="153">
        <f>+IF($C$8=Lister!$O$5,(SUMIF($O$20:$O$29,Lister!$D$30,F20:F29))*Takstblad!F$84,0)</f>
        <v>0</v>
      </c>
      <c r="W114" s="153">
        <f>+IF($C$8=Lister!$O$5,(SUMIF($O$20:$O$29,Lister!$D$30,G20:G29))*Takstblad!G$84,0)</f>
        <v>0</v>
      </c>
      <c r="X114" s="300">
        <f>+IF($C$8=Lister!$O$5,(SUMIF($O$20:$O$29,Lister!$D$30,H20:H29))*Takstblad!H$84,0)</f>
        <v>0</v>
      </c>
      <c r="Y114" s="297">
        <f>+IF($C$8=Lister!$O$5,(SUMIF($O$20:$O$29,Lister!$D$30,I20:I29))*Takstblad!I$84,0)</f>
        <v>0</v>
      </c>
      <c r="Z114" s="21">
        <f>+IF($C$8=Lister!$O$5,(SUMIF($O$20:$O$29,Lister!$D$30,J20:J29))*Takstblad!J$84,0)</f>
        <v>0</v>
      </c>
      <c r="AA114" s="21">
        <f>+IF($C$8=Lister!$O$5,(SUMIF($O$20:$O$29,Lister!$D$30,K20:K29))*Takstblad!K$84,0)</f>
        <v>0</v>
      </c>
      <c r="AB114" s="21">
        <f>+IF($C$8=Lister!$O$5,(SUMIF($O$20:$O$29,Lister!$D$30,L20:L29))*Takstblad!L$84,0)</f>
        <v>0</v>
      </c>
      <c r="AC114" s="138">
        <f t="shared" si="111"/>
        <v>0</v>
      </c>
      <c r="AD114" s="71"/>
      <c r="AE114" s="70"/>
      <c r="AF114" s="70"/>
      <c r="AG114" s="70"/>
      <c r="AH114" s="70"/>
      <c r="AI114" s="71"/>
      <c r="AJ114" s="71"/>
      <c r="AK114" s="71"/>
      <c r="AL114" s="71"/>
      <c r="AM114" s="71"/>
      <c r="AN114" s="71"/>
      <c r="AO114" s="71"/>
      <c r="AP114" s="71"/>
      <c r="AQ114" s="71"/>
      <c r="AR114" s="71"/>
      <c r="AS114" s="71"/>
      <c r="AT114" s="71"/>
      <c r="AU114" s="71"/>
      <c r="AV114" s="71"/>
      <c r="AW114" s="71"/>
      <c r="AX114" s="71"/>
      <c r="AY114" s="71"/>
      <c r="AZ114" s="71"/>
      <c r="BA114" s="71"/>
      <c r="BB114" s="71"/>
      <c r="BC114" s="71"/>
      <c r="BD114" s="71"/>
      <c r="BE114" s="71"/>
      <c r="BF114" s="71"/>
      <c r="BG114" s="71"/>
      <c r="BH114" s="71"/>
      <c r="BI114" s="71"/>
      <c r="BJ114" s="71"/>
    </row>
    <row r="115" spans="1:62" s="9" customFormat="1" ht="14.25" customHeight="1">
      <c r="N115" s="71"/>
      <c r="O115" s="87"/>
      <c r="P115" s="87"/>
      <c r="Q115" s="151" t="s">
        <v>108</v>
      </c>
      <c r="R115" s="312">
        <f t="shared" si="110"/>
        <v>0</v>
      </c>
      <c r="S115" s="153">
        <f>+IF($C$8="Project-Supplement",((
SUMIFS(C20:C39,$O$20:$O$39,Lister!$D$30,$A$20:$A$39,Lister!$A$21)
+SUMIFS(C20:C39,$O$20:$O$39,Lister!$D$30,$A$20:$A$39,Lister!$A$31)
+SUMIFS(C20:C39,$O$20:$O$39,Lister!$D$30,$A$20:$A$39,Lister!$A$32)
+SUMIFS(C20:C39,$O$20:$O$39,Lister!$D$30,$A$20:$A$39,Lister!$A$22)
+SUMIFS(C20:C39,$O$20:$O$39,Lister!$D$30,$A$20:$A$39,Lister!$A$23)
+SUMIFS(C20:C39,$O$20:$O$39,Lister!$D$30,$A$20:$A$39,Lister!$A$20)
+SUMIFS(C20:C39,$O$20:$O$39,Lister!$D$30,$A$20:$A$39,Lister!$A$33)
+SUMIFS(C20:C39,$O$20:$O$39,Lister!$D$30,$A$20:$A$39,Lister!$A$34))
/12)*Takstblad!C$85,0)</f>
        <v>0</v>
      </c>
      <c r="T115" s="153">
        <f>+IF($C$8="Project-Supplement",((
SUMIFS(D20:D39,$O$20:$O$39,Lister!$D$30,$A$20:$A$39,Lister!$A$21)
+SUMIFS(D20:D39,$O$20:$O$39,Lister!$D$30,$A$20:$A$39,Lister!$A$31)
+SUMIFS(D20:D39,$O$20:$O$39,Lister!$D$30,$A$20:$A$39,Lister!$A$32)
+SUMIFS(D20:D39,$O$20:$O$39,Lister!$D$30,$A$20:$A$39,Lister!$A$22)
+SUMIFS(D20:D39,$O$20:$O$39,Lister!$D$30,$A$20:$A$39,Lister!$A$23)
+SUMIFS(D20:D39,$O$20:$O$39,Lister!$D$30,$A$20:$A$39,Lister!$A$20)
+SUMIFS(D20:D39,$O$20:$O$39,Lister!$D$30,$A$20:$A$39,Lister!$A$33)
+SUMIFS(D20:D39,$O$20:$O$39,Lister!$D$30,$A$20:$A$39,Lister!$A$34))
/12)*Takstblad!D$85,0)</f>
        <v>0</v>
      </c>
      <c r="U115" s="153">
        <f>+IF($C$8="Project-Supplement",((
SUMIFS(E20:E39,$O$20:$O$39,Lister!$D$30,$A$20:$A$39,Lister!$A$21)
+SUMIFS(E20:E39,$O$20:$O$39,Lister!$D$30,$A$20:$A$39,Lister!$A$31)
+SUMIFS(E20:E39,$O$20:$O$39,Lister!$D$30,$A$20:$A$39,Lister!$A$32)
+SUMIFS(E20:E39,$O$20:$O$39,Lister!$D$30,$A$20:$A$39,Lister!$A$22)
+SUMIFS(E20:E39,$O$20:$O$39,Lister!$D$30,$A$20:$A$39,Lister!$A$23)
+SUMIFS(E20:E39,$O$20:$O$39,Lister!$D$30,$A$20:$A$39,Lister!$A$20)
+SUMIFS(E20:E39,$O$20:$O$39,Lister!$D$30,$A$20:$A$39,Lister!$A$33)
+SUMIFS(E20:E39,$O$20:$O$39,Lister!$D$30,$A$20:$A$39,Lister!$A$34))
/12)*Takstblad!E$85,0)</f>
        <v>0</v>
      </c>
      <c r="V115" s="153">
        <f>+IF($C$8="Project-Supplement",((
SUMIFS(F20:F39,$O$20:$O$39,Lister!$D$30,$A$20:$A$39,Lister!$A$21)
+SUMIFS(F20:F39,$O$20:$O$39,Lister!$D$30,$A$20:$A$39,Lister!$A$31)
+SUMIFS(F20:F39,$O$20:$O$39,Lister!$D$30,$A$20:$A$39,Lister!$A$32)
+SUMIFS(F20:F39,$O$20:$O$39,Lister!$D$30,$A$20:$A$39,Lister!$A$22)
+SUMIFS(F20:F39,$O$20:$O$39,Lister!$D$30,$A$20:$A$39,Lister!$A$23)
+SUMIFS(F20:F39,$O$20:$O$39,Lister!$D$30,$A$20:$A$39,Lister!$A$20)
+SUMIFS(F20:F39,$O$20:$O$39,Lister!$D$30,$A$20:$A$39,Lister!$A$33)
+SUMIFS(F20:F39,$O$20:$O$39,Lister!$D$30,$A$20:$A$39,Lister!$A$34))
/12)*Takstblad!F$85,0)</f>
        <v>0</v>
      </c>
      <c r="W115" s="153">
        <f>+IF($C$8="Project-Supplement",((
SUMIFS(G20:G39,$O$20:$O$39,Lister!$D$30,$A$20:$A$39,Lister!$A$21)
+SUMIFS(G20:G39,$O$20:$O$39,Lister!$D$30,$A$20:$A$39,Lister!$A$31)
+SUMIFS(G20:G39,$O$20:$O$39,Lister!$D$30,$A$20:$A$39,Lister!$A$32)
+SUMIFS(G20:G39,$O$20:$O$39,Lister!$D$30,$A$20:$A$39,Lister!$A$22)
+SUMIFS(G20:G39,$O$20:$O$39,Lister!$D$30,$A$20:$A$39,Lister!$A$23)
+SUMIFS(G20:G39,$O$20:$O$39,Lister!$D$30,$A$20:$A$39,Lister!$A$20)
+SUMIFS(G20:G39,$O$20:$O$39,Lister!$D$30,$A$20:$A$39,Lister!$A$33)
+SUMIFS(G20:G39,$O$20:$O$39,Lister!$D$30,$A$20:$A$39,Lister!$A$34))
/12)*Takstblad!G$85,0)</f>
        <v>0</v>
      </c>
      <c r="X115" s="300">
        <f>+IF($C$8="Project-Supplement",((
SUMIFS(H20:H39,$O$20:$O$39,Lister!$D$30,$A$20:$A$39,Lister!$A$21)
+SUMIFS(H20:H39,$O$20:$O$39,Lister!$D$30,$A$20:$A$39,Lister!$A$31)
+SUMIFS(H20:H39,$O$20:$O$39,Lister!$D$30,$A$20:$A$39,Lister!$A$32)
+SUMIFS(H20:H39,$O$20:$O$39,Lister!$D$30,$A$20:$A$39,Lister!$A$22)
+SUMIFS(H20:H39,$O$20:$O$39,Lister!$D$30,$A$20:$A$39,Lister!$A$23)
+SUMIFS(H20:H39,$O$20:$O$39,Lister!$D$30,$A$20:$A$39,Lister!$A$20)
+SUMIFS(H20:H39,$O$20:$O$39,Lister!$D$30,$A$20:$A$39,Lister!$A$33)
+SUMIFS(H20:H39,$O$20:$O$39,Lister!$D$30,$A$20:$A$39,Lister!$A$34))
/12)*Takstblad!H$85,0)</f>
        <v>0</v>
      </c>
      <c r="Y115" s="110">
        <f>+IF($C$8="Project-Supplement",((
SUMIFS(I20:I39,$O$20:$O$39,Lister!$D$30,$A$20:$A$39,Lister!$A$21)
+SUMIFS(I20:I39,$O$20:$O$39,Lister!$D$30,$A$20:$A$39,Lister!$A$31)
+SUMIFS(I20:I39,$O$20:$O$39,Lister!$D$30,$A$20:$A$39,Lister!$A$32)
+SUMIFS(I20:I39,$O$20:$O$39,Lister!$D$30,$A$20:$A$39,Lister!$A$22)
+SUMIFS(I20:I39,$O$20:$O$39,Lister!$D$30,$A$20:$A$39,Lister!$A$23)
+SUMIFS(I20:I39,$O$20:$O$39,Lister!$D$30,$A$20:$A$39,Lister!$A$20)
+SUMIFS(I20:I39,$O$20:$O$39,Lister!$D$30,$A$20:$A$39,Lister!$A$33)
+SUMIFS(I20:I39,$O$20:$O$39,Lister!$D$30,$A$20:$A$39,Lister!$A$34))
/12)*Takstblad!I$85,0)</f>
        <v>0</v>
      </c>
      <c r="Z115" s="21">
        <f>+IF($C$8="Project-Supplement",((
SUMIFS(J20:J39,$O$20:$O$39,Lister!$D$30,$A$20:$A$39,Lister!$A$21)
+SUMIFS(J20:J39,$O$20:$O$39,Lister!$D$30,$A$20:$A$39,Lister!$A$31)
+SUMIFS(J20:J39,$O$20:$O$39,Lister!$D$30,$A$20:$A$39,Lister!$A$32)
+SUMIFS(J20:J39,$O$20:$O$39,Lister!$D$30,$A$20:$A$39,Lister!$A$22)
+SUMIFS(J20:J39,$O$20:$O$39,Lister!$D$30,$A$20:$A$39,Lister!$A$23)
+SUMIFS(J20:J39,$O$20:$O$39,Lister!$D$30,$A$20:$A$39,Lister!$A$20)
+SUMIFS(J20:J39,$O$20:$O$39,Lister!$D$30,$A$20:$A$39,Lister!$A$33)
+SUMIFS(J20:J39,$O$20:$O$39,Lister!$D$30,$A$20:$A$39,Lister!$A$34))
/12)*Takstblad!J$85,0)</f>
        <v>0</v>
      </c>
      <c r="AA115" s="21">
        <f>+IF($C$8="Project-Supplement",((
SUMIFS(K20:K39,$O$20:$O$39,Lister!$D$30,$A$20:$A$39,Lister!$A$21)
+SUMIFS(K20:K39,$O$20:$O$39,Lister!$D$30,$A$20:$A$39,Lister!$A$31)
+SUMIFS(K20:K39,$O$20:$O$39,Lister!$D$30,$A$20:$A$39,Lister!$A$32)
+SUMIFS(K20:K39,$O$20:$O$39,Lister!$D$30,$A$20:$A$39,Lister!$A$22)
+SUMIFS(K20:K39,$O$20:$O$39,Lister!$D$30,$A$20:$A$39,Lister!$A$23)
+SUMIFS(K20:K39,$O$20:$O$39,Lister!$D$30,$A$20:$A$39,Lister!$A$20)
+SUMIFS(K20:K39,$O$20:$O$39,Lister!$D$30,$A$20:$A$39,Lister!$A$33)
+SUMIFS(K20:K39,$O$20:$O$39,Lister!$D$30,$A$20:$A$39,Lister!$A$34))
/12)*Takstblad!K$85,0)</f>
        <v>0</v>
      </c>
      <c r="AB115" s="21">
        <f>+IF($C$8="Project-Supplement",((
SUMIFS(L20:L39,$O$20:$O$39,Lister!$D$30,$A$20:$A$39,Lister!$A$21)
+SUMIFS(L20:L39,$O$20:$O$39,Lister!$D$30,$A$20:$A$39,Lister!$A$31)
+SUMIFS(L20:L39,$O$20:$O$39,Lister!$D$30,$A$20:$A$39,Lister!$A$32)
+SUMIFS(L20:L39,$O$20:$O$39,Lister!$D$30,$A$20:$A$39,Lister!$A$22)
+SUMIFS(L20:L39,$O$20:$O$39,Lister!$D$30,$A$20:$A$39,Lister!$A$23)
+SUMIFS(L20:L39,$O$20:$O$39,Lister!$D$30,$A$20:$A$39,Lister!$A$20)
+SUMIFS(L20:L39,$O$20:$O$39,Lister!$D$30,$A$20:$A$39,Lister!$A$33)
+SUMIFS(L20:L39,$O$20:$O$39,Lister!$D$30,$A$20:$A$39,Lister!$A$34))
/12)*Takstblad!L$85,0)</f>
        <v>0</v>
      </c>
      <c r="AC115" s="138">
        <f t="shared" si="111"/>
        <v>0</v>
      </c>
      <c r="AD115" s="70"/>
      <c r="AE115" s="79"/>
      <c r="AF115" s="79"/>
      <c r="AG115" s="79"/>
      <c r="AH115" s="79"/>
      <c r="AI115" s="71"/>
      <c r="AJ115" s="71"/>
      <c r="AK115" s="71"/>
      <c r="AL115" s="71"/>
      <c r="AM115" s="71"/>
      <c r="AN115" s="71"/>
      <c r="AO115" s="71"/>
      <c r="AP115" s="71"/>
      <c r="AQ115" s="71"/>
      <c r="AR115" s="71"/>
      <c r="AS115" s="71"/>
      <c r="AT115" s="71"/>
      <c r="AU115" s="71"/>
      <c r="AV115" s="71"/>
      <c r="AW115" s="71"/>
      <c r="AX115" s="71"/>
      <c r="AY115" s="71"/>
      <c r="AZ115" s="71"/>
      <c r="BA115" s="71"/>
      <c r="BB115" s="71"/>
      <c r="BC115" s="71"/>
      <c r="BD115" s="71"/>
      <c r="BE115" s="71"/>
      <c r="BF115" s="71"/>
      <c r="BG115" s="71"/>
      <c r="BH115" s="71"/>
      <c r="BI115" s="71"/>
      <c r="BJ115" s="71"/>
    </row>
    <row r="116" spans="1:62" s="9" customFormat="1" ht="14.25" customHeight="1">
      <c r="N116" s="71"/>
      <c r="O116" s="87"/>
      <c r="P116" s="87"/>
      <c r="Q116" s="150" t="s">
        <v>531</v>
      </c>
      <c r="R116" s="312">
        <f t="shared" si="110"/>
        <v>0</v>
      </c>
      <c r="S116" s="153" t="str">
        <f>IF($C$12=2,(SUM(S112:S115)*$C$13)/100,"0")</f>
        <v>0</v>
      </c>
      <c r="T116" s="153" t="str">
        <f>IF($C$12=2,(SUM(T112:T115)*$C$13)/100,"0")</f>
        <v>0</v>
      </c>
      <c r="U116" s="153" t="str">
        <f t="shared" ref="U116:Z116" si="114">IF($C$12=2,(SUM(U112:U115)*$C$13)/100,"0")</f>
        <v>0</v>
      </c>
      <c r="V116" s="153" t="str">
        <f t="shared" si="114"/>
        <v>0</v>
      </c>
      <c r="W116" s="153" t="str">
        <f t="shared" si="114"/>
        <v>0</v>
      </c>
      <c r="X116" s="300" t="str">
        <f t="shared" si="114"/>
        <v>0</v>
      </c>
      <c r="Y116" s="154" t="str">
        <f t="shared" si="114"/>
        <v>0</v>
      </c>
      <c r="Z116" s="153" t="str">
        <f t="shared" si="114"/>
        <v>0</v>
      </c>
      <c r="AA116" s="153" t="str">
        <f>IF($C$12=2,(SUM(AA112:AA115)*$C$13)/100,"0")</f>
        <v>0</v>
      </c>
      <c r="AB116" s="153" t="str">
        <f>IF($C$12=2,(SUM(AB112:AB115)*$C$13)/100,"0")</f>
        <v>0</v>
      </c>
      <c r="AC116" s="138">
        <f t="shared" si="111"/>
        <v>0</v>
      </c>
      <c r="AD116" s="79"/>
      <c r="AE116" s="71"/>
      <c r="AF116" s="71"/>
      <c r="AG116" s="71"/>
      <c r="AH116" s="71"/>
      <c r="AI116" s="71"/>
      <c r="AJ116" s="71"/>
      <c r="AK116" s="71"/>
      <c r="AL116" s="71"/>
      <c r="AM116" s="71"/>
      <c r="AN116" s="71"/>
      <c r="AO116" s="71"/>
      <c r="AP116" s="71"/>
      <c r="AQ116" s="71"/>
      <c r="AR116" s="71"/>
      <c r="AS116" s="71"/>
      <c r="AT116" s="71"/>
      <c r="AU116" s="71"/>
      <c r="AV116" s="71"/>
      <c r="AW116" s="71"/>
      <c r="AX116" s="71"/>
      <c r="AY116" s="71"/>
      <c r="AZ116" s="71"/>
      <c r="BA116" s="71"/>
      <c r="BB116" s="71"/>
      <c r="BC116" s="71"/>
      <c r="BD116" s="71"/>
      <c r="BE116" s="71"/>
      <c r="BF116" s="71"/>
      <c r="BG116" s="71"/>
      <c r="BH116" s="71"/>
      <c r="BI116" s="71"/>
      <c r="BJ116" s="71"/>
    </row>
    <row r="117" spans="1:62" s="9" customFormat="1" ht="14.25" customHeight="1">
      <c r="N117" s="71"/>
      <c r="O117" s="87"/>
      <c r="P117" s="87"/>
      <c r="Q117" s="149" t="s">
        <v>101</v>
      </c>
      <c r="R117" s="312">
        <f t="shared" si="110"/>
        <v>0</v>
      </c>
      <c r="S117" s="313">
        <f>+SUM(S112:S116)</f>
        <v>0</v>
      </c>
      <c r="T117" s="313">
        <f t="shared" ref="T117:Z117" si="115">+SUM(T112:T116)</f>
        <v>0</v>
      </c>
      <c r="U117" s="313">
        <f t="shared" si="115"/>
        <v>0</v>
      </c>
      <c r="V117" s="313">
        <f t="shared" si="115"/>
        <v>0</v>
      </c>
      <c r="W117" s="313">
        <f t="shared" si="115"/>
        <v>0</v>
      </c>
      <c r="X117" s="314">
        <f t="shared" si="115"/>
        <v>0</v>
      </c>
      <c r="Y117" s="296">
        <f t="shared" si="115"/>
        <v>0</v>
      </c>
      <c r="Z117" s="137">
        <f t="shared" si="115"/>
        <v>0</v>
      </c>
      <c r="AA117" s="137">
        <f>+SUM(AA112:AA116)</f>
        <v>0</v>
      </c>
      <c r="AB117" s="137">
        <f>+SUM(AB112:AB116)</f>
        <v>0</v>
      </c>
      <c r="AC117" s="138">
        <f t="shared" si="111"/>
        <v>0</v>
      </c>
      <c r="AD117" s="71"/>
      <c r="AE117" s="71"/>
      <c r="AF117" s="71"/>
      <c r="AG117" s="71"/>
      <c r="AH117" s="71"/>
      <c r="AI117" s="71"/>
      <c r="AJ117" s="71"/>
      <c r="AK117" s="71"/>
      <c r="AL117" s="71"/>
      <c r="AM117" s="71"/>
      <c r="AN117" s="71"/>
      <c r="AO117" s="71"/>
      <c r="AP117" s="71"/>
      <c r="AQ117" s="71"/>
      <c r="AR117" s="71"/>
      <c r="AS117" s="71"/>
      <c r="AT117" s="71"/>
      <c r="AU117" s="71"/>
      <c r="AV117" s="71"/>
      <c r="AW117" s="71"/>
      <c r="AX117" s="71"/>
      <c r="AY117" s="71"/>
      <c r="AZ117" s="71"/>
      <c r="BA117" s="71"/>
      <c r="BB117" s="71"/>
      <c r="BC117" s="71"/>
      <c r="BD117" s="71"/>
      <c r="BE117" s="71"/>
      <c r="BF117" s="71"/>
      <c r="BG117" s="71"/>
      <c r="BH117" s="71"/>
      <c r="BI117" s="71"/>
      <c r="BJ117" s="71"/>
    </row>
    <row r="118" spans="1:62" s="9" customFormat="1" ht="14.25" customHeight="1">
      <c r="N118" s="71"/>
      <c r="O118" s="87"/>
      <c r="P118" s="87"/>
      <c r="Q118" s="227"/>
      <c r="R118" s="133"/>
      <c r="S118" s="76"/>
      <c r="T118" s="76"/>
      <c r="U118" s="76"/>
      <c r="V118" s="76"/>
      <c r="W118" s="76"/>
      <c r="X118" s="133"/>
      <c r="Y118" s="76"/>
      <c r="Z118" s="76"/>
      <c r="AA118" s="76"/>
      <c r="AB118" s="76"/>
      <c r="AC118" s="133"/>
      <c r="AD118" s="71"/>
      <c r="AE118" s="71"/>
      <c r="AF118" s="71"/>
      <c r="AG118" s="71"/>
      <c r="AH118" s="71"/>
      <c r="AI118" s="71"/>
      <c r="AJ118" s="71"/>
      <c r="AK118" s="71"/>
      <c r="AL118" s="71"/>
      <c r="AM118" s="71"/>
      <c r="AN118" s="71"/>
      <c r="AO118" s="71"/>
      <c r="AP118" s="71"/>
      <c r="AQ118" s="71"/>
      <c r="AR118" s="71"/>
      <c r="AS118" s="71"/>
      <c r="AT118" s="71"/>
      <c r="AU118" s="71"/>
      <c r="AV118" s="71"/>
      <c r="AW118" s="71"/>
      <c r="AX118" s="71"/>
      <c r="AY118" s="71"/>
      <c r="AZ118" s="71"/>
      <c r="BA118" s="71"/>
      <c r="BB118" s="71"/>
      <c r="BC118" s="71"/>
      <c r="BD118" s="71"/>
      <c r="BE118" s="71"/>
      <c r="BF118" s="71"/>
      <c r="BG118" s="71"/>
      <c r="BH118" s="71"/>
      <c r="BI118" s="71"/>
      <c r="BJ118" s="71"/>
    </row>
    <row r="119" spans="1:62" s="9" customFormat="1" ht="14.25" customHeight="1">
      <c r="N119" s="71"/>
      <c r="O119" s="87"/>
      <c r="P119" s="87"/>
      <c r="Q119" s="130" t="s">
        <v>606</v>
      </c>
      <c r="R119" s="131"/>
      <c r="S119" s="230"/>
      <c r="T119" s="230"/>
      <c r="U119" s="230"/>
      <c r="V119" s="230"/>
      <c r="W119" s="230"/>
      <c r="X119" s="301"/>
      <c r="Y119" s="230"/>
      <c r="Z119" s="231"/>
      <c r="AA119" s="231"/>
      <c r="AB119" s="231"/>
      <c r="AC119" s="131"/>
      <c r="AD119" s="71"/>
      <c r="AE119" s="71"/>
      <c r="AF119" s="71"/>
      <c r="AG119" s="71"/>
      <c r="AH119" s="71"/>
      <c r="AI119" s="71"/>
      <c r="AJ119" s="71"/>
      <c r="AK119" s="71"/>
      <c r="AL119" s="71"/>
      <c r="AM119" s="71"/>
      <c r="AN119" s="71"/>
      <c r="AO119" s="71"/>
      <c r="AP119" s="71"/>
      <c r="AQ119" s="71"/>
      <c r="AR119" s="71"/>
      <c r="AS119" s="71"/>
      <c r="AT119" s="71"/>
      <c r="AU119" s="71"/>
      <c r="AV119" s="71"/>
      <c r="AW119" s="71"/>
      <c r="AX119" s="71"/>
      <c r="AY119" s="71"/>
      <c r="AZ119" s="71"/>
      <c r="BA119" s="71"/>
      <c r="BB119" s="71"/>
      <c r="BC119" s="71"/>
      <c r="BD119" s="71"/>
      <c r="BE119" s="71"/>
      <c r="BF119" s="71"/>
      <c r="BG119" s="71"/>
      <c r="BH119" s="71"/>
      <c r="BI119" s="71"/>
      <c r="BJ119" s="71"/>
    </row>
    <row r="120" spans="1:62" s="9" customFormat="1" ht="14.25" customHeight="1">
      <c r="N120" s="71"/>
      <c r="O120" s="87"/>
      <c r="P120" s="87"/>
      <c r="Q120" s="134"/>
      <c r="R120" s="133"/>
      <c r="S120" s="16"/>
      <c r="T120" s="16"/>
      <c r="U120" s="16"/>
      <c r="V120" s="16"/>
      <c r="W120" s="16"/>
      <c r="X120" s="302"/>
      <c r="Y120" s="16"/>
      <c r="Z120" s="16"/>
      <c r="AA120" s="16"/>
      <c r="AB120" s="16"/>
      <c r="AC120" s="133"/>
      <c r="AD120" s="71"/>
      <c r="AE120" s="71"/>
      <c r="AF120" s="71"/>
      <c r="AG120" s="71"/>
      <c r="AH120" s="71"/>
      <c r="AI120" s="71"/>
      <c r="AJ120" s="71"/>
      <c r="AK120" s="71"/>
      <c r="AL120" s="71"/>
      <c r="AM120" s="71"/>
      <c r="AN120" s="71"/>
      <c r="AO120" s="71"/>
      <c r="AP120" s="71"/>
      <c r="AQ120" s="71"/>
      <c r="AR120" s="71"/>
      <c r="AS120" s="71"/>
      <c r="AT120" s="71"/>
      <c r="AU120" s="71"/>
      <c r="AV120" s="71"/>
      <c r="AW120" s="71"/>
      <c r="AX120" s="71"/>
      <c r="AY120" s="71"/>
      <c r="AZ120" s="71"/>
      <c r="BA120" s="71"/>
      <c r="BB120" s="71"/>
      <c r="BC120" s="71"/>
      <c r="BD120" s="71"/>
      <c r="BE120" s="71"/>
      <c r="BF120" s="71"/>
      <c r="BG120" s="71"/>
      <c r="BH120" s="71"/>
      <c r="BI120" s="71"/>
      <c r="BJ120" s="71"/>
    </row>
    <row r="121" spans="1:62" s="9" customFormat="1" ht="14.25" customHeight="1">
      <c r="A121" s="7"/>
      <c r="B121" s="7"/>
      <c r="C121" s="7"/>
      <c r="D121" s="7"/>
      <c r="E121" s="7"/>
      <c r="F121" s="7"/>
      <c r="G121" s="7"/>
      <c r="H121" s="7"/>
      <c r="I121" s="7"/>
      <c r="J121" s="7"/>
      <c r="K121" s="7"/>
      <c r="L121" s="7"/>
      <c r="M121" s="7"/>
      <c r="N121" s="7"/>
      <c r="O121" s="7"/>
      <c r="P121" s="7"/>
      <c r="Q121" s="152" t="s">
        <v>22</v>
      </c>
      <c r="R121" s="124" t="s">
        <v>34</v>
      </c>
      <c r="S121" s="45">
        <f>+S107</f>
        <v>2026</v>
      </c>
      <c r="T121" s="8">
        <f t="shared" ref="T121:Z121" si="116">+T107</f>
        <v>2027</v>
      </c>
      <c r="U121" s="8">
        <f t="shared" si="116"/>
        <v>2028</v>
      </c>
      <c r="V121" s="8">
        <f t="shared" si="116"/>
        <v>2029</v>
      </c>
      <c r="W121" s="8">
        <f t="shared" si="116"/>
        <v>2030</v>
      </c>
      <c r="X121" s="124">
        <f t="shared" si="116"/>
        <v>2031</v>
      </c>
      <c r="Y121" s="8">
        <f t="shared" si="116"/>
        <v>2032</v>
      </c>
      <c r="Z121" s="8">
        <f t="shared" si="116"/>
        <v>2033</v>
      </c>
      <c r="AA121" s="8">
        <f>+AA107</f>
        <v>2034</v>
      </c>
      <c r="AB121" s="8">
        <f>+AB107</f>
        <v>2035</v>
      </c>
      <c r="AC121" s="124" t="s">
        <v>34</v>
      </c>
      <c r="AD121" s="71"/>
      <c r="AE121" s="71"/>
      <c r="AF121" s="71"/>
      <c r="AG121" s="71"/>
      <c r="AH121" s="71"/>
      <c r="AI121" s="71"/>
      <c r="AJ121" s="71"/>
      <c r="AK121" s="71"/>
      <c r="AL121" s="71"/>
      <c r="AM121" s="71"/>
      <c r="AN121" s="71"/>
      <c r="AO121" s="71"/>
      <c r="AP121" s="71"/>
      <c r="AQ121" s="71"/>
      <c r="AR121" s="71"/>
      <c r="AS121" s="71"/>
      <c r="AT121" s="71"/>
      <c r="AU121" s="71"/>
      <c r="AV121" s="71"/>
      <c r="AW121" s="71"/>
      <c r="AX121" s="71"/>
      <c r="AY121" s="71"/>
      <c r="AZ121" s="71"/>
      <c r="BA121" s="71"/>
      <c r="BB121" s="71"/>
      <c r="BC121" s="71"/>
      <c r="BD121" s="71"/>
      <c r="BE121" s="71"/>
      <c r="BF121" s="71"/>
      <c r="BG121" s="71"/>
      <c r="BH121" s="71"/>
      <c r="BI121" s="71"/>
      <c r="BJ121" s="71"/>
    </row>
    <row r="122" spans="1:62" s="9" customFormat="1" ht="14.25" customHeight="1">
      <c r="A122" s="7"/>
      <c r="B122" s="7"/>
      <c r="C122" s="7"/>
      <c r="D122" s="7"/>
      <c r="E122" s="7"/>
      <c r="F122" s="7"/>
      <c r="G122" s="7"/>
      <c r="H122" s="7"/>
      <c r="I122" s="7"/>
      <c r="J122" s="7"/>
      <c r="K122" s="7"/>
      <c r="L122" s="7"/>
      <c r="M122" s="7"/>
      <c r="N122" s="7"/>
      <c r="O122" s="7"/>
      <c r="P122" s="7"/>
      <c r="Q122" s="147" t="s">
        <v>74</v>
      </c>
      <c r="R122" s="315">
        <f t="shared" ref="R122:R131" si="117">+AC122</f>
        <v>0</v>
      </c>
      <c r="S122" s="316">
        <f>+SUMIF($O$20:$O$39,Lister!$D$31,S$20:S$39)</f>
        <v>0</v>
      </c>
      <c r="T122" s="316">
        <f>+SUMIF($O$20:$O$39,Lister!$D$31,T$20:T$39)</f>
        <v>0</v>
      </c>
      <c r="U122" s="316">
        <f>+SUMIF($O$20:$O$39,Lister!$D$31,U$20:U$39)</f>
        <v>0</v>
      </c>
      <c r="V122" s="316">
        <f>+SUMIF($O$20:$O$39,Lister!$D$31,V$20:V$39)</f>
        <v>0</v>
      </c>
      <c r="W122" s="316">
        <f>+SUMIF($O$20:$O$39,Lister!$D$31,W$20:W$39)</f>
        <v>0</v>
      </c>
      <c r="X122" s="316">
        <f>+SUMIF($O$20:$O$39,Lister!$D$31,X$20:X$39)</f>
        <v>0</v>
      </c>
      <c r="Y122" s="316">
        <f>+SUMIF($O$20:$O$39,Lister!$D$31,Y$20:Y$39)</f>
        <v>0</v>
      </c>
      <c r="Z122" s="316">
        <f>+SUMIF($O$20:$O$39,Lister!$D$31,Z$20:Z$39)</f>
        <v>0</v>
      </c>
      <c r="AA122" s="316">
        <f>+SUMIF($O$20:$O$39,Lister!$D$31,AA$20:AA$39)</f>
        <v>0</v>
      </c>
      <c r="AB122" s="316">
        <f>+SUMIF($O$20:$O$39,Lister!$D$31,AB$20:AB$39)</f>
        <v>0</v>
      </c>
      <c r="AC122" s="140">
        <f t="shared" ref="AC122:AC131" si="118">SUM(S122:Z122)</f>
        <v>0</v>
      </c>
      <c r="AD122" s="71"/>
      <c r="AE122" s="71"/>
      <c r="AF122" s="71"/>
      <c r="AG122" s="71"/>
      <c r="AH122" s="71"/>
      <c r="AI122" s="71"/>
      <c r="AJ122" s="71"/>
      <c r="AK122" s="71"/>
      <c r="AL122" s="71"/>
      <c r="AM122" s="71"/>
      <c r="AN122" s="71"/>
      <c r="AO122" s="71"/>
      <c r="AP122" s="71"/>
      <c r="AQ122" s="71"/>
      <c r="AR122" s="71"/>
      <c r="AS122" s="71"/>
      <c r="AT122" s="71"/>
      <c r="AU122" s="71"/>
      <c r="AV122" s="71"/>
      <c r="AW122" s="71"/>
      <c r="AX122" s="71"/>
      <c r="AY122" s="71"/>
      <c r="AZ122" s="71"/>
      <c r="BA122" s="71"/>
      <c r="BB122" s="71"/>
      <c r="BC122" s="71"/>
      <c r="BD122" s="71"/>
      <c r="BE122" s="71"/>
      <c r="BF122" s="71"/>
      <c r="BG122" s="71"/>
      <c r="BH122" s="71"/>
      <c r="BI122" s="71"/>
      <c r="BJ122" s="71"/>
    </row>
    <row r="123" spans="1:62" ht="14.25" customHeight="1">
      <c r="Q123" s="148" t="s">
        <v>75</v>
      </c>
      <c r="R123" s="309">
        <f t="shared" si="117"/>
        <v>0</v>
      </c>
      <c r="S123" s="310">
        <f>+SUMIF($O$43:$O$55,Lister!$D$31,S$43:S$55)</f>
        <v>0</v>
      </c>
      <c r="T123" s="319">
        <f>+SUMIF($O$43:$O$55,Lister!$D$31,T$43:T$55)</f>
        <v>0</v>
      </c>
      <c r="U123" s="310">
        <f>+SUMIF($O$43:$O$55,Lister!$D$31,U$43:U$55)</f>
        <v>0</v>
      </c>
      <c r="V123" s="319">
        <f>+SUMIF($O$43:$O$55,Lister!$D$31,V$43:V$55)</f>
        <v>0</v>
      </c>
      <c r="W123" s="310">
        <f>+SUMIF($O$43:$O$55,Lister!$D$31,W$43:W$55)</f>
        <v>0</v>
      </c>
      <c r="X123" s="320">
        <f>+SUMIF($O$43:$O$55,Lister!$D$31,X$43:X$55)</f>
        <v>0</v>
      </c>
      <c r="Y123" s="295">
        <f>+SUMIF($O$43:$O$55,Lister!$D$31,Y$43:Y$55)</f>
        <v>0</v>
      </c>
      <c r="Z123" s="113">
        <f>+SUMIF($O$43:$O$55,Lister!$D$31,Z$43:Z$55)</f>
        <v>0</v>
      </c>
      <c r="AA123" s="113">
        <f>+SUMIF($O$43:$O$55,Lister!$D$31,AA$43:AA$55)</f>
        <v>0</v>
      </c>
      <c r="AB123" s="113">
        <f>+SUMIF($O$43:$O$55,Lister!$D$31,AB$43:AB$55)</f>
        <v>0</v>
      </c>
      <c r="AC123" s="141">
        <f t="shared" si="118"/>
        <v>0</v>
      </c>
      <c r="AD123" s="71"/>
    </row>
    <row r="124" spans="1:62" ht="14.25" customHeight="1">
      <c r="Q124" s="149" t="s">
        <v>76</v>
      </c>
      <c r="R124" s="312">
        <f t="shared" si="117"/>
        <v>0</v>
      </c>
      <c r="S124" s="313">
        <f>+S123+S122</f>
        <v>0</v>
      </c>
      <c r="T124" s="313">
        <f t="shared" ref="T124:Z124" si="119">+T123+T122</f>
        <v>0</v>
      </c>
      <c r="U124" s="313">
        <f t="shared" si="119"/>
        <v>0</v>
      </c>
      <c r="V124" s="313">
        <f t="shared" si="119"/>
        <v>0</v>
      </c>
      <c r="W124" s="313">
        <f t="shared" si="119"/>
        <v>0</v>
      </c>
      <c r="X124" s="314">
        <f t="shared" si="119"/>
        <v>0</v>
      </c>
      <c r="Y124" s="296">
        <f t="shared" si="119"/>
        <v>0</v>
      </c>
      <c r="Z124" s="137">
        <f t="shared" si="119"/>
        <v>0</v>
      </c>
      <c r="AA124" s="137">
        <f>+AA123+AA122</f>
        <v>0</v>
      </c>
      <c r="AB124" s="137">
        <f>+AB123+AB122</f>
        <v>0</v>
      </c>
      <c r="AC124" s="138">
        <f t="shared" si="118"/>
        <v>0</v>
      </c>
    </row>
    <row r="125" spans="1:62" ht="14.25" customHeight="1">
      <c r="Q125" s="149" t="s">
        <v>77</v>
      </c>
      <c r="R125" s="312">
        <f t="shared" si="117"/>
        <v>0</v>
      </c>
      <c r="S125" s="313">
        <f>+SUMIF($O$62:$O$74,Lister!$D$31,C$62:C$74)</f>
        <v>0</v>
      </c>
      <c r="T125" s="325">
        <f>+SUMIF($O$62:$O$74,Lister!$D$31,D$62:D$74)</f>
        <v>0</v>
      </c>
      <c r="U125" s="325">
        <f>+SUMIF($O$62:$O$74,Lister!$D$31,E$62:E$74)</f>
        <v>0</v>
      </c>
      <c r="V125" s="325">
        <f>+SUMIF($O$62:$O$74,Lister!$D$31,F$62:F$74)</f>
        <v>0</v>
      </c>
      <c r="W125" s="325">
        <f>+SUMIF($O$62:$O$74,Lister!$D$31,G$62:G$74)</f>
        <v>0</v>
      </c>
      <c r="X125" s="326">
        <f>+SUMIF($O$62:$O$74,Lister!$D$31,H$62:H$74)</f>
        <v>0</v>
      </c>
      <c r="Y125" s="207">
        <f>+SUMIF($O$62:$O$74,Lister!$D$31,I$62:I$74)</f>
        <v>0</v>
      </c>
      <c r="Z125" s="206">
        <f>+SUMIF($O$62:$O$74,Lister!$D$31,J$62:J$74)</f>
        <v>0</v>
      </c>
      <c r="AA125" s="206">
        <f>+SUMIF($O$62:$O$74,Lister!$D$31,K$62:K$74)</f>
        <v>0</v>
      </c>
      <c r="AB125" s="206">
        <f>+SUMIF($O$62:$O$74,Lister!$D$31,L$62:L$74)</f>
        <v>0</v>
      </c>
      <c r="AC125" s="138">
        <f t="shared" si="118"/>
        <v>0</v>
      </c>
    </row>
    <row r="126" spans="1:62" ht="14.25" customHeight="1">
      <c r="Q126" s="149" t="s">
        <v>78</v>
      </c>
      <c r="R126" s="312">
        <f t="shared" si="117"/>
        <v>0</v>
      </c>
      <c r="S126" s="313">
        <f>+S125+S124</f>
        <v>0</v>
      </c>
      <c r="T126" s="313">
        <f t="shared" ref="T126:Z126" si="120">+T125+T124</f>
        <v>0</v>
      </c>
      <c r="U126" s="313">
        <f t="shared" si="120"/>
        <v>0</v>
      </c>
      <c r="V126" s="313">
        <f t="shared" si="120"/>
        <v>0</v>
      </c>
      <c r="W126" s="313">
        <f t="shared" si="120"/>
        <v>0</v>
      </c>
      <c r="X126" s="314">
        <f t="shared" si="120"/>
        <v>0</v>
      </c>
      <c r="Y126" s="142">
        <f t="shared" si="120"/>
        <v>0</v>
      </c>
      <c r="Z126" s="137">
        <f t="shared" si="120"/>
        <v>0</v>
      </c>
      <c r="AA126" s="137">
        <f>+AA125+AA124</f>
        <v>0</v>
      </c>
      <c r="AB126" s="137">
        <f>+AB125+AB124</f>
        <v>0</v>
      </c>
      <c r="AC126" s="138">
        <f t="shared" si="118"/>
        <v>0</v>
      </c>
    </row>
    <row r="127" spans="1:62" ht="14.25" customHeight="1">
      <c r="Q127" s="150" t="s">
        <v>0</v>
      </c>
      <c r="R127" s="312">
        <f t="shared" si="117"/>
        <v>0</v>
      </c>
      <c r="S127" s="153">
        <f>IF($C$12=2,S124*$C$6/100,
IF($G$6=Lister!$D$4,S124*$C$6/100,
IF($G$6=Lister!$D$5,S126*$C$6/100,
IF($G$6=Lister!$D$6,(S126-SUMIFS(C62:C74,$O$62:$O$74,Lister!$D$31,$A$62:$A$74,Lister!$M$10))*$C$6/100,
IF($G$6=Lister!$D$7,(S126-SUMIFS(C62:C74,$O$62:$O$74,Lister!$D$31,$A$62:$A$74,Lister!$M$10)-SUMIFS(C62:C74,$O$62:$O$74,Lister!$D$31,$A$62:$A$74,Lister!$M$7))*$C$6/100,
IF($G$6=Lister!$D$8,(S126+S128)*$C$6/100,
IF($G$6=Lister!$D$9,S125*$C$6/100,0)))))))</f>
        <v>0</v>
      </c>
      <c r="T127" s="321">
        <f>IF($C$12=2,T124*$C$6/100,
IF($G$6=Lister!$D$4,T124*$C$6/100,
IF($G$6=Lister!$D$5,T126*$C$6/100,
IF($G$6=Lister!$D$6,(T126-SUMIFS(D62:D74,$O$62:$O$74,Lister!$D$31,$A$62:$A$74,Lister!$M$10))*$C$6/100,
IF($G$6=Lister!$D$7,(T126-SUMIFS(D62:D74,$O$62:$O$74,Lister!$D$31,$A$62:$A$74,Lister!$M$10)-SUMIFS(D62:D74,$O$62:$O$74,Lister!$D$31,$A$62:$A$74,Lister!$M$7))*$C$6/100,
IF($G$6=Lister!$D$8,(T126+T128)*$C$6/100,
IF($G$6=Lister!$D$9,T125*$C$6/100,0)))))))</f>
        <v>0</v>
      </c>
      <c r="U127" s="321">
        <f>IF($C$12=2,U124*$C$6/100,
IF($G$6=Lister!$D$4,U124*$C$6/100,
IF($G$6=Lister!$D$5,U126*$C$6/100,
IF($G$6=Lister!$D$6,(U126-SUMIFS(E62:E74,$O$62:$O$74,Lister!$D$31,$A$62:$A$74,Lister!$M$10))*$C$6/100,
IF($G$6=Lister!$D$7,(U126-SUMIFS(E62:E74,$O$62:$O$74,Lister!$D$31,$A$62:$A$74,Lister!$M$10)-SUMIFS(E62:E74,$O$62:$O$74,Lister!$D$31,$A$62:$A$74,Lister!$M$7))*$C$6/100,
IF($G$6=Lister!$D$8,(U126+U128)*$C$6/100,
IF($G$6=Lister!$D$9,U125*$C$6/100,0)))))))</f>
        <v>0</v>
      </c>
      <c r="V127" s="321">
        <f>IF($C$12=2,V124*$C$6/100,
IF($G$6=Lister!$D$4,V124*$C$6/100,
IF($G$6=Lister!$D$5,V126*$C$6/100,
IF($G$6=Lister!$D$6,(V126-SUMIFS(F62:F74,$O$62:$O$74,Lister!$D$31,$A$62:$A$74,Lister!$M$10))*$C$6/100,
IF($G$6=Lister!$D$7,(V126-SUMIFS(F62:F74,$O$62:$O$74,Lister!$D$31,$A$62:$A$74,Lister!$M$10)-SUMIFS(F62:F74,$O$62:$O$74,Lister!$D$31,$A$62:$A$74,Lister!$M$7))*$C$6/100,
IF($G$6=Lister!$D$8,(V126+V128)*$C$6/100,
IF($G$6=Lister!$D$9,V125*$C$6/100,0)))))))</f>
        <v>0</v>
      </c>
      <c r="W127" s="321">
        <f>IF($C$12=2,W124*$C$6/100,
IF($G$6=Lister!$D$4,W124*$C$6/100,
IF($G$6=Lister!$D$5,W126*$C$6/100,
IF($G$6=Lister!$D$6,(W126-SUMIFS(G62:G74,$O$62:$O$74,Lister!$D$31,$A$62:$A$74,Lister!$M$10))*$C$6/100,
IF($G$6=Lister!$D$7,(W126-SUMIFS(G62:G74,$O$62:$O$74,Lister!$D$31,$A$62:$A$74,Lister!$M$10)-SUMIFS(G62:G74,$O$62:$O$74,Lister!$D$31,$A$62:$A$74,Lister!$M$7))*$C$6/100,
IF($G$6=Lister!$D$8,(W126+W128)*$C$6/100,
IF($G$6=Lister!$D$9,W125*$C$6/100,0)))))))</f>
        <v>0</v>
      </c>
      <c r="X127" s="322">
        <f>IF($C$12=2,X124*$C$6/100,
IF($G$6=Lister!$D$4,X124*$C$6/100,
IF($G$6=Lister!$D$5,X126*$C$6/100,
IF($G$6=Lister!$D$6,(X126-SUMIFS(H62:H74,$O$62:$O$74,Lister!$D$31,$A$62:$A$74,Lister!$M$10))*$C$6/100,
IF($G$6=Lister!$D$7,(X126-SUMIFS(H62:H74,$O$62:$O$74,Lister!$D$31,$A$62:$A$74,Lister!$M$10)-SUMIFS(H62:H74,$O$62:$O$74,Lister!$D$31,$A$62:$A$74,Lister!$M$7))*$C$6/100,
IF($G$6=Lister!$D$8,(X126+X128)*$C$6/100,
IF($G$6=Lister!$D$9,X125*$C$6/100,0)))))))</f>
        <v>0</v>
      </c>
      <c r="Y127" s="203">
        <f>IF($C$12=2,Y124*$C$6/100,
IF($G$6=Lister!$D$4,Y124*$C$6/100,
IF($G$6=Lister!$D$5,Y126*$C$6/100,
IF($G$6=Lister!$D$6,(Y126-SUMIFS(I62:I74,$O$62:$O$74,Lister!$D$31,$A$62:$A$74,Lister!$M$10))*$C$6/100,
IF($G$6=Lister!$D$7,(Y126-SUMIFS(I62:I74,$O$62:$O$74,Lister!$D$31,$A$62:$A$74,Lister!$M$10)-SUMIFS(I62:I74,$O$62:$O$74,Lister!$D$31,$A$62:$A$74,Lister!$M$7))*$C$6/100,
IF($G$6=Lister!$D$8,(Y126+Y128)*$C$6/100,
IF($G$6=Lister!$D$9,Y125*$C$6/100,0)))))))</f>
        <v>0</v>
      </c>
      <c r="Z127" s="202">
        <f>IF($C$12=2,Z124*$C$6/100,
IF($G$6=Lister!$D$4,Z124*$C$6/100,
IF($G$6=Lister!$D$5,Z126*$C$6/100,
IF($G$6=Lister!$D$6,(Z126-SUMIFS(J62:J74,$O$62:$O$74,Lister!$D$31,$A$62:$A$74,Lister!$M$10))*$C$6/100,
IF($G$6=Lister!$D$7,(Z126-SUMIFS(J62:J74,$O$62:$O$74,Lister!$D$31,$A$62:$A$74,Lister!$M$10)-SUMIFS(J62:J74,$O$62:$O$74,Lister!$D$31,$A$62:$A$74,Lister!$M$7))*$C$6/100,
IF($G$6=Lister!$D$8,(Z126+Z128)*$C$6/100,
IF($G$6=Lister!$D$9,Z125*$C$6/100,0)))))))</f>
        <v>0</v>
      </c>
      <c r="AA127" s="202">
        <f>IF($C$12=2,AA124*$C$6/100,
IF($G$6=Lister!$D$4,AA124*$C$6/100,
IF($G$6=Lister!$D$5,AA126*$C$6/100,
IF($G$6=Lister!$D$6,(AA126-SUMIFS(K62:K74,$O$62:$O$74,Lister!$D$31,$A$62:$A$74,Lister!$M$10))*$C$6/100,
IF($G$6=Lister!$D$7,(AA126-SUMIFS(K62:K74,$O$62:$O$74,Lister!$D$31,$A$62:$A$74,Lister!$M$10)-SUMIFS(K62:K74,$O$62:$O$74,Lister!$D$31,$A$62:$A$74,Lister!$M$7))*$C$6/100,
IF($G$6=Lister!$D$8,(AA126+AA128)*$C$6/100,
IF($G$6=Lister!$D$9,AA125*$C$6/100,0)))))))</f>
        <v>0</v>
      </c>
      <c r="AB127" s="202">
        <f>IF($C$12=2,AB124*$C$6/100,
IF($G$6=Lister!$D$4,AB124*$C$6/100,
IF($G$6=Lister!$D$5,AB126*$C$6/100,
IF($G$6=Lister!$D$6,(AB126-SUMIFS(L62:L74,$O$62:$O$74,Lister!$D$31,$A$62:$A$74,Lister!$M$10))*$C$6/100,
IF($G$6=Lister!$D$7,(AB126-SUMIFS(L62:L74,$O$62:$O$74,Lister!$D$31,$A$62:$A$74,Lister!$M$10)-SUMIFS(L62:L74,$O$62:$O$74,Lister!$D$31,$A$62:$A$74,Lister!$M$7))*$C$6/100,
IF($G$6=Lister!$D$8,(AB126+AB128)*$C$6/100,
IF($G$6=Lister!$D$9,AB125*$C$6/100,0)))))))</f>
        <v>0</v>
      </c>
      <c r="AC127" s="138">
        <f t="shared" si="118"/>
        <v>0</v>
      </c>
    </row>
    <row r="128" spans="1:62" ht="14.25" customHeight="1">
      <c r="Q128" s="151" t="s">
        <v>103</v>
      </c>
      <c r="R128" s="312">
        <f t="shared" si="117"/>
        <v>0</v>
      </c>
      <c r="S128" s="153">
        <f>+IF($C$8=Lister!$O$5,(SUMIF($O$20:$O$29,Lister!$D$31,C20:C29))*Takstblad!C$84,0)</f>
        <v>0</v>
      </c>
      <c r="T128" s="153">
        <f>+IF($C$8=Lister!$O$5,(SUMIF($O$20:$O$29,Lister!$D$31,D20:D29))*Takstblad!D$84,0)</f>
        <v>0</v>
      </c>
      <c r="U128" s="153">
        <f>+IF($C$8=Lister!$O$5,(SUMIF($O$20:$O$29,Lister!$D$31,E20:E29))*Takstblad!E$84,0)</f>
        <v>0</v>
      </c>
      <c r="V128" s="153">
        <f>+IF($C$8=Lister!$O$5,(SUMIF($O$20:$O$29,Lister!$D$31,F20:F29))*Takstblad!F$84,0)</f>
        <v>0</v>
      </c>
      <c r="W128" s="153">
        <f>+IF($C$8=Lister!$O$5,(SUMIF($O$20:$O$29,Lister!$D$31,G20:G29))*Takstblad!G$84,0)</f>
        <v>0</v>
      </c>
      <c r="X128" s="300">
        <f>+IF($C$8=Lister!$O$5,(SUMIF($O$20:$O$29,Lister!$D$31,H20:H29))*Takstblad!H$84,0)</f>
        <v>0</v>
      </c>
      <c r="Y128" s="297">
        <f>+IF($C$8=Lister!$O$5,(SUMIF($O$20:$O$29,Lister!$D$31,I20:I29))*Takstblad!I$84,0)</f>
        <v>0</v>
      </c>
      <c r="Z128" s="21">
        <f>+IF($C$8=Lister!$O$5,(SUMIF($O$20:$O$29,Lister!$D$31,J20:J29))*Takstblad!J$84,0)</f>
        <v>0</v>
      </c>
      <c r="AA128" s="21">
        <f>+IF($C$8=Lister!$O$5,(SUMIF($O$20:$O$29,Lister!$D$31,K20:K29))*Takstblad!K$84,0)</f>
        <v>0</v>
      </c>
      <c r="AB128" s="21">
        <f>+IF($C$8=Lister!$O$5,(SUMIF($O$20:$O$29,Lister!$D$31,L20:L29))*Takstblad!L$84,0)</f>
        <v>0</v>
      </c>
      <c r="AC128" s="138">
        <f t="shared" si="118"/>
        <v>0</v>
      </c>
    </row>
    <row r="129" spans="17:29" ht="14.25" customHeight="1">
      <c r="Q129" s="151" t="s">
        <v>108</v>
      </c>
      <c r="R129" s="312">
        <f t="shared" si="117"/>
        <v>0</v>
      </c>
      <c r="S129" s="153"/>
      <c r="T129" s="153"/>
      <c r="U129" s="153"/>
      <c r="V129" s="153"/>
      <c r="W129" s="153"/>
      <c r="X129" s="300"/>
      <c r="Y129" s="110"/>
      <c r="Z129" s="21"/>
      <c r="AA129" s="21"/>
      <c r="AB129" s="21"/>
      <c r="AC129" s="138">
        <f t="shared" si="118"/>
        <v>0</v>
      </c>
    </row>
    <row r="130" spans="17:29" ht="14.25" customHeight="1">
      <c r="Q130" s="150" t="s">
        <v>531</v>
      </c>
      <c r="R130" s="312">
        <f t="shared" si="117"/>
        <v>0</v>
      </c>
      <c r="S130" s="153" t="str">
        <f>IF($C$12=2,(SUM(S126:S129)*$C$13)/100,"0")</f>
        <v>0</v>
      </c>
      <c r="T130" s="153" t="str">
        <f t="shared" ref="T130:Z130" si="121">IF($C$12=2,(SUM(T126:T129)*$C$13)/100,"0")</f>
        <v>0</v>
      </c>
      <c r="U130" s="153" t="str">
        <f t="shared" si="121"/>
        <v>0</v>
      </c>
      <c r="V130" s="153" t="str">
        <f t="shared" si="121"/>
        <v>0</v>
      </c>
      <c r="W130" s="153" t="str">
        <f t="shared" si="121"/>
        <v>0</v>
      </c>
      <c r="X130" s="300" t="str">
        <f t="shared" si="121"/>
        <v>0</v>
      </c>
      <c r="Y130" s="154" t="str">
        <f t="shared" si="121"/>
        <v>0</v>
      </c>
      <c r="Z130" s="153" t="str">
        <f t="shared" si="121"/>
        <v>0</v>
      </c>
      <c r="AA130" s="153" t="str">
        <f>IF($C$12=2,(SUM(AA126:AA129)*$C$13)/100,"0")</f>
        <v>0</v>
      </c>
      <c r="AB130" s="153" t="str">
        <f>IF($C$12=2,(SUM(AB126:AB129)*$C$13)/100,"0")</f>
        <v>0</v>
      </c>
      <c r="AC130" s="138">
        <f t="shared" si="118"/>
        <v>0</v>
      </c>
    </row>
    <row r="131" spans="17:29" ht="14.25" customHeight="1" thickBot="1">
      <c r="Q131" s="303" t="s">
        <v>101</v>
      </c>
      <c r="R131" s="331">
        <f t="shared" si="117"/>
        <v>0</v>
      </c>
      <c r="S131" s="332">
        <f>+SUM(S126:S130)</f>
        <v>0</v>
      </c>
      <c r="T131" s="332">
        <f t="shared" ref="T131:Z131" si="122">+SUM(T126:T130)</f>
        <v>0</v>
      </c>
      <c r="U131" s="332">
        <f t="shared" si="122"/>
        <v>0</v>
      </c>
      <c r="V131" s="332">
        <f t="shared" si="122"/>
        <v>0</v>
      </c>
      <c r="W131" s="332">
        <f t="shared" si="122"/>
        <v>0</v>
      </c>
      <c r="X131" s="333">
        <f t="shared" si="122"/>
        <v>0</v>
      </c>
      <c r="Y131" s="299">
        <f t="shared" si="122"/>
        <v>0</v>
      </c>
      <c r="Z131" s="143">
        <f t="shared" si="122"/>
        <v>0</v>
      </c>
      <c r="AA131" s="143">
        <f>+SUM(AA126:AA130)</f>
        <v>0</v>
      </c>
      <c r="AB131" s="143">
        <f>+SUM(AB126:AB130)</f>
        <v>0</v>
      </c>
      <c r="AC131" s="144">
        <f t="shared" si="118"/>
        <v>0</v>
      </c>
    </row>
    <row r="132" spans="17:29" ht="12.5">
      <c r="Q132" s="7"/>
      <c r="R132" s="7"/>
    </row>
    <row r="133" spans="17:29" ht="12.5">
      <c r="Q133" s="7"/>
      <c r="R133" s="7"/>
    </row>
    <row r="134" spans="17:29" ht="12.5">
      <c r="Q134" s="7"/>
      <c r="R134" s="7"/>
    </row>
    <row r="142" spans="17:29" ht="12.5">
      <c r="Q142" s="7"/>
      <c r="R142" s="7"/>
    </row>
    <row r="143" spans="17:29" ht="12.5">
      <c r="Q143" s="7"/>
      <c r="R143" s="7"/>
    </row>
    <row r="144" spans="17:29" ht="12.5">
      <c r="Q144" s="7"/>
      <c r="R144" s="7"/>
    </row>
    <row r="145" s="7" customFormat="1" ht="12.5"/>
    <row r="146" s="7" customFormat="1" ht="12.5"/>
    <row r="147" s="7" customFormat="1" ht="12.5"/>
    <row r="148" s="7" customFormat="1" ht="12.5"/>
    <row r="149" s="7" customFormat="1" ht="12.5"/>
    <row r="150" s="7" customFormat="1" ht="12.5"/>
    <row r="151" s="7" customFormat="1" ht="12.5"/>
    <row r="152" s="7" customFormat="1" ht="12.5"/>
  </sheetData>
  <sheetProtection algorithmName="SHA-512" hashValue="dYoz9z+HVw8W4dZ7Ei4rBZp3JBEIQQQjXQR1Wk58jKXo3ZVYAHBD2PEel+YqdDVwgxNNidmYvUInA67if4m//w==" saltValue="ipbw34rny1G3WGL39s0RzA==" spinCount="100000" sheet="1" objects="1" scenarios="1"/>
  <mergeCells count="35">
    <mergeCell ref="BF19:BG19"/>
    <mergeCell ref="BF42:BG42"/>
    <mergeCell ref="BI19:BJ19"/>
    <mergeCell ref="BI42:BJ42"/>
    <mergeCell ref="AE42:AF42"/>
    <mergeCell ref="AH42:AI42"/>
    <mergeCell ref="AK42:AL42"/>
    <mergeCell ref="AN42:AO42"/>
    <mergeCell ref="AQ42:AR42"/>
    <mergeCell ref="AZ19:BA19"/>
    <mergeCell ref="AZ42:BA42"/>
    <mergeCell ref="BC19:BD19"/>
    <mergeCell ref="BC42:BD42"/>
    <mergeCell ref="AT19:AU19"/>
    <mergeCell ref="AW19:AX19"/>
    <mergeCell ref="AT42:AU42"/>
    <mergeCell ref="AW42:AX42"/>
    <mergeCell ref="AN19:AO19"/>
    <mergeCell ref="AQ19:AR19"/>
    <mergeCell ref="D6:F6"/>
    <mergeCell ref="G6:H6"/>
    <mergeCell ref="G7:H7"/>
    <mergeCell ref="D12:G12"/>
    <mergeCell ref="D13:G13"/>
    <mergeCell ref="J12:O12"/>
    <mergeCell ref="C8:D8"/>
    <mergeCell ref="C3:H3"/>
    <mergeCell ref="C4:H4"/>
    <mergeCell ref="C5:H5"/>
    <mergeCell ref="AH19:AI19"/>
    <mergeCell ref="AK19:AL19"/>
    <mergeCell ref="AE19:AF19"/>
    <mergeCell ref="D7:F7"/>
    <mergeCell ref="D14:H14"/>
    <mergeCell ref="D16:H16"/>
  </mergeCells>
  <phoneticPr fontId="5" type="noConversion"/>
  <dataValidations xWindow="301" yWindow="666" count="3">
    <dataValidation type="decimal" operator="lessThan" allowBlank="1" showInputMessage="1" showErrorMessage="1" errorTitle="Too high value" error="Value can't exceed 12 months" sqref="C43:L52 C20:L39" xr:uid="{0F9873F2-B84E-4294-913D-54246FA3C950}">
      <formula1>13</formula1>
    </dataValidation>
    <dataValidation allowBlank="1" showInputMessage="1" sqref="I6 D6:F6" xr:uid="{BB5497AB-706F-493A-940A-E0DD5052689B}"/>
    <dataValidation type="date" allowBlank="1" showInputMessage="1" showErrorMessage="1" sqref="C9 D9:D10 I9:I10 H9" xr:uid="{CABECA05-8ABD-456A-A2FE-B5E9A2899123}">
      <formula1>45292</formula1>
      <formula2>73050</formula2>
    </dataValidation>
  </dataValidations>
  <pageMargins left="0.15748031496062992" right="0.23622047244094491" top="0.27559055118110237" bottom="0.19685039370078741" header="0" footer="0"/>
  <pageSetup paperSize="9" scale="32" fitToWidth="2" orientation="landscape" r:id="rId1"/>
  <headerFooter alignWithMargins="0">
    <oddFooter>&amp;R&amp;A
&amp;D</oddFooter>
  </headerFooter>
  <colBreaks count="1" manualBreakCount="1">
    <brk id="15" max="119" man="1"/>
  </colBreaks>
  <ignoredErrors>
    <ignoredError sqref="AE57:AF57 M57 M76 M41 C41:H41 C76:H76 C57:H57" unlockedFormula="1"/>
  </ignoredErrors>
  <legacyDrawing r:id="rId2"/>
  <extLst>
    <ext xmlns:x14="http://schemas.microsoft.com/office/spreadsheetml/2009/9/main" uri="{CCE6A557-97BC-4b89-ADB6-D9C93CAAB3DF}">
      <x14:dataValidations xmlns:xm="http://schemas.microsoft.com/office/excel/2006/main" xWindow="301" yWindow="666" count="18">
        <x14:dataValidation type="list" errorStyle="warning" allowBlank="1" showInputMessage="1" showErrorMessage="1" errorTitle="Are you sure" error="You are about to select a number of hours that is not on the list. Are you sure you want to continue?" xr:uid="{7DCA00B2-191C-4C71-8CDB-A82A6E31ECB0}">
          <x14:formula1>
            <xm:f>Lister!$F$4:$F$10</xm:f>
          </x14:formula1>
          <xm:sqref>C7</xm:sqref>
        </x14:dataValidation>
        <x14:dataValidation type="list" allowBlank="1" showInputMessage="1" showErrorMessage="1" xr:uid="{A5F79424-518A-4991-BEA5-6AC287C55F16}">
          <x14:formula1>
            <xm:f>Takstblad!$A$5:$A$30</xm:f>
          </x14:formula1>
          <xm:sqref>A20:A39</xm:sqref>
        </x14:dataValidation>
        <x14:dataValidation type="list" allowBlank="1" showInputMessage="1" xr:uid="{90738220-ECE5-4E95-9A07-297AB972BD05}">
          <x14:formula1>
            <xm:f>Lister!$O$4:$O$5</xm:f>
          </x14:formula1>
          <xm:sqref>C11</xm:sqref>
        </x14:dataValidation>
        <x14:dataValidation type="list" allowBlank="1" showErrorMessage="1" errorTitle="Information" error="Please choose a department from the list_x000a_" prompt="_x000a_" xr:uid="{00000000-0002-0000-0600-000000000000}">
          <x14:formula1>
            <xm:f>Lister!$A$4:$A$16</xm:f>
          </x14:formula1>
          <xm:sqref>C2</xm:sqref>
        </x14:dataValidation>
        <x14:dataValidation type="list" allowBlank="1" showInputMessage="1" showErrorMessage="1" errorTitle="STOP" error="You can only select a value from the list." xr:uid="{BC38D7FB-2001-4FC5-98E3-A24D101F3336}">
          <x14:formula1>
            <xm:f>Lister!$A$40:$A$41</xm:f>
          </x14:formula1>
          <xm:sqref>H8 H15</xm:sqref>
        </x14:dataValidation>
        <x14:dataValidation type="list" allowBlank="1" showInputMessage="1" showErrorMessage="1" errorTitle="STOP" error="You can only select a value from the list." xr:uid="{67063839-4FC5-4411-9A37-47714B11D459}">
          <x14:formula1>
            <xm:f>Lister!$A$49:$A$50</xm:f>
          </x14:formula1>
          <xm:sqref>C12</xm:sqref>
        </x14:dataValidation>
        <x14:dataValidation type="list" allowBlank="1" showInputMessage="1" showErrorMessage="1" errorTitle="STOP" error="You can only select a value from the list." xr:uid="{9FF50B91-2E1D-4C52-BA0A-60B6344B8F87}">
          <x14:formula1>
            <xm:f>Lister!$I$4:$I$7</xm:f>
          </x14:formula1>
          <xm:sqref>G7:H7</xm:sqref>
        </x14:dataValidation>
        <x14:dataValidation type="list" errorStyle="information" allowBlank="1" showErrorMessage="1" errorTitle="Are you sure" error="You are about to select an EBIT that is different from 10. Are you sure you want to continue?" xr:uid="{95322450-4178-47C1-9525-FAD6B0659DAA}">
          <x14:formula1>
            <xm:f>Lister!$A$53:$A$54</xm:f>
          </x14:formula1>
          <xm:sqref>C13</xm:sqref>
        </x14:dataValidation>
        <x14:dataValidation type="list" errorStyle="warning" allowBlank="1" showInputMessage="1" showErrorMessage="1" errorTitle="Are you sure" error="You are about to select an EBIT that is different from 10. Are you sure you want to continue?" xr:uid="{D955E68A-CDE4-45D6-91A2-B79553C1BCAA}">
          <x14:formula1>
            <xm:f>Lister!$A$40:$A$41</xm:f>
          </x14:formula1>
          <xm:sqref>C14:C16</xm:sqref>
        </x14:dataValidation>
        <x14:dataValidation type="list" allowBlank="1" showInputMessage="1" xr:uid="{C4F3E8FA-E39D-4200-A66F-ADDC9E192912}">
          <x14:formula1>
            <xm:f>Lister!$O$4:$O$6</xm:f>
          </x14:formula1>
          <xm:sqref>C8:D8</xm:sqref>
        </x14:dataValidation>
        <x14:dataValidation type="list" allowBlank="1" showInputMessage="1" showErrorMessage="1" errorTitle="STOP" error="You can only select a value from the list." xr:uid="{3A2DDBFB-ADFD-41E2-A485-0524134C5BA8}">
          <x14:formula1>
            <xm:f>Lister!$D$29:$D$32</xm:f>
          </x14:formula1>
          <xm:sqref>O43:P52 O62:P72 O20:P39</xm:sqref>
        </x14:dataValidation>
        <x14:dataValidation type="list" errorStyle="information" allowBlank="1" showInputMessage="1" xr:uid="{9F1A7021-0F43-4F4B-B715-5AD1A6BD9FF9}">
          <x14:formula1>
            <xm:f>Lister!$A$61:$A$62</xm:f>
          </x14:formula1>
          <xm:sqref>C10</xm:sqref>
        </x14:dataValidation>
        <x14:dataValidation type="list" allowBlank="1" showInputMessage="1" showErrorMessage="1" xr:uid="{292A0CB8-A3FD-4227-B20E-B2FBD541DFF9}">
          <x14:formula1>
            <xm:f>Lister!$A$65:$A$66</xm:f>
          </x14:formula1>
          <xm:sqref>H10</xm:sqref>
        </x14:dataValidation>
        <x14:dataValidation type="list" allowBlank="1" showInputMessage="1" showErrorMessage="1" xr:uid="{F4337896-2E36-4817-89CB-FCA3CED084C9}">
          <x14:formula1>
            <xm:f>Lister!$M$4:$M$17</xm:f>
          </x14:formula1>
          <xm:sqref>A62:A72</xm:sqref>
        </x14:dataValidation>
        <x14:dataValidation type="list" allowBlank="1" showInputMessage="1" showErrorMessage="1" xr:uid="{8997776F-729E-43A1-A8FC-AA19C3DB0006}">
          <x14:formula1>
            <xm:f>Takstblad!$A$33:$A$47</xm:f>
          </x14:formula1>
          <xm:sqref>A43:A52</xm:sqref>
        </x14:dataValidation>
        <x14:dataValidation type="list" errorStyle="warning" allowBlank="1" showInputMessage="1" showErrorMessage="1" errorTitle="VIGTIGT" error="If you don't select funders from the list, make sure that the fields&quot; Insert overheads rate&quot;, Insert yearly count of hours&quot;, &quot;Overheads calculation basis&quot; and &quot;Calculate technical admin.&quot; are filled correctly" xr:uid="{3A2C0B6D-CE5E-419F-9B1C-4429EDEA35BE}">
          <x14:formula1>
            <xm:f>Lister!$I$20:$I$52</xm:f>
          </x14:formula1>
          <xm:sqref>C5:H5</xm:sqref>
        </x14:dataValidation>
        <x14:dataValidation type="list" allowBlank="1" showInputMessage="1" xr:uid="{BA57DE47-DCA4-42A9-BF09-E7414264A4E6}">
          <x14:formula1>
            <xm:f>Lister!$D$37:$D$44</xm:f>
          </x14:formula1>
          <xm:sqref>C6</xm:sqref>
        </x14:dataValidation>
        <x14:dataValidation type="list" allowBlank="1" showInputMessage="1" xr:uid="{02D67E29-6B20-46DB-95A1-CA0176039606}">
          <x14:formula1>
            <xm:f>Lister!$D$4:$D$9</xm:f>
          </x14:formula1>
          <xm:sqref>G6:H6</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Ark4">
    <tabColor theme="8" tint="0.59999389629810485"/>
  </sheetPr>
  <dimension ref="A1:BN152"/>
  <sheetViews>
    <sheetView showGridLines="0" showZeros="0" zoomScale="80" zoomScaleNormal="80" zoomScaleSheetLayoutView="80" workbookViewId="0">
      <pane xSplit="2" ySplit="17" topLeftCell="C18" activePane="bottomRight" state="frozen"/>
      <selection activeCell="C6" sqref="C6"/>
      <selection pane="topRight" activeCell="C6" sqref="C6"/>
      <selection pane="bottomLeft" activeCell="C6" sqref="C6"/>
      <selection pane="bottomRight" activeCell="C2" sqref="C2"/>
    </sheetView>
  </sheetViews>
  <sheetFormatPr defaultColWidth="16.75" defaultRowHeight="13" outlineLevelRow="1" outlineLevelCol="1"/>
  <cols>
    <col min="1" max="1" width="53.58203125" style="7" customWidth="1"/>
    <col min="2" max="2" width="11.58203125" style="7" hidden="1" customWidth="1"/>
    <col min="3" max="8" width="11.58203125" style="7" customWidth="1"/>
    <col min="9" max="12" width="11.58203125" style="7" hidden="1" customWidth="1" outlineLevel="1"/>
    <col min="13" max="13" width="11.58203125" style="7" customWidth="1" collapsed="1"/>
    <col min="14" max="14" width="35.25" style="7" customWidth="1"/>
    <col min="15" max="15" width="27.08203125" style="7" customWidth="1"/>
    <col min="16" max="16" width="6" style="7" customWidth="1"/>
    <col min="17" max="18" width="25.08203125" style="6" customWidth="1"/>
    <col min="19" max="24" width="12.58203125" style="7" customWidth="1"/>
    <col min="25" max="29" width="12.58203125" style="7" hidden="1" customWidth="1" outlineLevel="1"/>
    <col min="30" max="30" width="4.08203125" style="7" customWidth="1" collapsed="1"/>
    <col min="31" max="31" width="10.75" style="7" bestFit="1" customWidth="1"/>
    <col min="32" max="32" width="14.75" style="7" bestFit="1" customWidth="1"/>
    <col min="33" max="33" width="1.08203125" style="7" customWidth="1"/>
    <col min="34" max="34" width="10.75" style="7" bestFit="1" customWidth="1"/>
    <col min="35" max="35" width="14.75" style="7" bestFit="1" customWidth="1"/>
    <col min="36" max="36" width="1.08203125" style="7" customWidth="1"/>
    <col min="37" max="37" width="10.75" style="7" bestFit="1" customWidth="1"/>
    <col min="38" max="38" width="14.75" style="7" bestFit="1" customWidth="1"/>
    <col min="39" max="39" width="1.08203125" style="7" customWidth="1"/>
    <col min="40" max="40" width="10.75" style="7" bestFit="1" customWidth="1"/>
    <col min="41" max="41" width="14.75" style="7" bestFit="1" customWidth="1"/>
    <col min="42" max="42" width="1.08203125" style="7" customWidth="1"/>
    <col min="43" max="43" width="10.75" style="7" bestFit="1" customWidth="1"/>
    <col min="44" max="44" width="14.75" style="7" bestFit="1" customWidth="1"/>
    <col min="45" max="45" width="1.08203125" style="7" customWidth="1"/>
    <col min="46" max="46" width="10.75" style="7" bestFit="1" customWidth="1"/>
    <col min="47" max="47" width="14.75" style="7" bestFit="1" customWidth="1"/>
    <col min="48" max="48" width="1.08203125" style="7" customWidth="1"/>
    <col min="49" max="49" width="10.75" style="7" bestFit="1" customWidth="1"/>
    <col min="50" max="50" width="14.75" style="7" bestFit="1" customWidth="1"/>
    <col min="51" max="51" width="1.08203125" style="7" customWidth="1"/>
    <col min="52" max="52" width="10.75" style="7" hidden="1" customWidth="1" outlineLevel="1"/>
    <col min="53" max="53" width="14.75" style="7" hidden="1" customWidth="1" outlineLevel="1"/>
    <col min="54" max="54" width="1.08203125" style="7" hidden="1" customWidth="1" outlineLevel="1"/>
    <col min="55" max="55" width="10.75" style="7" hidden="1" customWidth="1" outlineLevel="1"/>
    <col min="56" max="56" width="14.75" style="7" hidden="1" customWidth="1" outlineLevel="1"/>
    <col min="57" max="57" width="1.08203125" style="7" hidden="1" customWidth="1" outlineLevel="1"/>
    <col min="58" max="58" width="10.75" style="7" hidden="1" customWidth="1" outlineLevel="1"/>
    <col min="59" max="59" width="14.75" style="7" hidden="1" customWidth="1" outlineLevel="1"/>
    <col min="60" max="60" width="1.08203125" style="7" hidden="1" customWidth="1" outlineLevel="1"/>
    <col min="61" max="61" width="10.75" style="7" hidden="1" customWidth="1" outlineLevel="1"/>
    <col min="62" max="62" width="14.75" style="7" hidden="1" customWidth="1" outlineLevel="1"/>
    <col min="63" max="63" width="16.75" style="7" collapsed="1"/>
    <col min="64" max="16384" width="16.75" style="7"/>
  </cols>
  <sheetData>
    <row r="1" spans="1:62" s="5" customFormat="1" ht="22.4" customHeight="1">
      <c r="A1" s="40" t="s">
        <v>28</v>
      </c>
      <c r="B1" s="7"/>
      <c r="E1" s="339" t="s">
        <v>732</v>
      </c>
      <c r="I1" s="7"/>
      <c r="N1" s="339"/>
      <c r="Q1" s="16"/>
      <c r="R1" s="16"/>
    </row>
    <row r="2" spans="1:62" s="5" customFormat="1" ht="15.65" customHeight="1">
      <c r="A2" s="340" t="s">
        <v>160</v>
      </c>
      <c r="B2" s="7"/>
      <c r="C2" s="278"/>
      <c r="D2" s="339"/>
      <c r="E2" s="339" t="s">
        <v>32</v>
      </c>
      <c r="I2" s="7"/>
      <c r="M2" s="344"/>
      <c r="N2" s="339"/>
      <c r="O2" s="339"/>
      <c r="P2" s="339"/>
      <c r="Q2" s="16"/>
      <c r="R2" s="16"/>
    </row>
    <row r="3" spans="1:62" s="5" customFormat="1" ht="15.65" customHeight="1" thickBot="1">
      <c r="A3" s="340" t="s">
        <v>151</v>
      </c>
      <c r="B3" s="7"/>
      <c r="C3" s="541">
        <f>+'B1'!C3</f>
        <v>0</v>
      </c>
      <c r="D3" s="542"/>
      <c r="E3" s="542"/>
      <c r="F3" s="542"/>
      <c r="G3" s="542"/>
      <c r="H3" s="543"/>
      <c r="I3" s="69"/>
      <c r="J3" s="353"/>
      <c r="K3" s="353"/>
      <c r="L3" s="353"/>
      <c r="M3" s="191"/>
      <c r="N3" s="179"/>
      <c r="O3" s="351"/>
      <c r="P3" s="351"/>
      <c r="Q3" s="168"/>
      <c r="R3" s="168"/>
      <c r="S3" s="345"/>
      <c r="T3" s="179"/>
      <c r="U3" s="352"/>
      <c r="V3" s="179"/>
      <c r="W3" s="179"/>
      <c r="X3" s="179"/>
      <c r="Y3" s="179"/>
      <c r="Z3" s="179"/>
      <c r="AA3" s="179"/>
      <c r="AB3" s="179"/>
      <c r="AC3" s="179"/>
      <c r="AD3" s="179"/>
      <c r="AE3" s="179"/>
      <c r="AF3" s="179"/>
      <c r="AG3" s="179"/>
      <c r="AH3" s="179"/>
      <c r="AI3" s="179"/>
      <c r="AJ3" s="179"/>
      <c r="AK3" s="179"/>
      <c r="AL3" s="179"/>
      <c r="AM3" s="179"/>
      <c r="AN3" s="179"/>
      <c r="AO3" s="179"/>
      <c r="AP3" s="179"/>
      <c r="AQ3" s="179"/>
      <c r="AR3" s="179"/>
      <c r="AS3" s="179"/>
      <c r="AT3" s="179"/>
      <c r="AU3" s="179"/>
      <c r="AV3" s="179"/>
      <c r="AW3" s="179"/>
      <c r="AX3" s="179"/>
      <c r="AY3" s="179"/>
      <c r="AZ3" s="179"/>
      <c r="BA3" s="179"/>
      <c r="BB3" s="179"/>
      <c r="BC3" s="179"/>
      <c r="BD3" s="179"/>
      <c r="BE3" s="179"/>
      <c r="BF3" s="179"/>
      <c r="BG3" s="179"/>
      <c r="BH3" s="179"/>
      <c r="BI3" s="179"/>
      <c r="BJ3" s="179"/>
    </row>
    <row r="4" spans="1:62" s="5" customFormat="1" ht="15.65" customHeight="1" thickBot="1">
      <c r="A4" s="340" t="s">
        <v>737</v>
      </c>
      <c r="B4" s="7"/>
      <c r="C4" s="541">
        <f>+'B1'!C4</f>
        <v>0</v>
      </c>
      <c r="D4" s="542"/>
      <c r="E4" s="542"/>
      <c r="F4" s="542"/>
      <c r="G4" s="542"/>
      <c r="H4" s="543"/>
      <c r="I4" s="69"/>
      <c r="J4" s="336"/>
      <c r="K4" s="336"/>
      <c r="L4" s="354"/>
      <c r="M4" s="396"/>
      <c r="N4" s="334" t="s">
        <v>586</v>
      </c>
      <c r="O4" s="394">
        <f>IFERROR((R89-R84+R112-R126)/(R84-R112+R126),0)</f>
        <v>0</v>
      </c>
      <c r="P4" s="351"/>
      <c r="Q4" s="168"/>
      <c r="R4" s="168"/>
      <c r="S4"/>
      <c r="T4" s="179"/>
      <c r="U4" s="352"/>
      <c r="V4" s="179"/>
      <c r="W4" s="179"/>
      <c r="X4" s="179"/>
      <c r="Y4" s="179"/>
      <c r="Z4" s="179"/>
      <c r="AA4" s="179"/>
      <c r="AB4" s="179"/>
      <c r="AC4" s="179"/>
      <c r="AD4" s="179"/>
      <c r="AE4" s="179"/>
      <c r="AF4" s="179"/>
      <c r="AG4" s="179"/>
      <c r="AH4" s="179"/>
      <c r="AI4" s="179"/>
      <c r="AJ4" s="179"/>
      <c r="AK4" s="179"/>
      <c r="AL4" s="179"/>
      <c r="AM4" s="179"/>
      <c r="AN4" s="179"/>
      <c r="AO4" s="179"/>
      <c r="AP4" s="179"/>
      <c r="AQ4" s="179"/>
      <c r="AR4" s="179"/>
      <c r="AS4" s="179"/>
      <c r="AT4" s="179"/>
      <c r="AU4" s="179"/>
      <c r="AV4" s="179"/>
      <c r="AW4" s="179"/>
      <c r="AX4" s="179"/>
      <c r="AY4" s="179"/>
      <c r="AZ4" s="179"/>
      <c r="BA4" s="179"/>
      <c r="BB4" s="179"/>
      <c r="BC4" s="179"/>
      <c r="BD4" s="179"/>
      <c r="BE4" s="179"/>
      <c r="BF4" s="179"/>
      <c r="BG4" s="179"/>
      <c r="BH4" s="179"/>
      <c r="BI4" s="179"/>
      <c r="BJ4" s="179"/>
    </row>
    <row r="5" spans="1:62" s="5" customFormat="1" ht="15.65" customHeight="1" thickBot="1">
      <c r="A5" s="340" t="s">
        <v>609</v>
      </c>
      <c r="B5" s="7"/>
      <c r="C5" s="544"/>
      <c r="D5" s="545"/>
      <c r="E5" s="545"/>
      <c r="F5" s="545"/>
      <c r="G5" s="545"/>
      <c r="H5" s="546"/>
      <c r="I5" s="69"/>
      <c r="J5" s="336"/>
      <c r="K5" s="336"/>
      <c r="L5" s="355"/>
      <c r="M5" s="396"/>
      <c r="N5" s="335" t="s">
        <v>610</v>
      </c>
      <c r="O5" s="395">
        <f>IFERROR((AC126/AC68),0)</f>
        <v>0</v>
      </c>
      <c r="P5" s="345"/>
      <c r="Q5" s="168"/>
      <c r="R5" s="168"/>
      <c r="S5" s="179"/>
      <c r="T5" s="179"/>
      <c r="U5" s="352"/>
      <c r="V5" s="179"/>
      <c r="W5" s="179"/>
      <c r="X5" s="179"/>
      <c r="Y5" s="179"/>
      <c r="Z5" s="179"/>
      <c r="AA5" s="179"/>
      <c r="AB5" s="179"/>
      <c r="AC5" s="179"/>
      <c r="AD5" s="179"/>
      <c r="AE5" s="179"/>
      <c r="AF5" s="179"/>
      <c r="AG5" s="179"/>
      <c r="AH5" s="179"/>
      <c r="AI5" s="179"/>
      <c r="AJ5" s="179"/>
      <c r="AK5" s="179"/>
      <c r="AL5" s="179"/>
      <c r="AM5" s="179"/>
      <c r="AN5" s="179"/>
      <c r="AO5" s="179"/>
      <c r="AP5" s="179"/>
      <c r="AQ5" s="179"/>
      <c r="AR5" s="179"/>
      <c r="AS5" s="179"/>
      <c r="AT5" s="179"/>
      <c r="AU5" s="179"/>
      <c r="AV5" s="179"/>
      <c r="AW5" s="179"/>
      <c r="AX5" s="179"/>
      <c r="AY5" s="179"/>
      <c r="AZ5" s="179"/>
      <c r="BA5" s="179"/>
      <c r="BB5" s="179"/>
      <c r="BC5" s="179"/>
      <c r="BD5" s="179"/>
      <c r="BE5" s="179"/>
      <c r="BF5" s="179"/>
      <c r="BG5" s="179"/>
      <c r="BH5" s="179"/>
      <c r="BI5" s="179"/>
      <c r="BJ5" s="179"/>
    </row>
    <row r="6" spans="1:62" s="5" customFormat="1" ht="15.65" customHeight="1" thickBot="1">
      <c r="A6" s="340" t="s">
        <v>29</v>
      </c>
      <c r="B6" s="7"/>
      <c r="C6" s="279">
        <f>IFERROR(IF(C12=Lister!A50,INDEX(Table22[Overhead],MATCH(C9,Table22[IV fra-dato],1)),IF(C8=Lister!O5,5,VLOOKUP(C5,Lister!I20:O52,5,FALSE))),0)</f>
        <v>0</v>
      </c>
      <c r="D6" s="558" t="s">
        <v>31</v>
      </c>
      <c r="E6" s="559"/>
      <c r="F6" s="559"/>
      <c r="G6" s="562" t="str">
        <f>IF(C8="Bench Fee","Salary, operations and Bench Fee",IFERROR(VLOOKUP(C5,Lister!I19:S52,9,FALSE),"Salary and operations"))</f>
        <v>Salary and operations</v>
      </c>
      <c r="H6" s="567"/>
      <c r="I6" s="75"/>
      <c r="J6" s="336"/>
      <c r="K6" s="336"/>
      <c r="L6" s="355"/>
      <c r="M6" s="396"/>
      <c r="N6" s="335" t="s">
        <v>672</v>
      </c>
      <c r="O6" s="395">
        <f>IFERROR(AC103/AC73,0)</f>
        <v>0</v>
      </c>
      <c r="P6" s="345"/>
      <c r="Q6" s="168"/>
      <c r="R6" s="356"/>
      <c r="S6" s="179"/>
      <c r="T6" s="179"/>
      <c r="U6" s="179"/>
      <c r="V6" s="179"/>
      <c r="W6" s="179"/>
      <c r="X6" s="179"/>
      <c r="Y6" s="179"/>
      <c r="Z6" s="179"/>
      <c r="AA6" s="179"/>
      <c r="AB6" s="179"/>
      <c r="AC6" s="179"/>
      <c r="AD6" s="179"/>
      <c r="AE6" s="179"/>
      <c r="AF6" s="179"/>
      <c r="AG6" s="179"/>
      <c r="AH6" s="179"/>
      <c r="AI6" s="179"/>
      <c r="AJ6" s="179"/>
      <c r="AK6" s="179"/>
      <c r="AL6" s="179"/>
      <c r="AM6" s="179"/>
      <c r="AN6" s="179"/>
      <c r="AO6" s="179"/>
      <c r="AP6" s="179"/>
      <c r="AQ6" s="179"/>
      <c r="AR6" s="179"/>
      <c r="AS6" s="179"/>
      <c r="AT6" s="179"/>
      <c r="AU6" s="179"/>
      <c r="AV6" s="179"/>
      <c r="AW6" s="179"/>
      <c r="AX6" s="179"/>
      <c r="AY6" s="179"/>
      <c r="AZ6" s="179"/>
      <c r="BA6" s="179"/>
      <c r="BB6" s="179"/>
      <c r="BC6" s="179"/>
      <c r="BD6" s="179"/>
      <c r="BE6" s="179"/>
      <c r="BF6" s="179"/>
      <c r="BG6" s="179"/>
      <c r="BH6" s="179"/>
      <c r="BI6" s="179"/>
      <c r="BJ6" s="179"/>
    </row>
    <row r="7" spans="1:62" s="5" customFormat="1" ht="15.65" customHeight="1">
      <c r="A7" s="340" t="s">
        <v>30</v>
      </c>
      <c r="B7" s="7"/>
      <c r="C7" s="279">
        <f>IFERROR(IF(C12=Lister!A50,1460,VLOOKUP(C5,Lister!I20:M52,3,FALSE)),0)</f>
        <v>0</v>
      </c>
      <c r="D7" s="550" t="s">
        <v>748</v>
      </c>
      <c r="E7" s="551"/>
      <c r="F7" s="552"/>
      <c r="G7" s="562" t="str">
        <f>IFERROR(VLOOKUP(C5,Lister!I19:S52,11,FALSE),"Salary and operations")</f>
        <v>Salary and operations</v>
      </c>
      <c r="H7" s="567"/>
      <c r="I7" s="72"/>
      <c r="J7" s="336"/>
      <c r="K7" s="336"/>
      <c r="L7" s="336"/>
      <c r="M7" s="336"/>
      <c r="N7" s="337"/>
      <c r="O7" s="345"/>
      <c r="P7" s="345"/>
      <c r="Q7" s="168"/>
      <c r="R7" s="168"/>
      <c r="S7" s="179"/>
      <c r="T7" s="179"/>
      <c r="U7" s="179"/>
      <c r="V7" s="179"/>
      <c r="W7" s="179"/>
      <c r="X7" s="179"/>
      <c r="Y7" s="179"/>
      <c r="Z7" s="179"/>
      <c r="AA7" s="179"/>
      <c r="AB7" s="179"/>
      <c r="AC7" s="179"/>
      <c r="AD7" s="179"/>
      <c r="AE7" s="179"/>
      <c r="AF7" s="179"/>
      <c r="AG7" s="179"/>
      <c r="AH7" s="179"/>
      <c r="AI7" s="179"/>
      <c r="AJ7" s="179"/>
      <c r="AK7" s="179"/>
      <c r="AL7" s="179"/>
      <c r="AM7" s="179"/>
      <c r="AN7" s="179"/>
      <c r="AO7" s="179"/>
      <c r="AP7" s="179"/>
      <c r="AQ7" s="179"/>
      <c r="AR7" s="179"/>
      <c r="AS7" s="179"/>
      <c r="AT7" s="179"/>
      <c r="AU7" s="179"/>
      <c r="AV7" s="179"/>
      <c r="AW7" s="179"/>
      <c r="AX7" s="179"/>
      <c r="AY7" s="179"/>
      <c r="AZ7" s="179"/>
      <c r="BA7" s="179"/>
      <c r="BB7" s="179"/>
      <c r="BC7" s="179"/>
      <c r="BD7" s="179"/>
      <c r="BE7" s="179"/>
      <c r="BF7" s="179"/>
      <c r="BG7" s="179"/>
      <c r="BH7" s="179"/>
      <c r="BI7" s="179"/>
      <c r="BJ7" s="179"/>
    </row>
    <row r="8" spans="1:62" s="5" customFormat="1" ht="15.65" customHeight="1">
      <c r="A8" s="4" t="s">
        <v>105</v>
      </c>
      <c r="B8" s="7"/>
      <c r="C8" s="544" t="str">
        <f>IFERROR((VLOOKUP(C5,Lister!I20:O52,7,FALSE)),"None")</f>
        <v>None</v>
      </c>
      <c r="D8" s="546"/>
      <c r="E8" s="4" t="s">
        <v>530</v>
      </c>
      <c r="F8" s="4"/>
      <c r="G8" s="346"/>
      <c r="H8" s="388"/>
      <c r="I8" s="69"/>
      <c r="J8" s="353"/>
      <c r="K8" s="353"/>
      <c r="L8" s="353"/>
      <c r="M8" s="4"/>
      <c r="N8" s="345"/>
      <c r="O8" s="345"/>
      <c r="P8" s="345"/>
      <c r="Q8" s="168"/>
      <c r="R8" s="168"/>
      <c r="S8" s="179"/>
      <c r="T8" s="179"/>
      <c r="U8" s="179"/>
      <c r="V8" s="179"/>
      <c r="W8" s="179"/>
      <c r="X8" s="179"/>
      <c r="Y8" s="179"/>
      <c r="Z8" s="179"/>
      <c r="AA8" s="179"/>
      <c r="AB8" s="179"/>
      <c r="AC8" s="179"/>
      <c r="AD8" s="179"/>
      <c r="AE8" s="179"/>
      <c r="AF8" s="179"/>
      <c r="AG8" s="179"/>
      <c r="AH8" s="179"/>
      <c r="AI8" s="179"/>
      <c r="AJ8" s="179"/>
      <c r="AK8" s="179"/>
      <c r="AL8" s="179"/>
      <c r="AM8" s="179"/>
      <c r="AN8" s="179"/>
      <c r="AO8" s="179"/>
      <c r="AP8" s="179"/>
      <c r="AQ8" s="179"/>
      <c r="AR8" s="179"/>
      <c r="AS8" s="179"/>
      <c r="AT8" s="179"/>
      <c r="AU8" s="179"/>
      <c r="AV8" s="179"/>
      <c r="AW8" s="179"/>
      <c r="AX8" s="179"/>
      <c r="AY8" s="179"/>
      <c r="AZ8" s="179"/>
      <c r="BA8" s="179"/>
      <c r="BB8" s="179"/>
      <c r="BC8" s="179"/>
      <c r="BD8" s="179"/>
      <c r="BE8" s="179"/>
      <c r="BF8" s="179"/>
      <c r="BG8" s="179"/>
      <c r="BH8" s="179"/>
      <c r="BI8" s="179"/>
      <c r="BJ8" s="179"/>
    </row>
    <row r="9" spans="1:62" s="5" customFormat="1" ht="15.65" customHeight="1" thickBot="1">
      <c r="A9" s="341" t="s">
        <v>1351</v>
      </c>
      <c r="B9" s="221"/>
      <c r="C9" s="390">
        <f>+'B1'!C9</f>
        <v>0</v>
      </c>
      <c r="D9" s="347"/>
      <c r="E9" s="341"/>
      <c r="F9" s="341"/>
      <c r="G9" s="349" t="s">
        <v>1352</v>
      </c>
      <c r="H9" s="390">
        <f>+'B1'!H9</f>
        <v>0</v>
      </c>
      <c r="I9" s="260"/>
      <c r="J9" s="353"/>
      <c r="K9" s="353"/>
      <c r="L9" s="353"/>
      <c r="M9" s="345"/>
      <c r="N9" s="345"/>
      <c r="O9" s="345"/>
      <c r="P9" s="345"/>
      <c r="Q9" s="168"/>
      <c r="R9" s="168"/>
      <c r="S9" s="179"/>
      <c r="T9" s="179"/>
      <c r="U9" s="179"/>
      <c r="V9" s="179"/>
      <c r="W9" s="179"/>
      <c r="X9" s="179"/>
      <c r="Y9" s="179"/>
      <c r="Z9" s="179"/>
      <c r="AA9" s="179"/>
      <c r="AB9" s="179"/>
      <c r="AC9" s="179"/>
      <c r="AD9" s="179"/>
      <c r="AE9" s="179"/>
      <c r="AF9" s="179"/>
      <c r="AG9" s="179"/>
      <c r="AH9" s="179"/>
      <c r="AI9" s="179"/>
      <c r="AJ9" s="179"/>
      <c r="AK9" s="179"/>
      <c r="AL9" s="179"/>
      <c r="AM9" s="179"/>
      <c r="AN9" s="179"/>
      <c r="AO9" s="179"/>
      <c r="AP9" s="179"/>
      <c r="AQ9" s="179"/>
      <c r="AR9" s="179"/>
      <c r="AS9" s="179"/>
      <c r="AT9" s="179"/>
      <c r="AU9" s="179"/>
      <c r="AV9" s="179"/>
      <c r="AW9" s="179"/>
      <c r="AX9" s="179"/>
      <c r="AY9" s="179"/>
      <c r="AZ9" s="179"/>
      <c r="BA9" s="179"/>
      <c r="BB9" s="179"/>
      <c r="BC9" s="179"/>
      <c r="BD9" s="179"/>
      <c r="BE9" s="179"/>
      <c r="BF9" s="179"/>
      <c r="BG9" s="179"/>
      <c r="BH9" s="179"/>
      <c r="BI9" s="179"/>
      <c r="BJ9" s="179"/>
    </row>
    <row r="10" spans="1:62" s="5" customFormat="1" ht="15.65" customHeight="1" thickBot="1">
      <c r="A10" s="4" t="s">
        <v>1248</v>
      </c>
      <c r="B10" s="221"/>
      <c r="C10" s="280" t="str">
        <f>+IF(OR(C2="FOOD",C2="BCE"),"Yes","No")</f>
        <v>No</v>
      </c>
      <c r="D10" s="348"/>
      <c r="E10" s="341"/>
      <c r="F10" s="341"/>
      <c r="G10" s="349" t="s">
        <v>1279</v>
      </c>
      <c r="H10" s="389">
        <f>+'B1'!H10</f>
        <v>0</v>
      </c>
      <c r="I10" s="108"/>
      <c r="J10" s="353"/>
      <c r="K10" s="353"/>
      <c r="L10" s="353"/>
      <c r="M10" s="350"/>
      <c r="N10" s="345"/>
      <c r="O10" s="345"/>
      <c r="P10" s="345"/>
      <c r="Q10" s="168"/>
      <c r="R10" s="168"/>
      <c r="S10" s="179"/>
      <c r="T10" s="179"/>
      <c r="U10" s="179"/>
      <c r="V10" s="179"/>
      <c r="W10" s="179"/>
      <c r="X10" s="179"/>
      <c r="Y10" s="179"/>
      <c r="Z10" s="179"/>
      <c r="AA10" s="179"/>
      <c r="AB10" s="179"/>
      <c r="AC10" s="179"/>
      <c r="AD10" s="179"/>
      <c r="AE10" s="179"/>
      <c r="AF10" s="179"/>
      <c r="AG10" s="179"/>
      <c r="AH10" s="179"/>
      <c r="AI10" s="179"/>
      <c r="AJ10" s="179"/>
      <c r="AK10" s="179"/>
      <c r="AL10" s="179"/>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row>
    <row r="11" spans="1:62" s="1" customFormat="1" ht="19.399999999999999" customHeight="1" thickBot="1">
      <c r="A11" s="342" t="s">
        <v>1237</v>
      </c>
      <c r="B11" s="261"/>
      <c r="C11" s="376"/>
      <c r="D11" s="377"/>
      <c r="E11" s="377"/>
      <c r="F11" s="377"/>
      <c r="G11" s="378"/>
      <c r="H11" s="378"/>
      <c r="I11" s="262"/>
      <c r="J11" s="358"/>
      <c r="K11" s="358"/>
      <c r="L11" s="358"/>
      <c r="M11" s="359"/>
      <c r="N11" s="359"/>
      <c r="O11" s="360"/>
      <c r="P11" s="361"/>
      <c r="Q11" s="362"/>
      <c r="R11" s="362"/>
      <c r="S11" s="352"/>
      <c r="T11" s="352"/>
      <c r="U11" s="352"/>
      <c r="V11" s="352"/>
      <c r="W11" s="352"/>
      <c r="X11" s="352"/>
      <c r="Y11" s="352"/>
      <c r="Z11" s="352"/>
      <c r="AA11" s="352"/>
      <c r="AB11" s="352"/>
      <c r="AC11" s="352"/>
      <c r="AD11" s="352"/>
      <c r="AE11" s="352"/>
      <c r="AF11" s="352"/>
      <c r="AG11" s="352"/>
      <c r="AH11" s="352"/>
      <c r="AI11" s="352"/>
      <c r="AJ11" s="352"/>
      <c r="AK11" s="352"/>
      <c r="AL11" s="352"/>
      <c r="AM11" s="352"/>
      <c r="AN11" s="352"/>
      <c r="AO11" s="352"/>
      <c r="AP11" s="352"/>
      <c r="AQ11" s="352"/>
      <c r="AR11" s="352"/>
      <c r="AS11" s="352"/>
      <c r="AT11" s="352"/>
      <c r="AU11" s="352"/>
      <c r="AV11" s="352"/>
      <c r="AW11" s="352"/>
      <c r="AX11" s="352"/>
      <c r="AY11" s="352"/>
      <c r="AZ11" s="352"/>
      <c r="BA11" s="352"/>
      <c r="BB11" s="352"/>
      <c r="BC11" s="352"/>
      <c r="BD11" s="352"/>
      <c r="BE11" s="352"/>
      <c r="BF11" s="352"/>
      <c r="BG11" s="352"/>
      <c r="BH11" s="352"/>
      <c r="BI11" s="352"/>
      <c r="BJ11" s="352"/>
    </row>
    <row r="12" spans="1:62" s="5" customFormat="1" ht="15.65" customHeight="1">
      <c r="A12" s="107" t="s">
        <v>749</v>
      </c>
      <c r="B12" s="7"/>
      <c r="C12" s="281"/>
      <c r="D12" s="551"/>
      <c r="E12" s="551"/>
      <c r="F12" s="551"/>
      <c r="G12" s="551"/>
      <c r="H12" s="379"/>
      <c r="I12" s="69"/>
      <c r="J12" s="564"/>
      <c r="K12" s="565"/>
      <c r="L12" s="565"/>
      <c r="M12" s="565"/>
      <c r="N12" s="565"/>
      <c r="O12" s="566"/>
      <c r="P12" s="363"/>
      <c r="Q12" s="168"/>
      <c r="R12" s="168"/>
      <c r="S12" s="179"/>
      <c r="T12" s="179"/>
      <c r="U12" s="179"/>
      <c r="V12" s="179"/>
      <c r="W12" s="179"/>
      <c r="X12" s="179"/>
      <c r="Y12" s="179"/>
      <c r="Z12" s="179"/>
      <c r="AA12" s="179"/>
      <c r="AB12" s="179"/>
      <c r="AC12" s="179"/>
      <c r="AD12" s="179"/>
      <c r="AE12" s="179"/>
      <c r="AF12" s="179"/>
      <c r="AG12" s="179"/>
      <c r="AH12" s="179"/>
      <c r="AI12" s="179"/>
      <c r="AJ12" s="179"/>
      <c r="AK12" s="179"/>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79"/>
    </row>
    <row r="13" spans="1:62" s="5" customFormat="1" ht="15.65" customHeight="1">
      <c r="A13" s="107" t="s">
        <v>531</v>
      </c>
      <c r="B13" s="7"/>
      <c r="C13" s="282">
        <f>+IF(C12=2,10,0)</f>
        <v>0</v>
      </c>
      <c r="D13" s="550"/>
      <c r="E13" s="551"/>
      <c r="F13" s="551"/>
      <c r="G13" s="551"/>
      <c r="H13" s="380"/>
      <c r="I13" s="86"/>
      <c r="J13" s="383"/>
      <c r="K13" s="383"/>
      <c r="L13" s="383"/>
      <c r="M13" s="383"/>
      <c r="N13" s="383"/>
      <c r="O13" s="384"/>
      <c r="P13" s="383"/>
      <c r="Q13" s="367"/>
      <c r="R13" s="367"/>
      <c r="S13" s="367" t="s">
        <v>607</v>
      </c>
      <c r="T13" s="367"/>
      <c r="U13" s="367"/>
      <c r="V13" s="367"/>
      <c r="W13" s="367"/>
      <c r="X13" s="367"/>
      <c r="Y13" s="179"/>
      <c r="Z13" s="179"/>
      <c r="AA13" s="179"/>
      <c r="AB13" s="179"/>
      <c r="AC13" s="179"/>
      <c r="AD13" s="179"/>
      <c r="AE13" s="179"/>
      <c r="AF13" s="179"/>
      <c r="AG13" s="179"/>
      <c r="AH13" s="179"/>
      <c r="AI13" s="179"/>
      <c r="AJ13" s="179"/>
      <c r="AK13" s="179"/>
      <c r="AL13" s="179"/>
      <c r="AM13" s="179"/>
      <c r="AN13" s="179"/>
      <c r="AO13" s="179"/>
      <c r="AP13" s="179"/>
      <c r="AQ13" s="179"/>
      <c r="AR13" s="179"/>
      <c r="AS13" s="179"/>
      <c r="AT13" s="179"/>
      <c r="AU13" s="179"/>
      <c r="AV13" s="179"/>
      <c r="AW13" s="179"/>
      <c r="AX13" s="179"/>
      <c r="AY13" s="179"/>
      <c r="AZ13" s="179"/>
      <c r="BA13" s="179"/>
      <c r="BB13" s="179"/>
      <c r="BC13" s="179"/>
      <c r="BD13" s="179"/>
      <c r="BE13" s="179"/>
      <c r="BF13" s="179"/>
      <c r="BG13" s="179"/>
      <c r="BH13" s="179"/>
      <c r="BI13" s="179"/>
      <c r="BJ13" s="179"/>
    </row>
    <row r="14" spans="1:62" s="5" customFormat="1" ht="29.25" customHeight="1">
      <c r="A14" s="4" t="s">
        <v>533</v>
      </c>
      <c r="B14" s="9"/>
      <c r="C14" s="282"/>
      <c r="D14" s="553" t="s">
        <v>713</v>
      </c>
      <c r="E14" s="554"/>
      <c r="F14" s="554"/>
      <c r="G14" s="554"/>
      <c r="H14" s="555"/>
      <c r="I14" s="283"/>
      <c r="J14" s="368"/>
      <c r="K14" s="369"/>
      <c r="L14" s="383"/>
      <c r="M14" s="383"/>
      <c r="N14" s="383"/>
      <c r="O14" s="384"/>
      <c r="P14" s="383"/>
      <c r="Q14" s="367"/>
      <c r="R14" s="367"/>
      <c r="S14" s="367"/>
      <c r="T14" s="367"/>
      <c r="U14" s="367"/>
      <c r="V14" s="367"/>
      <c r="W14" s="367"/>
      <c r="X14" s="367"/>
      <c r="Y14" s="179"/>
      <c r="Z14" s="179"/>
      <c r="AA14" s="179"/>
      <c r="AB14" s="179"/>
      <c r="AC14" s="179"/>
      <c r="AD14" s="179"/>
      <c r="AE14" s="179"/>
      <c r="AF14" s="179"/>
      <c r="AG14" s="179"/>
      <c r="AH14" s="179"/>
      <c r="AI14" s="179"/>
      <c r="AJ14" s="179"/>
      <c r="AK14" s="179"/>
      <c r="AL14" s="179"/>
      <c r="AM14" s="179"/>
      <c r="AN14" s="179"/>
      <c r="AO14" s="179"/>
      <c r="AP14" s="179"/>
      <c r="AQ14" s="179"/>
      <c r="AR14" s="179"/>
      <c r="AS14" s="179"/>
      <c r="AT14" s="179"/>
      <c r="AU14" s="179"/>
      <c r="AV14" s="179"/>
      <c r="AW14" s="179"/>
      <c r="AX14" s="179"/>
      <c r="AY14" s="179"/>
      <c r="AZ14" s="179"/>
      <c r="BA14" s="179"/>
      <c r="BB14" s="179"/>
      <c r="BC14" s="179"/>
      <c r="BD14" s="179"/>
      <c r="BE14" s="179"/>
      <c r="BF14" s="179"/>
      <c r="BG14" s="179"/>
      <c r="BH14" s="179"/>
      <c r="BI14" s="179"/>
      <c r="BJ14" s="179"/>
    </row>
    <row r="15" spans="1:62" s="5" customFormat="1" ht="15.65" customHeight="1">
      <c r="A15" s="107" t="s">
        <v>534</v>
      </c>
      <c r="B15" s="7"/>
      <c r="C15" s="282"/>
      <c r="D15" s="382"/>
      <c r="E15" s="370"/>
      <c r="F15" s="370"/>
      <c r="G15" s="370"/>
      <c r="H15" s="370"/>
      <c r="I15" s="250"/>
      <c r="J15" s="370"/>
      <c r="K15" s="370"/>
      <c r="L15" s="363"/>
      <c r="M15" s="383"/>
      <c r="N15" s="383"/>
      <c r="O15" s="384"/>
      <c r="P15" s="383"/>
      <c r="Q15" s="367"/>
      <c r="R15" s="367"/>
      <c r="S15" s="367"/>
      <c r="T15" s="367"/>
      <c r="U15" s="367"/>
      <c r="V15" s="367"/>
      <c r="W15" s="367"/>
      <c r="X15" s="367"/>
      <c r="Y15" s="179"/>
      <c r="Z15" s="179"/>
      <c r="AA15" s="179"/>
      <c r="AB15" s="179"/>
      <c r="AC15" s="179"/>
      <c r="AD15" s="179"/>
      <c r="AE15" s="179"/>
      <c r="AF15" s="179"/>
      <c r="AG15" s="179"/>
      <c r="AH15" s="179"/>
      <c r="AI15" s="179"/>
      <c r="AJ15" s="179"/>
      <c r="AK15" s="179"/>
      <c r="AL15" s="179"/>
      <c r="AM15" s="179"/>
      <c r="AN15" s="179"/>
      <c r="AO15" s="179"/>
      <c r="AP15" s="179"/>
      <c r="AQ15" s="179"/>
      <c r="AR15" s="179"/>
      <c r="AS15" s="179"/>
      <c r="AT15" s="179"/>
      <c r="AU15" s="179"/>
      <c r="AV15" s="179"/>
      <c r="AW15" s="179"/>
      <c r="AX15" s="179"/>
      <c r="AY15" s="179"/>
      <c r="AZ15" s="179"/>
      <c r="BA15" s="179"/>
      <c r="BB15" s="179"/>
      <c r="BC15" s="179"/>
      <c r="BD15" s="179"/>
      <c r="BE15" s="179"/>
      <c r="BF15" s="179"/>
      <c r="BG15" s="179"/>
      <c r="BH15" s="179"/>
      <c r="BI15" s="179"/>
      <c r="BJ15" s="179"/>
    </row>
    <row r="16" spans="1:62" s="5" customFormat="1" ht="27" customHeight="1">
      <c r="A16" s="107" t="s">
        <v>750</v>
      </c>
      <c r="B16" s="7"/>
      <c r="C16" s="282"/>
      <c r="D16" s="553" t="s">
        <v>2085</v>
      </c>
      <c r="E16" s="556"/>
      <c r="F16" s="556"/>
      <c r="G16" s="556"/>
      <c r="H16" s="557"/>
      <c r="I16" s="284"/>
      <c r="J16" s="368"/>
      <c r="K16" s="369"/>
      <c r="L16" s="371"/>
      <c r="M16" s="371"/>
      <c r="N16" s="371"/>
      <c r="O16" s="372"/>
      <c r="P16" s="373"/>
      <c r="Q16" s="168"/>
      <c r="R16" s="168"/>
      <c r="S16" s="179"/>
      <c r="T16" s="179"/>
      <c r="U16" s="179"/>
      <c r="V16" s="179"/>
      <c r="W16" s="179"/>
      <c r="X16" s="179"/>
      <c r="Y16" s="179"/>
      <c r="Z16" s="179"/>
      <c r="AA16" s="179"/>
      <c r="AB16" s="179"/>
      <c r="AC16" s="179"/>
      <c r="AD16" s="179"/>
      <c r="AE16" s="179"/>
      <c r="AF16" s="179"/>
      <c r="AG16" s="179"/>
      <c r="AH16" s="179"/>
      <c r="AI16" s="179"/>
      <c r="AJ16" s="179"/>
      <c r="AK16" s="179"/>
      <c r="AL16" s="179"/>
      <c r="AM16" s="179"/>
      <c r="AN16" s="179"/>
      <c r="AO16" s="179"/>
      <c r="AP16" s="179"/>
      <c r="AQ16" s="179"/>
      <c r="AR16" s="179"/>
      <c r="AS16" s="179"/>
      <c r="AT16" s="179"/>
      <c r="AU16" s="179"/>
      <c r="AV16" s="179"/>
      <c r="AW16" s="179"/>
      <c r="AX16" s="179"/>
      <c r="AY16" s="179"/>
      <c r="AZ16" s="179"/>
      <c r="BA16" s="179"/>
      <c r="BB16" s="179"/>
      <c r="BC16" s="179"/>
      <c r="BD16" s="179"/>
      <c r="BE16" s="179"/>
      <c r="BF16" s="179"/>
      <c r="BG16" s="179"/>
      <c r="BH16" s="179"/>
      <c r="BI16" s="179"/>
      <c r="BJ16" s="179"/>
    </row>
    <row r="17" spans="1:62" s="5" customFormat="1" ht="15.65" customHeight="1" thickBot="1">
      <c r="A17" s="343"/>
      <c r="B17" s="108"/>
      <c r="C17" s="246"/>
      <c r="D17" s="109"/>
      <c r="E17" s="247"/>
      <c r="F17" s="247"/>
      <c r="G17" s="247"/>
      <c r="H17" s="248"/>
      <c r="I17" s="248"/>
      <c r="J17" s="374"/>
      <c r="K17" s="374"/>
      <c r="L17" s="374"/>
      <c r="M17" s="374"/>
      <c r="N17" s="374"/>
      <c r="O17" s="375"/>
      <c r="P17" s="373"/>
      <c r="Q17" s="168"/>
      <c r="R17" s="168"/>
      <c r="S17" s="179"/>
      <c r="T17" s="179"/>
      <c r="U17" s="179"/>
      <c r="V17" s="179"/>
      <c r="W17" s="179"/>
      <c r="X17" s="179"/>
      <c r="Y17" s="179"/>
      <c r="Z17" s="179"/>
      <c r="AA17" s="179"/>
      <c r="AB17" s="179"/>
      <c r="AC17" s="179"/>
      <c r="AD17" s="179"/>
      <c r="AE17" s="179"/>
      <c r="AF17" s="179"/>
      <c r="AG17" s="179"/>
      <c r="AH17" s="179"/>
      <c r="AI17" s="179"/>
      <c r="AJ17" s="179"/>
      <c r="AK17" s="179"/>
      <c r="AL17" s="179"/>
      <c r="AM17" s="179"/>
      <c r="AN17" s="179"/>
      <c r="AO17" s="179"/>
      <c r="AP17" s="179"/>
      <c r="AQ17" s="179"/>
      <c r="AR17" s="179"/>
      <c r="AS17" s="179"/>
      <c r="AT17" s="179"/>
      <c r="AU17" s="179"/>
      <c r="AV17" s="179"/>
      <c r="AW17" s="179"/>
      <c r="AX17" s="179"/>
      <c r="AY17" s="179"/>
      <c r="AZ17" s="179"/>
      <c r="BA17" s="179"/>
      <c r="BB17" s="179"/>
      <c r="BC17" s="179"/>
      <c r="BD17" s="179"/>
      <c r="BE17" s="179"/>
      <c r="BF17" s="179"/>
      <c r="BG17" s="179"/>
      <c r="BH17" s="179"/>
      <c r="BI17" s="179"/>
      <c r="BJ17" s="179"/>
    </row>
    <row r="18" spans="1:62" ht="15.65" customHeight="1">
      <c r="A18" s="63"/>
      <c r="D18" s="9"/>
      <c r="V18" s="229" t="s">
        <v>608</v>
      </c>
      <c r="AE18" s="29" t="s">
        <v>90</v>
      </c>
      <c r="AF18" s="29" t="s">
        <v>89</v>
      </c>
      <c r="AH18" s="29" t="s">
        <v>90</v>
      </c>
      <c r="AI18" s="29" t="s">
        <v>89</v>
      </c>
      <c r="AK18" s="29" t="s">
        <v>90</v>
      </c>
      <c r="AL18" s="29" t="s">
        <v>89</v>
      </c>
      <c r="AN18" s="29" t="s">
        <v>90</v>
      </c>
      <c r="AO18" s="29" t="s">
        <v>89</v>
      </c>
      <c r="AQ18" s="29" t="s">
        <v>90</v>
      </c>
      <c r="AR18" s="29" t="s">
        <v>89</v>
      </c>
      <c r="AT18" s="29" t="s">
        <v>90</v>
      </c>
      <c r="AU18" s="29" t="s">
        <v>89</v>
      </c>
      <c r="AW18" s="29" t="s">
        <v>90</v>
      </c>
      <c r="AX18" s="29" t="s">
        <v>89</v>
      </c>
      <c r="AZ18" s="29" t="s">
        <v>90</v>
      </c>
      <c r="BA18" s="29" t="s">
        <v>89</v>
      </c>
      <c r="BC18" s="29" t="s">
        <v>90</v>
      </c>
      <c r="BD18" s="29" t="s">
        <v>89</v>
      </c>
      <c r="BF18" s="29" t="s">
        <v>90</v>
      </c>
      <c r="BG18" s="29" t="s">
        <v>89</v>
      </c>
      <c r="BI18" s="29" t="s">
        <v>90</v>
      </c>
      <c r="BJ18" s="29" t="s">
        <v>89</v>
      </c>
    </row>
    <row r="19" spans="1:62" ht="15.65" customHeight="1">
      <c r="A19" s="4" t="s">
        <v>79</v>
      </c>
      <c r="B19" s="8"/>
      <c r="C19" s="45">
        <f>+Takstblad!C3</f>
        <v>2026</v>
      </c>
      <c r="D19" s="8">
        <f t="shared" ref="D19:L19" si="0">+C19+1</f>
        <v>2027</v>
      </c>
      <c r="E19" s="8">
        <f t="shared" si="0"/>
        <v>2028</v>
      </c>
      <c r="F19" s="8">
        <f t="shared" si="0"/>
        <v>2029</v>
      </c>
      <c r="G19" s="8">
        <f t="shared" si="0"/>
        <v>2030</v>
      </c>
      <c r="H19" s="8">
        <f t="shared" si="0"/>
        <v>2031</v>
      </c>
      <c r="I19" s="8">
        <f t="shared" si="0"/>
        <v>2032</v>
      </c>
      <c r="J19" s="8">
        <f t="shared" si="0"/>
        <v>2033</v>
      </c>
      <c r="K19" s="8">
        <f t="shared" si="0"/>
        <v>2034</v>
      </c>
      <c r="L19" s="8">
        <f t="shared" si="0"/>
        <v>2035</v>
      </c>
      <c r="M19" s="8" t="s">
        <v>34</v>
      </c>
      <c r="N19" s="8" t="s">
        <v>33</v>
      </c>
      <c r="O19" s="8" t="s">
        <v>111</v>
      </c>
      <c r="P19" s="8"/>
      <c r="Q19" s="23" t="s">
        <v>73</v>
      </c>
      <c r="R19" s="4" t="s">
        <v>34</v>
      </c>
      <c r="S19" s="45">
        <f t="shared" ref="S19:AB19" si="1">+C19</f>
        <v>2026</v>
      </c>
      <c r="T19" s="8">
        <f t="shared" si="1"/>
        <v>2027</v>
      </c>
      <c r="U19" s="8">
        <f t="shared" si="1"/>
        <v>2028</v>
      </c>
      <c r="V19" s="8">
        <f t="shared" si="1"/>
        <v>2029</v>
      </c>
      <c r="W19" s="8">
        <f t="shared" si="1"/>
        <v>2030</v>
      </c>
      <c r="X19" s="8">
        <f t="shared" si="1"/>
        <v>2031</v>
      </c>
      <c r="Y19" s="8">
        <f t="shared" si="1"/>
        <v>2032</v>
      </c>
      <c r="Z19" s="8">
        <f t="shared" si="1"/>
        <v>2033</v>
      </c>
      <c r="AA19" s="8">
        <f t="shared" si="1"/>
        <v>2034</v>
      </c>
      <c r="AB19" s="8">
        <f t="shared" si="1"/>
        <v>2035</v>
      </c>
      <c r="AC19" s="4" t="s">
        <v>34</v>
      </c>
      <c r="AE19" s="549" t="s">
        <v>34</v>
      </c>
      <c r="AF19" s="548"/>
      <c r="AH19" s="547">
        <f>+S19</f>
        <v>2026</v>
      </c>
      <c r="AI19" s="548"/>
      <c r="AJ19" s="221"/>
      <c r="AK19" s="549">
        <f>+T19</f>
        <v>2027</v>
      </c>
      <c r="AL19" s="548"/>
      <c r="AM19" s="221"/>
      <c r="AN19" s="549">
        <f>+U19</f>
        <v>2028</v>
      </c>
      <c r="AO19" s="548"/>
      <c r="AQ19" s="549">
        <f>+V19</f>
        <v>2029</v>
      </c>
      <c r="AR19" s="548"/>
      <c r="AS19" s="221"/>
      <c r="AT19" s="549">
        <f>+W19</f>
        <v>2030</v>
      </c>
      <c r="AU19" s="548"/>
      <c r="AW19" s="549">
        <f>+X19</f>
        <v>2031</v>
      </c>
      <c r="AX19" s="548"/>
      <c r="AY19" s="221"/>
      <c r="AZ19" s="549">
        <f>Y19</f>
        <v>2032</v>
      </c>
      <c r="BA19" s="548"/>
      <c r="BB19" s="221"/>
      <c r="BC19" s="549">
        <f>+Z19</f>
        <v>2033</v>
      </c>
      <c r="BD19" s="548"/>
      <c r="BE19" s="221"/>
      <c r="BF19" s="549">
        <f>+AA19</f>
        <v>2034</v>
      </c>
      <c r="BG19" s="548"/>
      <c r="BH19" s="221"/>
      <c r="BI19" s="549">
        <f>+AB19</f>
        <v>2035</v>
      </c>
      <c r="BJ19" s="548"/>
    </row>
    <row r="20" spans="1:62" ht="15.65" customHeight="1">
      <c r="A20" s="212" t="s">
        <v>1238</v>
      </c>
      <c r="B20" s="213" t="str">
        <f>+VLOOKUP(A20,Takstblad!$A$5:$B$30,2,FALSE)</f>
        <v/>
      </c>
      <c r="C20" s="285"/>
      <c r="D20" s="285"/>
      <c r="E20" s="285"/>
      <c r="F20" s="285"/>
      <c r="G20" s="285"/>
      <c r="H20" s="285"/>
      <c r="I20" s="285"/>
      <c r="J20" s="285"/>
      <c r="K20" s="285"/>
      <c r="L20" s="285"/>
      <c r="M20" s="19">
        <f>SUM(C20:L20)</f>
        <v>0</v>
      </c>
      <c r="N20" s="285"/>
      <c r="O20" s="285" t="s">
        <v>113</v>
      </c>
      <c r="P20" s="212"/>
      <c r="Q20" s="214"/>
      <c r="R20" s="216">
        <f>+AC20</f>
        <v>0</v>
      </c>
      <c r="S20" s="215">
        <f>+IFERROR(IF(S$19=Takstblad!C$3,VLOOKUP($A20,takstblad,3,FALSE)*C20,"fejl i år"),0)</f>
        <v>0</v>
      </c>
      <c r="T20" s="215">
        <f>+IFERROR(IF(T$19=Takstblad!D$3,VLOOKUP($A20,takstblad,4,FALSE)*D20,"fejl i år"),0)</f>
        <v>0</v>
      </c>
      <c r="U20" s="215">
        <f>+IFERROR(IF(U$19=Takstblad!E$3,VLOOKUP($A20,takstblad,5,FALSE)*E20,"fejl i år"),0)</f>
        <v>0</v>
      </c>
      <c r="V20" s="215">
        <f>+IFERROR(IF(V$19=Takstblad!F$3,VLOOKUP($A20,takstblad,6,FALSE)*F20,"fejl i år"),0)</f>
        <v>0</v>
      </c>
      <c r="W20" s="215">
        <f>+IFERROR(IF(W$19=Takstblad!G$3,VLOOKUP($A20,takstblad,7,FALSE)*G20,"fejl i år"),0)</f>
        <v>0</v>
      </c>
      <c r="X20" s="215">
        <f>+IFERROR(IF(X$19=Takstblad!H$3,VLOOKUP($A20,takstblad,8,FALSE)*H20,"fejl i år"),0)</f>
        <v>0</v>
      </c>
      <c r="Y20" s="215">
        <f>+IFERROR(IF(Y$19=Takstblad!I$3,VLOOKUP($A20,takstblad,9,FALSE)*I20,"fejl i år"),0)</f>
        <v>0</v>
      </c>
      <c r="Z20" s="215">
        <f>+IFERROR(IF(Z$19=Takstblad!J$3,VLOOKUP($A20,takstblad,10,FALSE)*J20,"fejl i år"),0)</f>
        <v>0</v>
      </c>
      <c r="AA20" s="215">
        <f>+IFERROR(IF(AA$19=Takstblad!K$3,VLOOKUP($A20,takstblad,11,FALSE)*K20,"fejl i år"),0)</f>
        <v>0</v>
      </c>
      <c r="AB20" s="215">
        <f>+IFERROR(IF(AB$19=Takstblad!L$3,VLOOKUP($A20,takstblad,12,FALSE)*L20,"fejl i år"),0)</f>
        <v>0</v>
      </c>
      <c r="AC20" s="216">
        <f>SUM(S20:AB20)</f>
        <v>0</v>
      </c>
      <c r="AD20" s="221"/>
      <c r="AE20" s="217">
        <f>+M20*($C$7/12)</f>
        <v>0</v>
      </c>
      <c r="AF20" s="217">
        <f>IFERROR(AC20/AE20,0)</f>
        <v>0</v>
      </c>
      <c r="AG20" s="221"/>
      <c r="AH20" s="217">
        <f>+C20*($C$7/12)</f>
        <v>0</v>
      </c>
      <c r="AI20" s="217">
        <f t="shared" ref="AI20:AI29" si="2">IFERROR(S20/AH20,0)</f>
        <v>0</v>
      </c>
      <c r="AJ20" s="221"/>
      <c r="AK20" s="217">
        <f>+D20*($C$7/12)</f>
        <v>0</v>
      </c>
      <c r="AL20" s="217">
        <f>IFERROR(T20/AK20,0)</f>
        <v>0</v>
      </c>
      <c r="AM20" s="221"/>
      <c r="AN20" s="217">
        <f>+E20*($C$7/12)</f>
        <v>0</v>
      </c>
      <c r="AO20" s="217">
        <f>IFERROR(U20/AN20,0)</f>
        <v>0</v>
      </c>
      <c r="AP20" s="221"/>
      <c r="AQ20" s="217">
        <f>+F20*($C$7/12)</f>
        <v>0</v>
      </c>
      <c r="AR20" s="217">
        <f>IFERROR(V20/AQ20,0)</f>
        <v>0</v>
      </c>
      <c r="AS20" s="221"/>
      <c r="AT20" s="217">
        <f>+G20*($C$7/12)</f>
        <v>0</v>
      </c>
      <c r="AU20" s="217">
        <f>IFERROR(W20/AT20,0)</f>
        <v>0</v>
      </c>
      <c r="AV20" s="221"/>
      <c r="AW20" s="217">
        <f>+H20*($C$7/12)</f>
        <v>0</v>
      </c>
      <c r="AX20" s="217">
        <f>IFERROR(X20/AW20,0)</f>
        <v>0</v>
      </c>
      <c r="AY20" s="221"/>
      <c r="AZ20" s="217">
        <f>+I20*($C$7/12)</f>
        <v>0</v>
      </c>
      <c r="BA20" s="217">
        <f t="shared" ref="BA20:BA29" si="3">IFERROR(Y20/AZ20,0)</f>
        <v>0</v>
      </c>
      <c r="BB20" s="221"/>
      <c r="BC20" s="217">
        <f>+J20*($C$7/12)</f>
        <v>0</v>
      </c>
      <c r="BD20" s="217">
        <f t="shared" ref="BD20:BD28" si="4">IFERROR(Z20/BC20,0)</f>
        <v>0</v>
      </c>
      <c r="BE20" s="221"/>
      <c r="BF20" s="217">
        <f>+K20*($C$7/12)</f>
        <v>0</v>
      </c>
      <c r="BG20" s="217">
        <f>IFERROR(AA20/BF20,0)</f>
        <v>0</v>
      </c>
      <c r="BH20" s="221"/>
      <c r="BI20" s="217">
        <f>+L20*($C$7/12)</f>
        <v>0</v>
      </c>
      <c r="BJ20" s="217">
        <f>IFERROR(AB20/BI20,0)</f>
        <v>0</v>
      </c>
    </row>
    <row r="21" spans="1:62" ht="15.65" customHeight="1">
      <c r="A21" s="7" t="s">
        <v>1238</v>
      </c>
      <c r="B21" s="4" t="str">
        <f>+VLOOKUP(A21,Takstblad!$A$5:$B$30,2,FALSE)</f>
        <v/>
      </c>
      <c r="C21" s="285"/>
      <c r="D21" s="285"/>
      <c r="E21" s="285"/>
      <c r="F21" s="285"/>
      <c r="G21" s="285"/>
      <c r="H21" s="285"/>
      <c r="I21" s="285"/>
      <c r="J21" s="285"/>
      <c r="K21" s="285"/>
      <c r="L21" s="285"/>
      <c r="M21" s="19">
        <f t="shared" ref="M21:M29" si="5">SUM(C21:L21)</f>
        <v>0</v>
      </c>
      <c r="N21" s="285"/>
      <c r="O21" s="285" t="s">
        <v>113</v>
      </c>
      <c r="Q21" s="24"/>
      <c r="R21" s="21">
        <f t="shared" ref="R21:R29" si="6">+AC21</f>
        <v>0</v>
      </c>
      <c r="S21" s="25">
        <f>+IFERROR(IF(S$19=Takstblad!C$3,VLOOKUP($A21,takstblad,3,FALSE)*C21,"fejl i år"),0)</f>
        <v>0</v>
      </c>
      <c r="T21" s="25">
        <f>+IFERROR(IF(T$19=Takstblad!D$3,VLOOKUP($A21,takstblad,4,FALSE)*D21,"fejl i år"),0)</f>
        <v>0</v>
      </c>
      <c r="U21" s="25">
        <f>+IFERROR(IF(U$19=Takstblad!E$3,VLOOKUP($A21,takstblad,5,FALSE)*E21,"fejl i år"),0)</f>
        <v>0</v>
      </c>
      <c r="V21" s="25">
        <f>+IFERROR(IF(V$19=Takstblad!F$3,VLOOKUP($A21,takstblad,6,FALSE)*F21,"fejl i år"),0)</f>
        <v>0</v>
      </c>
      <c r="W21" s="25">
        <f>+IFERROR(IF(W$19=Takstblad!G$3,VLOOKUP($A21,takstblad,7,FALSE)*G21,"fejl i år"),0)</f>
        <v>0</v>
      </c>
      <c r="X21" s="25">
        <f>+IFERROR(IF(X$19=Takstblad!H$3,VLOOKUP($A21,takstblad,8,FALSE)*H21,"fejl i år"),0)</f>
        <v>0</v>
      </c>
      <c r="Y21" s="25">
        <f>+IFERROR(IF(Y$19=Takstblad!I$3,VLOOKUP($A21,takstblad,9,FALSE)*I21,"fejl i år"),0)</f>
        <v>0</v>
      </c>
      <c r="Z21" s="25">
        <f>+IFERROR(IF(Z$19=Takstblad!J$3,VLOOKUP($A21,takstblad,10,FALSE)*J21,"fejl i år"),0)</f>
        <v>0</v>
      </c>
      <c r="AA21" s="25">
        <f>+IFERROR(IF(AA$19=Takstblad!K$3,VLOOKUP($A21,takstblad,11,FALSE)*K21,"fejl i år"),0)</f>
        <v>0</v>
      </c>
      <c r="AB21" s="25">
        <f>+IFERROR(IF(AB$19=Takstblad!L$3,VLOOKUP($A21,takstblad,12,FALSE)*L21,"fejl i år"),0)</f>
        <v>0</v>
      </c>
      <c r="AC21" s="21">
        <f t="shared" ref="AC21:AC39" si="7">SUM(S21:AB21)</f>
        <v>0</v>
      </c>
      <c r="AD21" s="221"/>
      <c r="AE21" s="25">
        <f t="shared" ref="AE21:AE29" si="8">+M21*($C$7/12)</f>
        <v>0</v>
      </c>
      <c r="AF21" s="25">
        <f t="shared" ref="AF21:AF29" si="9">IFERROR(AC21/AE21,0)</f>
        <v>0</v>
      </c>
      <c r="AG21" s="221"/>
      <c r="AH21" s="25">
        <f t="shared" ref="AH21:AH29" si="10">+C21*($C$7/12)</f>
        <v>0</v>
      </c>
      <c r="AI21" s="25">
        <f t="shared" si="2"/>
        <v>0</v>
      </c>
      <c r="AJ21" s="221"/>
      <c r="AK21" s="25">
        <f t="shared" ref="AK21:AK29" si="11">+D21*($C$7/12)</f>
        <v>0</v>
      </c>
      <c r="AL21" s="25">
        <f t="shared" ref="AL21:AL40" si="12">IFERROR(T21/AK21,0)</f>
        <v>0</v>
      </c>
      <c r="AM21" s="221"/>
      <c r="AN21" s="25">
        <f t="shared" ref="AN21:AN29" si="13">+E21*($C$7/12)</f>
        <v>0</v>
      </c>
      <c r="AO21" s="25">
        <f t="shared" ref="AO21:AO40" si="14">IFERROR(U21/AN21,0)</f>
        <v>0</v>
      </c>
      <c r="AP21" s="221"/>
      <c r="AQ21" s="25">
        <f t="shared" ref="AQ21:AQ29" si="15">+F21*($C$7/12)</f>
        <v>0</v>
      </c>
      <c r="AR21" s="25">
        <f t="shared" ref="AR21:AR40" si="16">IFERROR(V21/AQ21,0)</f>
        <v>0</v>
      </c>
      <c r="AS21" s="221"/>
      <c r="AT21" s="25">
        <f t="shared" ref="AT21:AT29" si="17">+G21*($C$7/12)</f>
        <v>0</v>
      </c>
      <c r="AU21" s="25">
        <f t="shared" ref="AU21:AU40" si="18">IFERROR(W21/AT21,0)</f>
        <v>0</v>
      </c>
      <c r="AV21" s="221"/>
      <c r="AW21" s="25">
        <f t="shared" ref="AW21:AW29" si="19">+H21*($C$7/12)</f>
        <v>0</v>
      </c>
      <c r="AX21" s="25">
        <f t="shared" ref="AX21:AX29" si="20">IFERROR(X21/AW21,0)</f>
        <v>0</v>
      </c>
      <c r="AY21" s="221"/>
      <c r="AZ21" s="25">
        <f t="shared" ref="AZ21:AZ29" si="21">+I21*($C$7/12)</f>
        <v>0</v>
      </c>
      <c r="BA21" s="25">
        <f t="shared" si="3"/>
        <v>0</v>
      </c>
      <c r="BB21" s="221"/>
      <c r="BC21" s="25">
        <f t="shared" ref="BC21:BC29" si="22">+J21*($C$7/12)</f>
        <v>0</v>
      </c>
      <c r="BD21" s="25">
        <f t="shared" si="4"/>
        <v>0</v>
      </c>
      <c r="BE21" s="221"/>
      <c r="BF21" s="25">
        <f t="shared" ref="BF21:BF29" si="23">+K21*($C$7/12)</f>
        <v>0</v>
      </c>
      <c r="BG21" s="25">
        <f t="shared" ref="BG21:BG29" si="24">IFERROR(AA21/BF21,0)</f>
        <v>0</v>
      </c>
      <c r="BH21" s="221"/>
      <c r="BI21" s="25">
        <f t="shared" ref="BI21:BI29" si="25">+L21*($C$7/12)</f>
        <v>0</v>
      </c>
      <c r="BJ21" s="25">
        <f t="shared" ref="BJ21:BJ29" si="26">IFERROR(AB21/BI21,0)</f>
        <v>0</v>
      </c>
    </row>
    <row r="22" spans="1:62" ht="15.65" customHeight="1">
      <c r="A22" s="212" t="s">
        <v>1238</v>
      </c>
      <c r="B22" s="213" t="str">
        <f>+VLOOKUP(A22,Takstblad!$A$5:$B$30,2,FALSE)</f>
        <v/>
      </c>
      <c r="C22" s="285"/>
      <c r="D22" s="285"/>
      <c r="E22" s="285"/>
      <c r="F22" s="285"/>
      <c r="G22" s="285"/>
      <c r="H22" s="285"/>
      <c r="I22" s="285"/>
      <c r="J22" s="285"/>
      <c r="K22" s="285"/>
      <c r="L22" s="285"/>
      <c r="M22" s="19">
        <f t="shared" si="5"/>
        <v>0</v>
      </c>
      <c r="N22" s="285"/>
      <c r="O22" s="285" t="s">
        <v>113</v>
      </c>
      <c r="P22" s="212"/>
      <c r="Q22" s="214"/>
      <c r="R22" s="216">
        <f t="shared" si="6"/>
        <v>0</v>
      </c>
      <c r="S22" s="215">
        <f>+IFERROR(IF(S$19=Takstblad!C$3,VLOOKUP($A22,takstblad,3,FALSE)*C22,"fejl i år"),0)</f>
        <v>0</v>
      </c>
      <c r="T22" s="215">
        <f>+IFERROR(IF(T$19=Takstblad!D$3,VLOOKUP($A22,takstblad,4,FALSE)*D22,"fejl i år"),0)</f>
        <v>0</v>
      </c>
      <c r="U22" s="215">
        <f>+IFERROR(IF(U$19=Takstblad!E$3,VLOOKUP($A22,takstblad,5,FALSE)*E22,"fejl i år"),0)</f>
        <v>0</v>
      </c>
      <c r="V22" s="215">
        <f>+IFERROR(IF(V$19=Takstblad!F$3,VLOOKUP($A22,takstblad,6,FALSE)*F22,"fejl i år"),0)</f>
        <v>0</v>
      </c>
      <c r="W22" s="215">
        <f>+IFERROR(IF(W$19=Takstblad!G$3,VLOOKUP($A22,takstblad,7,FALSE)*G22,"fejl i år"),0)</f>
        <v>0</v>
      </c>
      <c r="X22" s="215">
        <f>+IFERROR(IF(X$19=Takstblad!H$3,VLOOKUP($A22,takstblad,8,FALSE)*H22,"fejl i år"),0)</f>
        <v>0</v>
      </c>
      <c r="Y22" s="215">
        <f>+IFERROR(IF(Y$19=Takstblad!I$3,VLOOKUP($A22,takstblad,9,FALSE)*I22,"fejl i år"),0)</f>
        <v>0</v>
      </c>
      <c r="Z22" s="215">
        <f>+IFERROR(IF(Z$19=Takstblad!J$3,VLOOKUP($A22,takstblad,10,FALSE)*J22,"fejl i år"),0)</f>
        <v>0</v>
      </c>
      <c r="AA22" s="215">
        <f>+IFERROR(IF(AA$19=Takstblad!K$3,VLOOKUP($A22,takstblad,11,FALSE)*K22,"fejl i år"),0)</f>
        <v>0</v>
      </c>
      <c r="AB22" s="215">
        <f>+IFERROR(IF(AB$19=Takstblad!L$3,VLOOKUP($A22,takstblad,12,FALSE)*L22,"fejl i år"),0)</f>
        <v>0</v>
      </c>
      <c r="AC22" s="216">
        <f t="shared" si="7"/>
        <v>0</v>
      </c>
      <c r="AD22" s="221"/>
      <c r="AE22" s="217">
        <f t="shared" si="8"/>
        <v>0</v>
      </c>
      <c r="AF22" s="217">
        <f t="shared" si="9"/>
        <v>0</v>
      </c>
      <c r="AG22" s="221"/>
      <c r="AH22" s="217">
        <f t="shared" si="10"/>
        <v>0</v>
      </c>
      <c r="AI22" s="217">
        <f t="shared" si="2"/>
        <v>0</v>
      </c>
      <c r="AJ22" s="221"/>
      <c r="AK22" s="217">
        <f t="shared" si="11"/>
        <v>0</v>
      </c>
      <c r="AL22" s="217">
        <f t="shared" si="12"/>
        <v>0</v>
      </c>
      <c r="AM22" s="221"/>
      <c r="AN22" s="217">
        <f t="shared" si="13"/>
        <v>0</v>
      </c>
      <c r="AO22" s="217">
        <f t="shared" si="14"/>
        <v>0</v>
      </c>
      <c r="AP22" s="221"/>
      <c r="AQ22" s="217">
        <f t="shared" si="15"/>
        <v>0</v>
      </c>
      <c r="AR22" s="217">
        <f t="shared" si="16"/>
        <v>0</v>
      </c>
      <c r="AS22" s="221"/>
      <c r="AT22" s="217">
        <f t="shared" si="17"/>
        <v>0</v>
      </c>
      <c r="AU22" s="217">
        <f t="shared" si="18"/>
        <v>0</v>
      </c>
      <c r="AV22" s="221"/>
      <c r="AW22" s="217">
        <f t="shared" si="19"/>
        <v>0</v>
      </c>
      <c r="AX22" s="217">
        <f t="shared" si="20"/>
        <v>0</v>
      </c>
      <c r="AY22" s="221"/>
      <c r="AZ22" s="217">
        <f t="shared" si="21"/>
        <v>0</v>
      </c>
      <c r="BA22" s="217">
        <f t="shared" si="3"/>
        <v>0</v>
      </c>
      <c r="BB22" s="221"/>
      <c r="BC22" s="217">
        <f t="shared" si="22"/>
        <v>0</v>
      </c>
      <c r="BD22" s="217">
        <f t="shared" si="4"/>
        <v>0</v>
      </c>
      <c r="BE22" s="221"/>
      <c r="BF22" s="217">
        <f t="shared" si="23"/>
        <v>0</v>
      </c>
      <c r="BG22" s="217">
        <f t="shared" si="24"/>
        <v>0</v>
      </c>
      <c r="BH22" s="221"/>
      <c r="BI22" s="217">
        <f t="shared" si="25"/>
        <v>0</v>
      </c>
      <c r="BJ22" s="217">
        <f t="shared" si="26"/>
        <v>0</v>
      </c>
    </row>
    <row r="23" spans="1:62" ht="15.65" customHeight="1">
      <c r="A23" s="7" t="s">
        <v>1238</v>
      </c>
      <c r="B23" s="4" t="str">
        <f>+VLOOKUP(A23,Takstblad!$A$5:$B$30,2,FALSE)</f>
        <v/>
      </c>
      <c r="C23" s="285"/>
      <c r="D23" s="285"/>
      <c r="E23" s="285"/>
      <c r="F23" s="285"/>
      <c r="G23" s="285"/>
      <c r="H23" s="285"/>
      <c r="I23" s="285"/>
      <c r="J23" s="285"/>
      <c r="K23" s="285"/>
      <c r="L23" s="285"/>
      <c r="M23" s="19">
        <f t="shared" si="5"/>
        <v>0</v>
      </c>
      <c r="N23" s="285"/>
      <c r="O23" s="285" t="s">
        <v>113</v>
      </c>
      <c r="Q23" s="16"/>
      <c r="R23" s="21">
        <f t="shared" si="6"/>
        <v>0</v>
      </c>
      <c r="S23" s="25">
        <f>+IFERROR(IF(S$19=Takstblad!C$3,VLOOKUP($A23,takstblad,3,FALSE)*C23,"fejl i år"),0)</f>
        <v>0</v>
      </c>
      <c r="T23" s="25">
        <f>+IFERROR(IF(T$19=Takstblad!D$3,VLOOKUP($A23,takstblad,4,FALSE)*D23,"fejl i år"),0)</f>
        <v>0</v>
      </c>
      <c r="U23" s="25">
        <f>+IFERROR(IF(U$19=Takstblad!E$3,VLOOKUP($A23,takstblad,5,FALSE)*E23,"fejl i år"),0)</f>
        <v>0</v>
      </c>
      <c r="V23" s="25">
        <f>+IFERROR(IF(V$19=Takstblad!F$3,VLOOKUP($A23,takstblad,6,FALSE)*F23,"fejl i år"),0)</f>
        <v>0</v>
      </c>
      <c r="W23" s="25">
        <f>+IFERROR(IF(W$19=Takstblad!G$3,VLOOKUP($A23,takstblad,7,FALSE)*G23,"fejl i år"),0)</f>
        <v>0</v>
      </c>
      <c r="X23" s="25">
        <f>+IFERROR(IF(X$19=Takstblad!H$3,VLOOKUP($A23,takstblad,8,FALSE)*H23,"fejl i år"),0)</f>
        <v>0</v>
      </c>
      <c r="Y23" s="25">
        <f>+IFERROR(IF(Y$19=Takstblad!I$3,VLOOKUP($A23,takstblad,9,FALSE)*I23,"fejl i år"),0)</f>
        <v>0</v>
      </c>
      <c r="Z23" s="25">
        <f>+IFERROR(IF(Z$19=Takstblad!J$3,VLOOKUP($A23,takstblad,10,FALSE)*J23,"fejl i år"),0)</f>
        <v>0</v>
      </c>
      <c r="AA23" s="25">
        <f>+IFERROR(IF(AA$19=Takstblad!K$3,VLOOKUP($A23,takstblad,11,FALSE)*K23,"fejl i år"),0)</f>
        <v>0</v>
      </c>
      <c r="AB23" s="25">
        <f>+IFERROR(IF(AB$19=Takstblad!L$3,VLOOKUP($A23,takstblad,12,FALSE)*L23,"fejl i år"),0)</f>
        <v>0</v>
      </c>
      <c r="AC23" s="21">
        <f t="shared" si="7"/>
        <v>0</v>
      </c>
      <c r="AD23" s="221"/>
      <c r="AE23" s="25">
        <f t="shared" si="8"/>
        <v>0</v>
      </c>
      <c r="AF23" s="25">
        <f t="shared" si="9"/>
        <v>0</v>
      </c>
      <c r="AG23" s="221"/>
      <c r="AH23" s="25">
        <f t="shared" si="10"/>
        <v>0</v>
      </c>
      <c r="AI23" s="25">
        <f t="shared" si="2"/>
        <v>0</v>
      </c>
      <c r="AJ23" s="221"/>
      <c r="AK23" s="25">
        <f t="shared" si="11"/>
        <v>0</v>
      </c>
      <c r="AL23" s="25">
        <f t="shared" si="12"/>
        <v>0</v>
      </c>
      <c r="AM23" s="221"/>
      <c r="AN23" s="25">
        <f t="shared" si="13"/>
        <v>0</v>
      </c>
      <c r="AO23" s="25">
        <f t="shared" si="14"/>
        <v>0</v>
      </c>
      <c r="AP23" s="221"/>
      <c r="AQ23" s="25">
        <f t="shared" si="15"/>
        <v>0</v>
      </c>
      <c r="AR23" s="25">
        <f t="shared" si="16"/>
        <v>0</v>
      </c>
      <c r="AS23" s="221"/>
      <c r="AT23" s="25">
        <f t="shared" si="17"/>
        <v>0</v>
      </c>
      <c r="AU23" s="25">
        <f t="shared" si="18"/>
        <v>0</v>
      </c>
      <c r="AV23" s="221"/>
      <c r="AW23" s="25">
        <f t="shared" si="19"/>
        <v>0</v>
      </c>
      <c r="AX23" s="25">
        <f t="shared" si="20"/>
        <v>0</v>
      </c>
      <c r="AY23" s="221"/>
      <c r="AZ23" s="25">
        <f t="shared" si="21"/>
        <v>0</v>
      </c>
      <c r="BA23" s="25">
        <f t="shared" si="3"/>
        <v>0</v>
      </c>
      <c r="BB23" s="221"/>
      <c r="BC23" s="25">
        <f t="shared" si="22"/>
        <v>0</v>
      </c>
      <c r="BD23" s="25">
        <f t="shared" si="4"/>
        <v>0</v>
      </c>
      <c r="BE23" s="221"/>
      <c r="BF23" s="25">
        <f t="shared" si="23"/>
        <v>0</v>
      </c>
      <c r="BG23" s="25">
        <f t="shared" si="24"/>
        <v>0</v>
      </c>
      <c r="BH23" s="221"/>
      <c r="BI23" s="25">
        <f t="shared" si="25"/>
        <v>0</v>
      </c>
      <c r="BJ23" s="25">
        <f t="shared" si="26"/>
        <v>0</v>
      </c>
    </row>
    <row r="24" spans="1:62" ht="15.65" customHeight="1">
      <c r="A24" s="212" t="s">
        <v>1238</v>
      </c>
      <c r="B24" s="213" t="str">
        <f>+VLOOKUP(A24,Takstblad!$A$5:$B$30,2,FALSE)</f>
        <v/>
      </c>
      <c r="C24" s="285"/>
      <c r="D24" s="285"/>
      <c r="E24" s="285"/>
      <c r="F24" s="285"/>
      <c r="G24" s="285"/>
      <c r="H24" s="285"/>
      <c r="I24" s="285"/>
      <c r="J24" s="285"/>
      <c r="K24" s="285"/>
      <c r="L24" s="285"/>
      <c r="M24" s="19">
        <f t="shared" si="5"/>
        <v>0</v>
      </c>
      <c r="N24" s="285"/>
      <c r="O24" s="285" t="s">
        <v>113</v>
      </c>
      <c r="P24" s="212"/>
      <c r="Q24" s="214"/>
      <c r="R24" s="216">
        <f t="shared" si="6"/>
        <v>0</v>
      </c>
      <c r="S24" s="215">
        <f>+IFERROR(IF(S$19=Takstblad!C$3,VLOOKUP($A24,takstblad,3,FALSE)*C24,"fejl i år"),0)</f>
        <v>0</v>
      </c>
      <c r="T24" s="215">
        <f>+IFERROR(IF(T$19=Takstblad!D$3,VLOOKUP($A24,takstblad,4,FALSE)*D24,"fejl i år"),0)</f>
        <v>0</v>
      </c>
      <c r="U24" s="215">
        <f>+IFERROR(IF(U$19=Takstblad!E$3,VLOOKUP($A24,takstblad,5,FALSE)*E24,"fejl i år"),0)</f>
        <v>0</v>
      </c>
      <c r="V24" s="215">
        <f>+IFERROR(IF(V$19=Takstblad!F$3,VLOOKUP($A24,takstblad,6,FALSE)*F24,"fejl i år"),0)</f>
        <v>0</v>
      </c>
      <c r="W24" s="215">
        <f>+IFERROR(IF(W$19=Takstblad!G$3,VLOOKUP($A24,takstblad,7,FALSE)*G24,"fejl i år"),0)</f>
        <v>0</v>
      </c>
      <c r="X24" s="215">
        <f>+IFERROR(IF(X$19=Takstblad!H$3,VLOOKUP($A24,takstblad,8,FALSE)*H24,"fejl i år"),0)</f>
        <v>0</v>
      </c>
      <c r="Y24" s="215">
        <f>+IFERROR(IF(Y$19=Takstblad!I$3,VLOOKUP($A24,takstblad,9,FALSE)*I24,"fejl i år"),0)</f>
        <v>0</v>
      </c>
      <c r="Z24" s="215">
        <f>+IFERROR(IF(Z$19=Takstblad!J$3,VLOOKUP($A24,takstblad,10,FALSE)*J24,"fejl i år"),0)</f>
        <v>0</v>
      </c>
      <c r="AA24" s="215">
        <f>+IFERROR(IF(AA$19=Takstblad!K$3,VLOOKUP($A24,takstblad,11,FALSE)*K24,"fejl i år"),0)</f>
        <v>0</v>
      </c>
      <c r="AB24" s="215">
        <f>+IFERROR(IF(AB$19=Takstblad!L$3,VLOOKUP($A24,takstblad,12,FALSE)*L24,"fejl i år"),0)</f>
        <v>0</v>
      </c>
      <c r="AC24" s="216">
        <f t="shared" si="7"/>
        <v>0</v>
      </c>
      <c r="AD24" s="221"/>
      <c r="AE24" s="217">
        <f>+M24*($C$7/12)</f>
        <v>0</v>
      </c>
      <c r="AF24" s="217">
        <f>IFERROR(AC24/AE24,0)</f>
        <v>0</v>
      </c>
      <c r="AG24" s="221"/>
      <c r="AH24" s="217">
        <f>+C24*($C$7/12)</f>
        <v>0</v>
      </c>
      <c r="AI24" s="217">
        <f t="shared" si="2"/>
        <v>0</v>
      </c>
      <c r="AJ24" s="221"/>
      <c r="AK24" s="217">
        <f t="shared" si="11"/>
        <v>0</v>
      </c>
      <c r="AL24" s="217">
        <f t="shared" si="12"/>
        <v>0</v>
      </c>
      <c r="AM24" s="221"/>
      <c r="AN24" s="217">
        <f t="shared" si="13"/>
        <v>0</v>
      </c>
      <c r="AO24" s="217">
        <f t="shared" si="14"/>
        <v>0</v>
      </c>
      <c r="AP24" s="221"/>
      <c r="AQ24" s="217">
        <f t="shared" si="15"/>
        <v>0</v>
      </c>
      <c r="AR24" s="217">
        <f t="shared" si="16"/>
        <v>0</v>
      </c>
      <c r="AS24" s="221"/>
      <c r="AT24" s="217">
        <f t="shared" si="17"/>
        <v>0</v>
      </c>
      <c r="AU24" s="217">
        <f t="shared" si="18"/>
        <v>0</v>
      </c>
      <c r="AV24" s="221"/>
      <c r="AW24" s="217">
        <f t="shared" si="19"/>
        <v>0</v>
      </c>
      <c r="AX24" s="217">
        <f t="shared" si="20"/>
        <v>0</v>
      </c>
      <c r="AY24" s="221"/>
      <c r="AZ24" s="217">
        <f t="shared" si="21"/>
        <v>0</v>
      </c>
      <c r="BA24" s="217">
        <f t="shared" si="3"/>
        <v>0</v>
      </c>
      <c r="BB24" s="221"/>
      <c r="BC24" s="217">
        <f t="shared" si="22"/>
        <v>0</v>
      </c>
      <c r="BD24" s="217">
        <f t="shared" si="4"/>
        <v>0</v>
      </c>
      <c r="BE24" s="221"/>
      <c r="BF24" s="217">
        <f t="shared" si="23"/>
        <v>0</v>
      </c>
      <c r="BG24" s="217">
        <f t="shared" si="24"/>
        <v>0</v>
      </c>
      <c r="BH24" s="221"/>
      <c r="BI24" s="217">
        <f t="shared" si="25"/>
        <v>0</v>
      </c>
      <c r="BJ24" s="217">
        <f t="shared" si="26"/>
        <v>0</v>
      </c>
    </row>
    <row r="25" spans="1:62" ht="15.65" customHeight="1">
      <c r="A25" s="7" t="s">
        <v>1238</v>
      </c>
      <c r="B25" s="4" t="str">
        <f>+VLOOKUP(A25,Takstblad!$A$5:$B$30,2,FALSE)</f>
        <v/>
      </c>
      <c r="C25" s="285"/>
      <c r="D25" s="285"/>
      <c r="E25" s="285"/>
      <c r="F25" s="285"/>
      <c r="G25" s="285"/>
      <c r="H25" s="285"/>
      <c r="I25" s="285"/>
      <c r="J25" s="285"/>
      <c r="K25" s="285"/>
      <c r="L25" s="285"/>
      <c r="M25" s="19">
        <f t="shared" si="5"/>
        <v>0</v>
      </c>
      <c r="N25" s="285"/>
      <c r="O25" s="285" t="s">
        <v>113</v>
      </c>
      <c r="Q25" s="16"/>
      <c r="R25" s="21">
        <f t="shared" si="6"/>
        <v>0</v>
      </c>
      <c r="S25" s="25">
        <f>+IFERROR(IF(S$19=Takstblad!C$3,VLOOKUP($A25,takstblad,3,FALSE)*C25,"fejl i år"),0)</f>
        <v>0</v>
      </c>
      <c r="T25" s="25">
        <f>+IFERROR(IF(T$19=Takstblad!D$3,VLOOKUP($A25,takstblad,4,FALSE)*D25,"fejl i år"),0)</f>
        <v>0</v>
      </c>
      <c r="U25" s="25">
        <f>+IFERROR(IF(U$19=Takstblad!E$3,VLOOKUP($A25,takstblad,5,FALSE)*E25,"fejl i år"),0)</f>
        <v>0</v>
      </c>
      <c r="V25" s="25">
        <f>+IFERROR(IF(V$19=Takstblad!F$3,VLOOKUP($A25,takstblad,6,FALSE)*F25,"fejl i år"),0)</f>
        <v>0</v>
      </c>
      <c r="W25" s="25">
        <f>+IFERROR(IF(W$19=Takstblad!G$3,VLOOKUP($A25,takstblad,7,FALSE)*G25,"fejl i år"),0)</f>
        <v>0</v>
      </c>
      <c r="X25" s="25">
        <f>+IFERROR(IF(X$19=Takstblad!H$3,VLOOKUP($A25,takstblad,8,FALSE)*H25,"fejl i år"),0)</f>
        <v>0</v>
      </c>
      <c r="Y25" s="25">
        <f>+IFERROR(IF(Y$19=Takstblad!I$3,VLOOKUP($A25,takstblad,9,FALSE)*I25,"fejl i år"),0)</f>
        <v>0</v>
      </c>
      <c r="Z25" s="25">
        <f>+IFERROR(IF(Z$19=Takstblad!J$3,VLOOKUP($A25,takstblad,10,FALSE)*J25,"fejl i år"),0)</f>
        <v>0</v>
      </c>
      <c r="AA25" s="25">
        <f>+IFERROR(IF(AA$19=Takstblad!K$3,VLOOKUP($A25,takstblad,11,FALSE)*K25,"fejl i år"),0)</f>
        <v>0</v>
      </c>
      <c r="AB25" s="25">
        <f>+IFERROR(IF(AB$19=Takstblad!L$3,VLOOKUP($A25,takstblad,12,FALSE)*L25,"fejl i år"),0)</f>
        <v>0</v>
      </c>
      <c r="AC25" s="21">
        <f t="shared" si="7"/>
        <v>0</v>
      </c>
      <c r="AD25" s="221"/>
      <c r="AE25" s="25">
        <f>+M25*($C$7/12)</f>
        <v>0</v>
      </c>
      <c r="AF25" s="25">
        <f>IFERROR(AC25/AE25,0)</f>
        <v>0</v>
      </c>
      <c r="AG25" s="221"/>
      <c r="AH25" s="25">
        <f t="shared" si="10"/>
        <v>0</v>
      </c>
      <c r="AI25" s="25">
        <f t="shared" si="2"/>
        <v>0</v>
      </c>
      <c r="AJ25" s="221"/>
      <c r="AK25" s="25">
        <f t="shared" si="11"/>
        <v>0</v>
      </c>
      <c r="AL25" s="25">
        <f t="shared" si="12"/>
        <v>0</v>
      </c>
      <c r="AM25" s="221"/>
      <c r="AN25" s="25">
        <f t="shared" si="13"/>
        <v>0</v>
      </c>
      <c r="AO25" s="25">
        <f t="shared" si="14"/>
        <v>0</v>
      </c>
      <c r="AP25" s="221"/>
      <c r="AQ25" s="25">
        <f t="shared" si="15"/>
        <v>0</v>
      </c>
      <c r="AR25" s="25">
        <f t="shared" si="16"/>
        <v>0</v>
      </c>
      <c r="AS25" s="221"/>
      <c r="AT25" s="25">
        <f t="shared" si="17"/>
        <v>0</v>
      </c>
      <c r="AU25" s="25">
        <f t="shared" si="18"/>
        <v>0</v>
      </c>
      <c r="AV25" s="221"/>
      <c r="AW25" s="25">
        <f t="shared" si="19"/>
        <v>0</v>
      </c>
      <c r="AX25" s="25">
        <f t="shared" si="20"/>
        <v>0</v>
      </c>
      <c r="AY25" s="221"/>
      <c r="AZ25" s="25">
        <f>+I25*($C$7/12)</f>
        <v>0</v>
      </c>
      <c r="BA25" s="25">
        <f t="shared" si="3"/>
        <v>0</v>
      </c>
      <c r="BB25" s="221"/>
      <c r="BC25" s="25">
        <f t="shared" si="22"/>
        <v>0</v>
      </c>
      <c r="BD25" s="25">
        <f t="shared" si="4"/>
        <v>0</v>
      </c>
      <c r="BE25" s="221"/>
      <c r="BF25" s="25">
        <f t="shared" si="23"/>
        <v>0</v>
      </c>
      <c r="BG25" s="25">
        <f t="shared" si="24"/>
        <v>0</v>
      </c>
      <c r="BH25" s="221"/>
      <c r="BI25" s="25">
        <f t="shared" si="25"/>
        <v>0</v>
      </c>
      <c r="BJ25" s="25">
        <f t="shared" si="26"/>
        <v>0</v>
      </c>
    </row>
    <row r="26" spans="1:62" ht="15.65" customHeight="1">
      <c r="A26" s="212" t="s">
        <v>1238</v>
      </c>
      <c r="B26" s="213" t="str">
        <f>+VLOOKUP(A26,Takstblad!$A$5:$B$30,2,FALSE)</f>
        <v/>
      </c>
      <c r="C26" s="285"/>
      <c r="D26" s="285"/>
      <c r="E26" s="285"/>
      <c r="F26" s="285"/>
      <c r="G26" s="285"/>
      <c r="H26" s="285"/>
      <c r="I26" s="285"/>
      <c r="J26" s="285"/>
      <c r="K26" s="285"/>
      <c r="L26" s="285"/>
      <c r="M26" s="19">
        <f t="shared" si="5"/>
        <v>0</v>
      </c>
      <c r="N26" s="285"/>
      <c r="O26" s="285" t="s">
        <v>113</v>
      </c>
      <c r="P26" s="212"/>
      <c r="Q26" s="214"/>
      <c r="R26" s="216">
        <f t="shared" si="6"/>
        <v>0</v>
      </c>
      <c r="S26" s="215">
        <f>+IFERROR(IF(S$19=Takstblad!C$3,VLOOKUP($A26,takstblad,3,FALSE)*C26,"fejl i år"),0)</f>
        <v>0</v>
      </c>
      <c r="T26" s="215">
        <f>+IFERROR(IF(T$19=Takstblad!D$3,VLOOKUP($A26,takstblad,4,FALSE)*D26,"fejl i år"),0)</f>
        <v>0</v>
      </c>
      <c r="U26" s="215">
        <f>+IFERROR(IF(U$19=Takstblad!E$3,VLOOKUP($A26,takstblad,5,FALSE)*E26,"fejl i år"),0)</f>
        <v>0</v>
      </c>
      <c r="V26" s="215">
        <f>+IFERROR(IF(V$19=Takstblad!F$3,VLOOKUP($A26,takstblad,6,FALSE)*F26,"fejl i år"),0)</f>
        <v>0</v>
      </c>
      <c r="W26" s="215">
        <f>+IFERROR(IF(W$19=Takstblad!G$3,VLOOKUP($A26,takstblad,7,FALSE)*G26,"fejl i år"),0)</f>
        <v>0</v>
      </c>
      <c r="X26" s="215">
        <f>+IFERROR(IF(X$19=Takstblad!H$3,VLOOKUP($A26,takstblad,8,FALSE)*H26,"fejl i år"),0)</f>
        <v>0</v>
      </c>
      <c r="Y26" s="215">
        <f>+IFERROR(IF(Y$19=Takstblad!I$3,VLOOKUP($A26,takstblad,9,FALSE)*I26,"fejl i år"),0)</f>
        <v>0</v>
      </c>
      <c r="Z26" s="215">
        <f>+IFERROR(IF(Z$19=Takstblad!J$3,VLOOKUP($A26,takstblad,10,FALSE)*J26,"fejl i år"),0)</f>
        <v>0</v>
      </c>
      <c r="AA26" s="215">
        <f>+IFERROR(IF(AA$19=Takstblad!K$3,VLOOKUP($A26,takstblad,11,FALSE)*K26,"fejl i år"),0)</f>
        <v>0</v>
      </c>
      <c r="AB26" s="215">
        <f>+IFERROR(IF(AB$19=Takstblad!L$3,VLOOKUP($A26,takstblad,12,FALSE)*L26,"fejl i år"),0)</f>
        <v>0</v>
      </c>
      <c r="AC26" s="216">
        <f t="shared" si="7"/>
        <v>0</v>
      </c>
      <c r="AD26" s="221"/>
      <c r="AE26" s="217">
        <f t="shared" si="8"/>
        <v>0</v>
      </c>
      <c r="AF26" s="217">
        <f t="shared" si="9"/>
        <v>0</v>
      </c>
      <c r="AG26" s="221"/>
      <c r="AH26" s="217">
        <f t="shared" si="10"/>
        <v>0</v>
      </c>
      <c r="AI26" s="217">
        <f t="shared" si="2"/>
        <v>0</v>
      </c>
      <c r="AJ26" s="221"/>
      <c r="AK26" s="217">
        <f t="shared" si="11"/>
        <v>0</v>
      </c>
      <c r="AL26" s="217">
        <f t="shared" si="12"/>
        <v>0</v>
      </c>
      <c r="AM26" s="221"/>
      <c r="AN26" s="217">
        <f t="shared" si="13"/>
        <v>0</v>
      </c>
      <c r="AO26" s="217">
        <f t="shared" si="14"/>
        <v>0</v>
      </c>
      <c r="AP26" s="221"/>
      <c r="AQ26" s="217">
        <f t="shared" si="15"/>
        <v>0</v>
      </c>
      <c r="AR26" s="217">
        <f t="shared" si="16"/>
        <v>0</v>
      </c>
      <c r="AS26" s="221"/>
      <c r="AT26" s="217">
        <f t="shared" si="17"/>
        <v>0</v>
      </c>
      <c r="AU26" s="217">
        <f t="shared" si="18"/>
        <v>0</v>
      </c>
      <c r="AV26" s="221"/>
      <c r="AW26" s="217">
        <f t="shared" si="19"/>
        <v>0</v>
      </c>
      <c r="AX26" s="217">
        <f t="shared" si="20"/>
        <v>0</v>
      </c>
      <c r="AY26" s="221"/>
      <c r="AZ26" s="217">
        <f t="shared" si="21"/>
        <v>0</v>
      </c>
      <c r="BA26" s="217">
        <f t="shared" si="3"/>
        <v>0</v>
      </c>
      <c r="BB26" s="221"/>
      <c r="BC26" s="217">
        <f t="shared" si="22"/>
        <v>0</v>
      </c>
      <c r="BD26" s="217">
        <f t="shared" si="4"/>
        <v>0</v>
      </c>
      <c r="BE26" s="221"/>
      <c r="BF26" s="217">
        <f t="shared" si="23"/>
        <v>0</v>
      </c>
      <c r="BG26" s="217">
        <f t="shared" si="24"/>
        <v>0</v>
      </c>
      <c r="BH26" s="221"/>
      <c r="BI26" s="217">
        <f t="shared" si="25"/>
        <v>0</v>
      </c>
      <c r="BJ26" s="217">
        <f t="shared" si="26"/>
        <v>0</v>
      </c>
    </row>
    <row r="27" spans="1:62" ht="15.65" customHeight="1">
      <c r="A27" s="7" t="s">
        <v>1238</v>
      </c>
      <c r="B27" s="4" t="str">
        <f>+VLOOKUP(A27,Takstblad!$A$5:$B$30,2,FALSE)</f>
        <v/>
      </c>
      <c r="C27" s="285"/>
      <c r="D27" s="285"/>
      <c r="E27" s="285"/>
      <c r="F27" s="285"/>
      <c r="G27" s="285"/>
      <c r="H27" s="285"/>
      <c r="I27" s="285"/>
      <c r="J27" s="285"/>
      <c r="K27" s="285"/>
      <c r="L27" s="285"/>
      <c r="M27" s="19">
        <f t="shared" si="5"/>
        <v>0</v>
      </c>
      <c r="N27" s="285"/>
      <c r="O27" s="285" t="s">
        <v>113</v>
      </c>
      <c r="Q27" s="16"/>
      <c r="R27" s="21">
        <f t="shared" si="6"/>
        <v>0</v>
      </c>
      <c r="S27" s="25">
        <f>+IFERROR(IF(S$19=Takstblad!C$3,VLOOKUP($A27,takstblad,3,FALSE)*C27,"fejl i år"),0)</f>
        <v>0</v>
      </c>
      <c r="T27" s="25">
        <f>+IFERROR(IF(T$19=Takstblad!D$3,VLOOKUP($A27,takstblad,4,FALSE)*D27,"fejl i år"),0)</f>
        <v>0</v>
      </c>
      <c r="U27" s="25">
        <f>+IFERROR(IF(U$19=Takstblad!E$3,VLOOKUP($A27,takstblad,5,FALSE)*E27,"fejl i år"),0)</f>
        <v>0</v>
      </c>
      <c r="V27" s="25">
        <f>+IFERROR(IF(V$19=Takstblad!F$3,VLOOKUP($A27,takstblad,6,FALSE)*F27,"fejl i år"),0)</f>
        <v>0</v>
      </c>
      <c r="W27" s="25">
        <f>+IFERROR(IF(W$19=Takstblad!G$3,VLOOKUP($A27,takstblad,7,FALSE)*G27,"fejl i år"),0)</f>
        <v>0</v>
      </c>
      <c r="X27" s="25">
        <f>+IFERROR(IF(X$19=Takstblad!H$3,VLOOKUP($A27,takstblad,8,FALSE)*H27,"fejl i år"),0)</f>
        <v>0</v>
      </c>
      <c r="Y27" s="25">
        <f>+IFERROR(IF(Y$19=Takstblad!I$3,VLOOKUP($A27,takstblad,9,FALSE)*I27,"fejl i år"),0)</f>
        <v>0</v>
      </c>
      <c r="Z27" s="25">
        <f>+IFERROR(IF(Z$19=Takstblad!J$3,VLOOKUP($A27,takstblad,10,FALSE)*J27,"fejl i år"),0)</f>
        <v>0</v>
      </c>
      <c r="AA27" s="25">
        <f>+IFERROR(IF(AA$19=Takstblad!K$3,VLOOKUP($A27,takstblad,11,FALSE)*K27,"fejl i år"),0)</f>
        <v>0</v>
      </c>
      <c r="AB27" s="25">
        <f>+IFERROR(IF(AB$19=Takstblad!L$3,VLOOKUP($A27,takstblad,12,FALSE)*L27,"fejl i år"),0)</f>
        <v>0</v>
      </c>
      <c r="AC27" s="21">
        <f t="shared" si="7"/>
        <v>0</v>
      </c>
      <c r="AD27" s="221"/>
      <c r="AE27" s="25">
        <f t="shared" si="8"/>
        <v>0</v>
      </c>
      <c r="AF27" s="25">
        <f t="shared" si="9"/>
        <v>0</v>
      </c>
      <c r="AG27" s="221"/>
      <c r="AH27" s="25">
        <f t="shared" si="10"/>
        <v>0</v>
      </c>
      <c r="AI27" s="25">
        <f t="shared" si="2"/>
        <v>0</v>
      </c>
      <c r="AJ27" s="221"/>
      <c r="AK27" s="25">
        <f t="shared" si="11"/>
        <v>0</v>
      </c>
      <c r="AL27" s="25">
        <f t="shared" si="12"/>
        <v>0</v>
      </c>
      <c r="AM27" s="221"/>
      <c r="AN27" s="25">
        <f t="shared" si="13"/>
        <v>0</v>
      </c>
      <c r="AO27" s="25">
        <f t="shared" si="14"/>
        <v>0</v>
      </c>
      <c r="AP27" s="221"/>
      <c r="AQ27" s="25">
        <f t="shared" si="15"/>
        <v>0</v>
      </c>
      <c r="AR27" s="25">
        <f t="shared" si="16"/>
        <v>0</v>
      </c>
      <c r="AS27" s="221"/>
      <c r="AT27" s="25">
        <f t="shared" si="17"/>
        <v>0</v>
      </c>
      <c r="AU27" s="25">
        <f t="shared" si="18"/>
        <v>0</v>
      </c>
      <c r="AV27" s="221"/>
      <c r="AW27" s="25">
        <f t="shared" si="19"/>
        <v>0</v>
      </c>
      <c r="AX27" s="25">
        <f t="shared" si="20"/>
        <v>0</v>
      </c>
      <c r="AY27" s="221"/>
      <c r="AZ27" s="25">
        <f t="shared" si="21"/>
        <v>0</v>
      </c>
      <c r="BA27" s="25">
        <f t="shared" si="3"/>
        <v>0</v>
      </c>
      <c r="BB27" s="221"/>
      <c r="BC27" s="25">
        <f t="shared" si="22"/>
        <v>0</v>
      </c>
      <c r="BD27" s="25">
        <f t="shared" si="4"/>
        <v>0</v>
      </c>
      <c r="BE27" s="221"/>
      <c r="BF27" s="25">
        <f t="shared" si="23"/>
        <v>0</v>
      </c>
      <c r="BG27" s="25">
        <f t="shared" si="24"/>
        <v>0</v>
      </c>
      <c r="BH27" s="221"/>
      <c r="BI27" s="25">
        <f t="shared" si="25"/>
        <v>0</v>
      </c>
      <c r="BJ27" s="25">
        <f t="shared" si="26"/>
        <v>0</v>
      </c>
    </row>
    <row r="28" spans="1:62" ht="15.65" customHeight="1">
      <c r="A28" s="212" t="s">
        <v>1238</v>
      </c>
      <c r="B28" s="213" t="str">
        <f>+VLOOKUP(A28,Takstblad!$A$5:$B$30,2,FALSE)</f>
        <v/>
      </c>
      <c r="C28" s="285"/>
      <c r="D28" s="285"/>
      <c r="E28" s="285"/>
      <c r="F28" s="285"/>
      <c r="G28" s="285"/>
      <c r="H28" s="285"/>
      <c r="I28" s="285"/>
      <c r="J28" s="285"/>
      <c r="K28" s="285"/>
      <c r="L28" s="285"/>
      <c r="M28" s="19">
        <f t="shared" si="5"/>
        <v>0</v>
      </c>
      <c r="N28" s="285"/>
      <c r="O28" s="285" t="s">
        <v>113</v>
      </c>
      <c r="P28" s="212"/>
      <c r="Q28" s="214"/>
      <c r="R28" s="216">
        <f t="shared" si="6"/>
        <v>0</v>
      </c>
      <c r="S28" s="215">
        <f>+IFERROR(IF(S$19=Takstblad!C$3,VLOOKUP($A28,takstblad,3,FALSE)*C28,"fejl i år"),0)</f>
        <v>0</v>
      </c>
      <c r="T28" s="215">
        <f>+IFERROR(IF(T$19=Takstblad!D$3,VLOOKUP($A28,takstblad,4,FALSE)*D28,"fejl i år"),0)</f>
        <v>0</v>
      </c>
      <c r="U28" s="215">
        <f>+IFERROR(IF(U$19=Takstblad!E$3,VLOOKUP($A28,takstblad,5,FALSE)*E28,"fejl i år"),0)</f>
        <v>0</v>
      </c>
      <c r="V28" s="215">
        <f>+IFERROR(IF(V$19=Takstblad!F$3,VLOOKUP($A28,takstblad,6,FALSE)*F28,"fejl i år"),0)</f>
        <v>0</v>
      </c>
      <c r="W28" s="215">
        <f>+IFERROR(IF(W$19=Takstblad!G$3,VLOOKUP($A28,takstblad,7,FALSE)*G28,"fejl i år"),0)</f>
        <v>0</v>
      </c>
      <c r="X28" s="215">
        <f>+IFERROR(IF(X$19=Takstblad!H$3,VLOOKUP($A28,takstblad,8,FALSE)*H28,"fejl i år"),0)</f>
        <v>0</v>
      </c>
      <c r="Y28" s="215">
        <f>+IFERROR(IF(Y$19=Takstblad!I$3,VLOOKUP($A28,takstblad,9,FALSE)*I28,"fejl i år"),0)</f>
        <v>0</v>
      </c>
      <c r="Z28" s="215">
        <f>+IFERROR(IF(Z$19=Takstblad!J$3,VLOOKUP($A28,takstblad,10,FALSE)*J28,"fejl i år"),0)</f>
        <v>0</v>
      </c>
      <c r="AA28" s="215">
        <f>+IFERROR(IF(AA$19=Takstblad!K$3,VLOOKUP($A28,takstblad,11,FALSE)*K28,"fejl i år"),0)</f>
        <v>0</v>
      </c>
      <c r="AB28" s="215">
        <f>+IFERROR(IF(AB$19=Takstblad!L$3,VLOOKUP($A28,takstblad,12,FALSE)*L28,"fejl i år"),0)</f>
        <v>0</v>
      </c>
      <c r="AC28" s="216">
        <f t="shared" si="7"/>
        <v>0</v>
      </c>
      <c r="AD28" s="221"/>
      <c r="AE28" s="217">
        <f t="shared" si="8"/>
        <v>0</v>
      </c>
      <c r="AF28" s="217">
        <f t="shared" si="9"/>
        <v>0</v>
      </c>
      <c r="AG28" s="221"/>
      <c r="AH28" s="217">
        <f t="shared" si="10"/>
        <v>0</v>
      </c>
      <c r="AI28" s="217">
        <f t="shared" si="2"/>
        <v>0</v>
      </c>
      <c r="AJ28" s="221"/>
      <c r="AK28" s="217">
        <f t="shared" si="11"/>
        <v>0</v>
      </c>
      <c r="AL28" s="217">
        <f t="shared" si="12"/>
        <v>0</v>
      </c>
      <c r="AM28" s="221"/>
      <c r="AN28" s="217">
        <f t="shared" si="13"/>
        <v>0</v>
      </c>
      <c r="AO28" s="217">
        <f t="shared" si="14"/>
        <v>0</v>
      </c>
      <c r="AP28" s="221"/>
      <c r="AQ28" s="217">
        <f t="shared" si="15"/>
        <v>0</v>
      </c>
      <c r="AR28" s="217">
        <f t="shared" si="16"/>
        <v>0</v>
      </c>
      <c r="AS28" s="221"/>
      <c r="AT28" s="217">
        <f t="shared" si="17"/>
        <v>0</v>
      </c>
      <c r="AU28" s="217">
        <f t="shared" si="18"/>
        <v>0</v>
      </c>
      <c r="AV28" s="221"/>
      <c r="AW28" s="217">
        <f t="shared" si="19"/>
        <v>0</v>
      </c>
      <c r="AX28" s="217">
        <f t="shared" si="20"/>
        <v>0</v>
      </c>
      <c r="AY28" s="221"/>
      <c r="AZ28" s="217">
        <f t="shared" si="21"/>
        <v>0</v>
      </c>
      <c r="BA28" s="217">
        <f t="shared" si="3"/>
        <v>0</v>
      </c>
      <c r="BB28" s="221"/>
      <c r="BC28" s="217">
        <f t="shared" si="22"/>
        <v>0</v>
      </c>
      <c r="BD28" s="217">
        <f t="shared" si="4"/>
        <v>0</v>
      </c>
      <c r="BE28" s="221"/>
      <c r="BF28" s="217">
        <f t="shared" si="23"/>
        <v>0</v>
      </c>
      <c r="BG28" s="217">
        <f t="shared" si="24"/>
        <v>0</v>
      </c>
      <c r="BH28" s="221"/>
      <c r="BI28" s="217">
        <f t="shared" si="25"/>
        <v>0</v>
      </c>
      <c r="BJ28" s="217">
        <f t="shared" si="26"/>
        <v>0</v>
      </c>
    </row>
    <row r="29" spans="1:62" ht="15.65" customHeight="1" thickBot="1">
      <c r="A29" s="7" t="s">
        <v>1238</v>
      </c>
      <c r="B29" s="4" t="str">
        <f>+VLOOKUP(A29,Takstblad!$A$5:$B$30,2,FALSE)</f>
        <v/>
      </c>
      <c r="C29" s="285"/>
      <c r="D29" s="285"/>
      <c r="E29" s="285"/>
      <c r="F29" s="285"/>
      <c r="G29" s="285"/>
      <c r="H29" s="285"/>
      <c r="I29" s="286"/>
      <c r="J29" s="286"/>
      <c r="K29" s="286"/>
      <c r="L29" s="286"/>
      <c r="M29" s="47">
        <f t="shared" si="5"/>
        <v>0</v>
      </c>
      <c r="N29" s="285"/>
      <c r="O29" s="285" t="s">
        <v>113</v>
      </c>
      <c r="Q29" s="16"/>
      <c r="R29" s="21">
        <f t="shared" si="6"/>
        <v>0</v>
      </c>
      <c r="S29" s="25">
        <f>+IFERROR(IF(S$19=Takstblad!C$3,VLOOKUP($A29,takstblad,3,FALSE)*C29,"fejl i år"),0)</f>
        <v>0</v>
      </c>
      <c r="T29" s="25">
        <f>+IFERROR(IF(T$19=Takstblad!D$3,VLOOKUP($A29,takstblad,4,FALSE)*D29,"fejl i år"),0)</f>
        <v>0</v>
      </c>
      <c r="U29" s="25">
        <f>+IFERROR(IF(U$19=Takstblad!E$3,VLOOKUP($A29,takstblad,5,FALSE)*E29,"fejl i år"),0)</f>
        <v>0</v>
      </c>
      <c r="V29" s="25">
        <f>+IFERROR(IF(V$19=Takstblad!F$3,VLOOKUP($A29,takstblad,6,FALSE)*F29,"fejl i år"),0)</f>
        <v>0</v>
      </c>
      <c r="W29" s="25">
        <f>+IFERROR(IF(W$19=Takstblad!G$3,VLOOKUP($A29,takstblad,7,FALSE)*G29,"fejl i år"),0)</f>
        <v>0</v>
      </c>
      <c r="X29" s="25">
        <f>+IFERROR(IF(X$19=Takstblad!H$3,VLOOKUP($A29,takstblad,8,FALSE)*H29,"fejl i år"),0)</f>
        <v>0</v>
      </c>
      <c r="Y29" s="25">
        <f>+IFERROR(IF(Y$19=Takstblad!I$3,VLOOKUP($A29,takstblad,9,FALSE)*I29,"fejl i år"),0)</f>
        <v>0</v>
      </c>
      <c r="Z29" s="25">
        <f>+IFERROR(IF(Z$19=Takstblad!J$3,VLOOKUP($A29,takstblad,10,FALSE)*J29,"fejl i år"),0)</f>
        <v>0</v>
      </c>
      <c r="AA29" s="25">
        <f>+IFERROR(IF(AA$19=Takstblad!K$3,VLOOKUP($A29,takstblad,11,FALSE)*K29,"fejl i år"),0)</f>
        <v>0</v>
      </c>
      <c r="AB29" s="25">
        <f>+IFERROR(IF(AB$19=Takstblad!L$3,VLOOKUP($A29,takstblad,12,FALSE)*L29,"fejl i år"),0)</f>
        <v>0</v>
      </c>
      <c r="AC29" s="21">
        <f t="shared" si="7"/>
        <v>0</v>
      </c>
      <c r="AD29" s="221"/>
      <c r="AE29" s="25">
        <f t="shared" si="8"/>
        <v>0</v>
      </c>
      <c r="AF29" s="25">
        <f t="shared" si="9"/>
        <v>0</v>
      </c>
      <c r="AG29" s="221"/>
      <c r="AH29" s="25">
        <f t="shared" si="10"/>
        <v>0</v>
      </c>
      <c r="AI29" s="25">
        <f t="shared" si="2"/>
        <v>0</v>
      </c>
      <c r="AJ29" s="221"/>
      <c r="AK29" s="25">
        <f t="shared" si="11"/>
        <v>0</v>
      </c>
      <c r="AL29" s="25">
        <f t="shared" si="12"/>
        <v>0</v>
      </c>
      <c r="AM29" s="221"/>
      <c r="AN29" s="25">
        <f t="shared" si="13"/>
        <v>0</v>
      </c>
      <c r="AO29" s="25">
        <f t="shared" si="14"/>
        <v>0</v>
      </c>
      <c r="AP29" s="221"/>
      <c r="AQ29" s="25">
        <f t="shared" si="15"/>
        <v>0</v>
      </c>
      <c r="AR29" s="25">
        <f t="shared" si="16"/>
        <v>0</v>
      </c>
      <c r="AS29" s="221"/>
      <c r="AT29" s="25">
        <f t="shared" si="17"/>
        <v>0</v>
      </c>
      <c r="AU29" s="25">
        <f t="shared" si="18"/>
        <v>0</v>
      </c>
      <c r="AV29" s="221"/>
      <c r="AW29" s="25">
        <f t="shared" si="19"/>
        <v>0</v>
      </c>
      <c r="AX29" s="25">
        <f t="shared" si="20"/>
        <v>0</v>
      </c>
      <c r="AY29" s="221"/>
      <c r="AZ29" s="25">
        <f t="shared" si="21"/>
        <v>0</v>
      </c>
      <c r="BA29" s="25">
        <f t="shared" si="3"/>
        <v>0</v>
      </c>
      <c r="BB29" s="221"/>
      <c r="BC29" s="25">
        <f t="shared" si="22"/>
        <v>0</v>
      </c>
      <c r="BD29" s="25">
        <f>IFERROR(Z29/BC29,0)</f>
        <v>0</v>
      </c>
      <c r="BE29" s="221"/>
      <c r="BF29" s="25">
        <f t="shared" si="23"/>
        <v>0</v>
      </c>
      <c r="BG29" s="25">
        <f t="shared" si="24"/>
        <v>0</v>
      </c>
      <c r="BH29" s="221"/>
      <c r="BI29" s="25">
        <f t="shared" si="25"/>
        <v>0</v>
      </c>
      <c r="BJ29" s="25">
        <f t="shared" si="26"/>
        <v>0</v>
      </c>
    </row>
    <row r="30" spans="1:62" ht="15.65" hidden="1" customHeight="1" outlineLevel="1">
      <c r="A30" s="212" t="s">
        <v>1238</v>
      </c>
      <c r="B30" s="4" t="str">
        <f>+VLOOKUP(A30,Takstblad!$A$5:$B$30,2,FALSE)</f>
        <v/>
      </c>
      <c r="C30" s="285"/>
      <c r="D30" s="285"/>
      <c r="E30" s="285"/>
      <c r="F30" s="285"/>
      <c r="G30" s="285"/>
      <c r="H30" s="285"/>
      <c r="I30" s="286"/>
      <c r="J30" s="286"/>
      <c r="K30" s="286"/>
      <c r="L30" s="286"/>
      <c r="M30" s="47">
        <f t="shared" ref="M30:M39" si="27">SUM(C30:L30)</f>
        <v>0</v>
      </c>
      <c r="N30" s="285"/>
      <c r="O30" s="285" t="s">
        <v>113</v>
      </c>
      <c r="P30" s="212"/>
      <c r="Q30" s="214"/>
      <c r="R30" s="216">
        <f t="shared" ref="R30:R39" si="28">+AC30</f>
        <v>0</v>
      </c>
      <c r="S30" s="215">
        <f>+IFERROR(IF(S$19=Takstblad!C$3,VLOOKUP($A30,takstblad,3,FALSE)*C30,"fejl i år"),0)</f>
        <v>0</v>
      </c>
      <c r="T30" s="215">
        <f>+IFERROR(IF(T$19=Takstblad!D$3,VLOOKUP($A30,takstblad,4,FALSE)*D30,"fejl i år"),0)</f>
        <v>0</v>
      </c>
      <c r="U30" s="215">
        <f>+IFERROR(IF(U$19=Takstblad!E$3,VLOOKUP($A30,takstblad,5,FALSE)*E30,"fejl i år"),0)</f>
        <v>0</v>
      </c>
      <c r="V30" s="215">
        <f>+IFERROR(IF(V$19=Takstblad!F$3,VLOOKUP($A30,takstblad,6,FALSE)*F30,"fejl i år"),0)</f>
        <v>0</v>
      </c>
      <c r="W30" s="215">
        <f>+IFERROR(IF(W$19=Takstblad!G$3,VLOOKUP($A30,takstblad,7,FALSE)*G30,"fejl i år"),0)</f>
        <v>0</v>
      </c>
      <c r="X30" s="215">
        <f>+IFERROR(IF(X$19=Takstblad!H$3,VLOOKUP($A30,takstblad,8,FALSE)*H30,"fejl i år"),0)</f>
        <v>0</v>
      </c>
      <c r="Y30" s="215">
        <f>+IFERROR(IF(Y$19=Takstblad!I$3,VLOOKUP($A30,takstblad,9,FALSE)*I30,"fejl i år"),0)</f>
        <v>0</v>
      </c>
      <c r="Z30" s="215">
        <f>+IFERROR(IF(Z$19=Takstblad!J$3,VLOOKUP($A30,takstblad,10,FALSE)*J30,"fejl i år"),0)</f>
        <v>0</v>
      </c>
      <c r="AA30" s="215">
        <f>+IFERROR(IF(AA$19=Takstblad!K$3,VLOOKUP($A30,takstblad,11,FALSE)*K30,"fejl i år"),0)</f>
        <v>0</v>
      </c>
      <c r="AB30" s="215">
        <f>+IFERROR(IF(AB$19=Takstblad!L$3,VLOOKUP($A30,takstblad,12,FALSE)*L30,"fejl i år"),0)</f>
        <v>0</v>
      </c>
      <c r="AC30" s="216">
        <f t="shared" si="7"/>
        <v>0</v>
      </c>
      <c r="AD30" s="221"/>
      <c r="AE30" s="217">
        <f t="shared" ref="AE30:AE39" si="29">+M30*($C$7/12)</f>
        <v>0</v>
      </c>
      <c r="AF30" s="217">
        <f t="shared" ref="AF30:AF39" si="30">IFERROR(AC30/AE30,0)</f>
        <v>0</v>
      </c>
      <c r="AG30" s="221"/>
      <c r="AH30" s="217">
        <f t="shared" ref="AH30:AH39" si="31">+C30*($C$7/12)</f>
        <v>0</v>
      </c>
      <c r="AI30" s="217">
        <f t="shared" ref="AI30:AI39" si="32">IFERROR(S30/AH30,0)</f>
        <v>0</v>
      </c>
      <c r="AJ30" s="221"/>
      <c r="AK30" s="217">
        <f t="shared" ref="AK30:AK39" si="33">+D30*($C$7/12)</f>
        <v>0</v>
      </c>
      <c r="AL30" s="217">
        <f t="shared" ref="AL30:AL39" si="34">IFERROR(T30/AK30,0)</f>
        <v>0</v>
      </c>
      <c r="AM30" s="221"/>
      <c r="AN30" s="217">
        <f t="shared" ref="AN30:AN39" si="35">+E30*($C$7/12)</f>
        <v>0</v>
      </c>
      <c r="AO30" s="217">
        <f t="shared" ref="AO30:AO39" si="36">IFERROR(U30/AN30,0)</f>
        <v>0</v>
      </c>
      <c r="AP30" s="221"/>
      <c r="AQ30" s="217">
        <f t="shared" ref="AQ30:AQ39" si="37">+F30*($C$7/12)</f>
        <v>0</v>
      </c>
      <c r="AR30" s="217">
        <f t="shared" ref="AR30:AR39" si="38">IFERROR(V30/AQ30,0)</f>
        <v>0</v>
      </c>
      <c r="AS30" s="221"/>
      <c r="AT30" s="217">
        <f t="shared" ref="AT30:AT39" si="39">+G30*($C$7/12)</f>
        <v>0</v>
      </c>
      <c r="AU30" s="217">
        <f t="shared" ref="AU30:AU39" si="40">IFERROR(W30/AT30,0)</f>
        <v>0</v>
      </c>
      <c r="AV30" s="221"/>
      <c r="AW30" s="217">
        <f t="shared" ref="AW30:AW39" si="41">+H30*($C$7/12)</f>
        <v>0</v>
      </c>
      <c r="AX30" s="217">
        <f t="shared" ref="AX30:AX39" si="42">IFERROR(X30/AW30,0)</f>
        <v>0</v>
      </c>
      <c r="AY30" s="221"/>
      <c r="AZ30" s="217">
        <f t="shared" ref="AZ30:AZ39" si="43">+I30*($C$7/12)</f>
        <v>0</v>
      </c>
      <c r="BA30" s="217">
        <f t="shared" ref="BA30:BA39" si="44">IFERROR(Y30/AZ30,0)</f>
        <v>0</v>
      </c>
      <c r="BB30" s="221"/>
      <c r="BC30" s="217">
        <f t="shared" ref="BC30:BC39" si="45">+J30*($C$7/12)</f>
        <v>0</v>
      </c>
      <c r="BD30" s="217">
        <f>IFERROR(Z30/BC30,0)</f>
        <v>0</v>
      </c>
      <c r="BE30" s="221"/>
      <c r="BF30" s="217">
        <f t="shared" ref="BF30:BF39" si="46">+K30*($C$7/12)</f>
        <v>0</v>
      </c>
      <c r="BG30" s="217">
        <f t="shared" ref="BG30:BG39" si="47">IFERROR(AA30/BF30,0)</f>
        <v>0</v>
      </c>
      <c r="BH30" s="221"/>
      <c r="BI30" s="217">
        <f t="shared" ref="BI30:BI39" si="48">+L30*($C$7/12)</f>
        <v>0</v>
      </c>
      <c r="BJ30" s="217">
        <f t="shared" ref="BJ30:BJ39" si="49">IFERROR(AB30/BI30,0)</f>
        <v>0</v>
      </c>
    </row>
    <row r="31" spans="1:62" ht="15.65" hidden="1" customHeight="1" outlineLevel="1">
      <c r="A31" s="7" t="s">
        <v>1238</v>
      </c>
      <c r="B31" s="4" t="str">
        <f>+VLOOKUP(A31,Takstblad!$A$5:$B$30,2,FALSE)</f>
        <v/>
      </c>
      <c r="C31" s="285"/>
      <c r="D31" s="285"/>
      <c r="E31" s="285"/>
      <c r="F31" s="285"/>
      <c r="G31" s="285"/>
      <c r="H31" s="285"/>
      <c r="I31" s="286"/>
      <c r="J31" s="286"/>
      <c r="K31" s="286"/>
      <c r="L31" s="286"/>
      <c r="M31" s="47">
        <f t="shared" si="27"/>
        <v>0</v>
      </c>
      <c r="N31" s="285"/>
      <c r="O31" s="285" t="s">
        <v>113</v>
      </c>
      <c r="Q31" s="16"/>
      <c r="R31" s="21">
        <f t="shared" si="28"/>
        <v>0</v>
      </c>
      <c r="S31" s="25">
        <f>+IFERROR(IF(S$19=Takstblad!C$3,VLOOKUP($A31,takstblad,3,FALSE)*C31,"fejl i år"),0)</f>
        <v>0</v>
      </c>
      <c r="T31" s="25">
        <f>+IFERROR(IF(T$19=Takstblad!D$3,VLOOKUP($A31,takstblad,4,FALSE)*D31,"fejl i år"),0)</f>
        <v>0</v>
      </c>
      <c r="U31" s="25">
        <f>+IFERROR(IF(U$19=Takstblad!E$3,VLOOKUP($A31,takstblad,5,FALSE)*E31,"fejl i år"),0)</f>
        <v>0</v>
      </c>
      <c r="V31" s="25">
        <f>+IFERROR(IF(V$19=Takstblad!F$3,VLOOKUP($A31,takstblad,6,FALSE)*F31,"fejl i år"),0)</f>
        <v>0</v>
      </c>
      <c r="W31" s="25">
        <f>+IFERROR(IF(W$19=Takstblad!G$3,VLOOKUP($A31,takstblad,7,FALSE)*G31,"fejl i år"),0)</f>
        <v>0</v>
      </c>
      <c r="X31" s="25">
        <f>+IFERROR(IF(X$19=Takstblad!H$3,VLOOKUP($A31,takstblad,8,FALSE)*H31,"fejl i år"),0)</f>
        <v>0</v>
      </c>
      <c r="Y31" s="25">
        <f>+IFERROR(IF(Y$19=Takstblad!I$3,VLOOKUP($A31,takstblad,9,FALSE)*I31,"fejl i år"),0)</f>
        <v>0</v>
      </c>
      <c r="Z31" s="25">
        <f>+IFERROR(IF(Z$19=Takstblad!J$3,VLOOKUP($A31,takstblad,10,FALSE)*J31,"fejl i år"),0)</f>
        <v>0</v>
      </c>
      <c r="AA31" s="25">
        <f>+IFERROR(IF(AA$19=Takstblad!K$3,VLOOKUP($A31,takstblad,11,FALSE)*K31,"fejl i år"),0)</f>
        <v>0</v>
      </c>
      <c r="AB31" s="25">
        <f>+IFERROR(IF(AB$19=Takstblad!L$3,VLOOKUP($A31,takstblad,12,FALSE)*L31,"fejl i år"),0)</f>
        <v>0</v>
      </c>
      <c r="AC31" s="21">
        <f t="shared" si="7"/>
        <v>0</v>
      </c>
      <c r="AD31" s="221"/>
      <c r="AE31" s="25">
        <f t="shared" si="29"/>
        <v>0</v>
      </c>
      <c r="AF31" s="25">
        <f t="shared" si="30"/>
        <v>0</v>
      </c>
      <c r="AG31" s="221"/>
      <c r="AH31" s="25">
        <f t="shared" si="31"/>
        <v>0</v>
      </c>
      <c r="AI31" s="25">
        <f t="shared" si="32"/>
        <v>0</v>
      </c>
      <c r="AJ31" s="221"/>
      <c r="AK31" s="25">
        <f t="shared" si="33"/>
        <v>0</v>
      </c>
      <c r="AL31" s="25">
        <f t="shared" si="34"/>
        <v>0</v>
      </c>
      <c r="AM31" s="221"/>
      <c r="AN31" s="25">
        <f t="shared" si="35"/>
        <v>0</v>
      </c>
      <c r="AO31" s="25">
        <f t="shared" si="36"/>
        <v>0</v>
      </c>
      <c r="AP31" s="221"/>
      <c r="AQ31" s="25">
        <f t="shared" si="37"/>
        <v>0</v>
      </c>
      <c r="AR31" s="25">
        <f t="shared" si="38"/>
        <v>0</v>
      </c>
      <c r="AS31" s="221"/>
      <c r="AT31" s="25">
        <f t="shared" si="39"/>
        <v>0</v>
      </c>
      <c r="AU31" s="25">
        <f t="shared" si="40"/>
        <v>0</v>
      </c>
      <c r="AV31" s="221"/>
      <c r="AW31" s="25">
        <f t="shared" si="41"/>
        <v>0</v>
      </c>
      <c r="AX31" s="25">
        <f t="shared" si="42"/>
        <v>0</v>
      </c>
      <c r="AY31" s="221"/>
      <c r="AZ31" s="25">
        <f t="shared" si="43"/>
        <v>0</v>
      </c>
      <c r="BA31" s="25">
        <f t="shared" si="44"/>
        <v>0</v>
      </c>
      <c r="BB31" s="221"/>
      <c r="BC31" s="25">
        <f t="shared" si="45"/>
        <v>0</v>
      </c>
      <c r="BD31" s="25">
        <f t="shared" ref="BD31:BD39" si="50">IFERROR(Z31/BC31,0)</f>
        <v>0</v>
      </c>
      <c r="BE31" s="221"/>
      <c r="BF31" s="25">
        <f t="shared" si="46"/>
        <v>0</v>
      </c>
      <c r="BG31" s="25">
        <f t="shared" si="47"/>
        <v>0</v>
      </c>
      <c r="BH31" s="221"/>
      <c r="BI31" s="25">
        <f t="shared" si="48"/>
        <v>0</v>
      </c>
      <c r="BJ31" s="25">
        <f t="shared" si="49"/>
        <v>0</v>
      </c>
    </row>
    <row r="32" spans="1:62" ht="15.65" hidden="1" customHeight="1" outlineLevel="1">
      <c r="A32" s="212" t="s">
        <v>1238</v>
      </c>
      <c r="B32" s="4" t="str">
        <f>+VLOOKUP(A32,Takstblad!$A$5:$B$30,2,FALSE)</f>
        <v/>
      </c>
      <c r="C32" s="285"/>
      <c r="D32" s="285"/>
      <c r="E32" s="285"/>
      <c r="F32" s="285"/>
      <c r="G32" s="285"/>
      <c r="H32" s="285"/>
      <c r="I32" s="286"/>
      <c r="J32" s="286"/>
      <c r="K32" s="286"/>
      <c r="L32" s="286"/>
      <c r="M32" s="47">
        <f t="shared" si="27"/>
        <v>0</v>
      </c>
      <c r="N32" s="285"/>
      <c r="O32" s="285" t="s">
        <v>113</v>
      </c>
      <c r="P32" s="212"/>
      <c r="Q32" s="214"/>
      <c r="R32" s="216">
        <f t="shared" si="28"/>
        <v>0</v>
      </c>
      <c r="S32" s="215">
        <f>+IFERROR(IF(S$19=Takstblad!C$3,VLOOKUP($A32,takstblad,3,FALSE)*C32,"fejl i år"),0)</f>
        <v>0</v>
      </c>
      <c r="T32" s="215">
        <f>+IFERROR(IF(T$19=Takstblad!D$3,VLOOKUP($A32,takstblad,4,FALSE)*D32,"fejl i år"),0)</f>
        <v>0</v>
      </c>
      <c r="U32" s="215">
        <f>+IFERROR(IF(U$19=Takstblad!E$3,VLOOKUP($A32,takstblad,5,FALSE)*E32,"fejl i år"),0)</f>
        <v>0</v>
      </c>
      <c r="V32" s="215">
        <f>+IFERROR(IF(V$19=Takstblad!F$3,VLOOKUP($A32,takstblad,6,FALSE)*F32,"fejl i år"),0)</f>
        <v>0</v>
      </c>
      <c r="W32" s="215">
        <f>+IFERROR(IF(W$19=Takstblad!G$3,VLOOKUP($A32,takstblad,7,FALSE)*G32,"fejl i år"),0)</f>
        <v>0</v>
      </c>
      <c r="X32" s="215">
        <f>+IFERROR(IF(X$19=Takstblad!H$3,VLOOKUP($A32,takstblad,8,FALSE)*H32,"fejl i år"),0)</f>
        <v>0</v>
      </c>
      <c r="Y32" s="215">
        <f>+IFERROR(IF(Y$19=Takstblad!I$3,VLOOKUP($A32,takstblad,9,FALSE)*I32,"fejl i år"),0)</f>
        <v>0</v>
      </c>
      <c r="Z32" s="215">
        <f>+IFERROR(IF(Z$19=Takstblad!J$3,VLOOKUP($A32,takstblad,10,FALSE)*J32,"fejl i år"),0)</f>
        <v>0</v>
      </c>
      <c r="AA32" s="215">
        <f>+IFERROR(IF(AA$19=Takstblad!K$3,VLOOKUP($A32,takstblad,11,FALSE)*K32,"fejl i år"),0)</f>
        <v>0</v>
      </c>
      <c r="AB32" s="215">
        <f>+IFERROR(IF(AB$19=Takstblad!L$3,VLOOKUP($A32,takstblad,12,FALSE)*L32,"fejl i år"),0)</f>
        <v>0</v>
      </c>
      <c r="AC32" s="216">
        <f t="shared" si="7"/>
        <v>0</v>
      </c>
      <c r="AD32" s="221"/>
      <c r="AE32" s="217">
        <f t="shared" si="29"/>
        <v>0</v>
      </c>
      <c r="AF32" s="217">
        <f t="shared" si="30"/>
        <v>0</v>
      </c>
      <c r="AG32" s="221"/>
      <c r="AH32" s="217">
        <f t="shared" si="31"/>
        <v>0</v>
      </c>
      <c r="AI32" s="217">
        <f t="shared" si="32"/>
        <v>0</v>
      </c>
      <c r="AJ32" s="221"/>
      <c r="AK32" s="217">
        <f t="shared" si="33"/>
        <v>0</v>
      </c>
      <c r="AL32" s="217">
        <f t="shared" si="34"/>
        <v>0</v>
      </c>
      <c r="AM32" s="221"/>
      <c r="AN32" s="217">
        <f t="shared" si="35"/>
        <v>0</v>
      </c>
      <c r="AO32" s="217">
        <f t="shared" si="36"/>
        <v>0</v>
      </c>
      <c r="AP32" s="221"/>
      <c r="AQ32" s="217">
        <f t="shared" si="37"/>
        <v>0</v>
      </c>
      <c r="AR32" s="217">
        <f t="shared" si="38"/>
        <v>0</v>
      </c>
      <c r="AS32" s="221"/>
      <c r="AT32" s="217">
        <f t="shared" si="39"/>
        <v>0</v>
      </c>
      <c r="AU32" s="217">
        <f t="shared" si="40"/>
        <v>0</v>
      </c>
      <c r="AV32" s="221"/>
      <c r="AW32" s="217">
        <f t="shared" si="41"/>
        <v>0</v>
      </c>
      <c r="AX32" s="217">
        <f t="shared" si="42"/>
        <v>0</v>
      </c>
      <c r="AY32" s="221"/>
      <c r="AZ32" s="217">
        <f t="shared" si="43"/>
        <v>0</v>
      </c>
      <c r="BA32" s="217">
        <f t="shared" si="44"/>
        <v>0</v>
      </c>
      <c r="BB32" s="221"/>
      <c r="BC32" s="217">
        <f t="shared" si="45"/>
        <v>0</v>
      </c>
      <c r="BD32" s="217">
        <f t="shared" si="50"/>
        <v>0</v>
      </c>
      <c r="BE32" s="221"/>
      <c r="BF32" s="217">
        <f t="shared" si="46"/>
        <v>0</v>
      </c>
      <c r="BG32" s="217">
        <f t="shared" si="47"/>
        <v>0</v>
      </c>
      <c r="BH32" s="221"/>
      <c r="BI32" s="217">
        <f t="shared" si="48"/>
        <v>0</v>
      </c>
      <c r="BJ32" s="217">
        <f t="shared" si="49"/>
        <v>0</v>
      </c>
    </row>
    <row r="33" spans="1:62" ht="15.65" hidden="1" customHeight="1" outlineLevel="1">
      <c r="A33" s="7" t="s">
        <v>1238</v>
      </c>
      <c r="B33" s="4" t="str">
        <f>+VLOOKUP(A33,Takstblad!$A$5:$B$30,2,FALSE)</f>
        <v/>
      </c>
      <c r="C33" s="285"/>
      <c r="D33" s="285"/>
      <c r="E33" s="285"/>
      <c r="F33" s="285"/>
      <c r="G33" s="285"/>
      <c r="H33" s="285"/>
      <c r="I33" s="286"/>
      <c r="J33" s="286"/>
      <c r="K33" s="286"/>
      <c r="L33" s="286"/>
      <c r="M33" s="47">
        <f t="shared" si="27"/>
        <v>0</v>
      </c>
      <c r="N33" s="285"/>
      <c r="O33" s="285" t="s">
        <v>113</v>
      </c>
      <c r="Q33" s="16"/>
      <c r="R33" s="21">
        <f t="shared" si="28"/>
        <v>0</v>
      </c>
      <c r="S33" s="25">
        <f>+IFERROR(IF(S$19=Takstblad!C$3,VLOOKUP($A33,takstblad,3,FALSE)*C33,"fejl i år"),0)</f>
        <v>0</v>
      </c>
      <c r="T33" s="25">
        <f>+IFERROR(IF(T$19=Takstblad!D$3,VLOOKUP($A33,takstblad,4,FALSE)*D33,"fejl i år"),0)</f>
        <v>0</v>
      </c>
      <c r="U33" s="25">
        <f>+IFERROR(IF(U$19=Takstblad!E$3,VLOOKUP($A33,takstblad,5,FALSE)*E33,"fejl i år"),0)</f>
        <v>0</v>
      </c>
      <c r="V33" s="25">
        <f>+IFERROR(IF(V$19=Takstblad!F$3,VLOOKUP($A33,takstblad,6,FALSE)*F33,"fejl i år"),0)</f>
        <v>0</v>
      </c>
      <c r="W33" s="25">
        <f>+IFERROR(IF(W$19=Takstblad!G$3,VLOOKUP($A33,takstblad,7,FALSE)*G33,"fejl i år"),0)</f>
        <v>0</v>
      </c>
      <c r="X33" s="25">
        <f>+IFERROR(IF(X$19=Takstblad!H$3,VLOOKUP($A33,takstblad,8,FALSE)*H33,"fejl i år"),0)</f>
        <v>0</v>
      </c>
      <c r="Y33" s="25">
        <f>+IFERROR(IF(Y$19=Takstblad!I$3,VLOOKUP($A33,takstblad,9,FALSE)*I33,"fejl i år"),0)</f>
        <v>0</v>
      </c>
      <c r="Z33" s="25">
        <f>+IFERROR(IF(Z$19=Takstblad!J$3,VLOOKUP($A33,takstblad,10,FALSE)*J33,"fejl i år"),0)</f>
        <v>0</v>
      </c>
      <c r="AA33" s="25">
        <f>+IFERROR(IF(AA$19=Takstblad!K$3,VLOOKUP($A33,takstblad,11,FALSE)*K33,"fejl i år"),0)</f>
        <v>0</v>
      </c>
      <c r="AB33" s="25">
        <f>+IFERROR(IF(AB$19=Takstblad!L$3,VLOOKUP($A33,takstblad,12,FALSE)*L33,"fejl i år"),0)</f>
        <v>0</v>
      </c>
      <c r="AC33" s="21">
        <f t="shared" si="7"/>
        <v>0</v>
      </c>
      <c r="AD33" s="221"/>
      <c r="AE33" s="25">
        <f t="shared" si="29"/>
        <v>0</v>
      </c>
      <c r="AF33" s="25">
        <f t="shared" si="30"/>
        <v>0</v>
      </c>
      <c r="AG33" s="221"/>
      <c r="AH33" s="25">
        <f t="shared" si="31"/>
        <v>0</v>
      </c>
      <c r="AI33" s="25">
        <f t="shared" si="32"/>
        <v>0</v>
      </c>
      <c r="AJ33" s="221"/>
      <c r="AK33" s="25">
        <f t="shared" si="33"/>
        <v>0</v>
      </c>
      <c r="AL33" s="25">
        <f t="shared" si="34"/>
        <v>0</v>
      </c>
      <c r="AM33" s="221"/>
      <c r="AN33" s="25">
        <f t="shared" si="35"/>
        <v>0</v>
      </c>
      <c r="AO33" s="25">
        <f t="shared" si="36"/>
        <v>0</v>
      </c>
      <c r="AP33" s="221"/>
      <c r="AQ33" s="25">
        <f t="shared" si="37"/>
        <v>0</v>
      </c>
      <c r="AR33" s="25">
        <f t="shared" si="38"/>
        <v>0</v>
      </c>
      <c r="AS33" s="221"/>
      <c r="AT33" s="25">
        <f t="shared" si="39"/>
        <v>0</v>
      </c>
      <c r="AU33" s="25">
        <f t="shared" si="40"/>
        <v>0</v>
      </c>
      <c r="AV33" s="221"/>
      <c r="AW33" s="25">
        <f t="shared" si="41"/>
        <v>0</v>
      </c>
      <c r="AX33" s="25">
        <f t="shared" si="42"/>
        <v>0</v>
      </c>
      <c r="AY33" s="221"/>
      <c r="AZ33" s="25">
        <f t="shared" si="43"/>
        <v>0</v>
      </c>
      <c r="BA33" s="25">
        <f t="shared" si="44"/>
        <v>0</v>
      </c>
      <c r="BB33" s="221"/>
      <c r="BC33" s="25">
        <f t="shared" si="45"/>
        <v>0</v>
      </c>
      <c r="BD33" s="25">
        <f t="shared" si="50"/>
        <v>0</v>
      </c>
      <c r="BE33" s="221"/>
      <c r="BF33" s="25">
        <f t="shared" si="46"/>
        <v>0</v>
      </c>
      <c r="BG33" s="25">
        <f t="shared" si="47"/>
        <v>0</v>
      </c>
      <c r="BH33" s="221"/>
      <c r="BI33" s="25">
        <f t="shared" si="48"/>
        <v>0</v>
      </c>
      <c r="BJ33" s="25">
        <f t="shared" si="49"/>
        <v>0</v>
      </c>
    </row>
    <row r="34" spans="1:62" ht="15.65" hidden="1" customHeight="1" outlineLevel="1">
      <c r="A34" s="212" t="s">
        <v>1238</v>
      </c>
      <c r="B34" s="4" t="str">
        <f>+VLOOKUP(A34,Takstblad!$A$5:$B$30,2,FALSE)</f>
        <v/>
      </c>
      <c r="C34" s="285"/>
      <c r="D34" s="285"/>
      <c r="E34" s="285"/>
      <c r="F34" s="285"/>
      <c r="G34" s="285"/>
      <c r="H34" s="285"/>
      <c r="I34" s="286"/>
      <c r="J34" s="286"/>
      <c r="K34" s="286"/>
      <c r="L34" s="286"/>
      <c r="M34" s="47">
        <f>SUM(C34:L34)</f>
        <v>0</v>
      </c>
      <c r="N34" s="285"/>
      <c r="O34" s="285" t="s">
        <v>113</v>
      </c>
      <c r="P34" s="212"/>
      <c r="Q34" s="214"/>
      <c r="R34" s="216">
        <f t="shared" si="28"/>
        <v>0</v>
      </c>
      <c r="S34" s="215">
        <f>+IFERROR(IF(S$19=Takstblad!C$3,VLOOKUP($A34,takstblad,3,FALSE)*C34,"fejl i år"),0)</f>
        <v>0</v>
      </c>
      <c r="T34" s="215">
        <f>+IFERROR(IF(T$19=Takstblad!D$3,VLOOKUP($A34,takstblad,4,FALSE)*D34,"fejl i år"),0)</f>
        <v>0</v>
      </c>
      <c r="U34" s="215">
        <f>+IFERROR(IF(U$19=Takstblad!E$3,VLOOKUP($A34,takstblad,5,FALSE)*E34,"fejl i år"),0)</f>
        <v>0</v>
      </c>
      <c r="V34" s="215">
        <f>+IFERROR(IF(V$19=Takstblad!F$3,VLOOKUP($A34,takstblad,6,FALSE)*F34,"fejl i år"),0)</f>
        <v>0</v>
      </c>
      <c r="W34" s="215">
        <f>+IFERROR(IF(W$19=Takstblad!G$3,VLOOKUP($A34,takstblad,7,FALSE)*G34,"fejl i år"),0)</f>
        <v>0</v>
      </c>
      <c r="X34" s="215">
        <f>+IFERROR(IF(X$19=Takstblad!H$3,VLOOKUP($A34,takstblad,8,FALSE)*H34,"fejl i år"),0)</f>
        <v>0</v>
      </c>
      <c r="Y34" s="215">
        <f>+IFERROR(IF(Y$19=Takstblad!I$3,VLOOKUP($A34,takstblad,9,FALSE)*I34,"fejl i år"),0)</f>
        <v>0</v>
      </c>
      <c r="Z34" s="215">
        <f>+IFERROR(IF(Z$19=Takstblad!J$3,VLOOKUP($A34,takstblad,10,FALSE)*J34,"fejl i år"),0)</f>
        <v>0</v>
      </c>
      <c r="AA34" s="215">
        <f>+IFERROR(IF(AA$19=Takstblad!K$3,VLOOKUP($A34,takstblad,11,FALSE)*K34,"fejl i år"),0)</f>
        <v>0</v>
      </c>
      <c r="AB34" s="215">
        <f>+IFERROR(IF(AB$19=Takstblad!L$3,VLOOKUP($A34,takstblad,12,FALSE)*L34,"fejl i år"),0)</f>
        <v>0</v>
      </c>
      <c r="AC34" s="216">
        <f t="shared" si="7"/>
        <v>0</v>
      </c>
      <c r="AD34" s="221"/>
      <c r="AE34" s="217">
        <f t="shared" si="29"/>
        <v>0</v>
      </c>
      <c r="AF34" s="217">
        <f t="shared" si="30"/>
        <v>0</v>
      </c>
      <c r="AG34" s="221"/>
      <c r="AH34" s="217">
        <f t="shared" si="31"/>
        <v>0</v>
      </c>
      <c r="AI34" s="217">
        <f t="shared" si="32"/>
        <v>0</v>
      </c>
      <c r="AJ34" s="221"/>
      <c r="AK34" s="217">
        <f t="shared" si="33"/>
        <v>0</v>
      </c>
      <c r="AL34" s="217">
        <f t="shared" si="34"/>
        <v>0</v>
      </c>
      <c r="AM34" s="221"/>
      <c r="AN34" s="217">
        <f t="shared" si="35"/>
        <v>0</v>
      </c>
      <c r="AO34" s="217">
        <f t="shared" si="36"/>
        <v>0</v>
      </c>
      <c r="AP34" s="221"/>
      <c r="AQ34" s="217">
        <f t="shared" si="37"/>
        <v>0</v>
      </c>
      <c r="AR34" s="217">
        <f t="shared" si="38"/>
        <v>0</v>
      </c>
      <c r="AS34" s="221"/>
      <c r="AT34" s="217">
        <f t="shared" si="39"/>
        <v>0</v>
      </c>
      <c r="AU34" s="217">
        <f t="shared" si="40"/>
        <v>0</v>
      </c>
      <c r="AV34" s="221"/>
      <c r="AW34" s="217">
        <f t="shared" si="41"/>
        <v>0</v>
      </c>
      <c r="AX34" s="217">
        <f t="shared" si="42"/>
        <v>0</v>
      </c>
      <c r="AY34" s="221"/>
      <c r="AZ34" s="217">
        <f t="shared" si="43"/>
        <v>0</v>
      </c>
      <c r="BA34" s="217">
        <f t="shared" si="44"/>
        <v>0</v>
      </c>
      <c r="BB34" s="221"/>
      <c r="BC34" s="217">
        <f t="shared" si="45"/>
        <v>0</v>
      </c>
      <c r="BD34" s="217">
        <f t="shared" si="50"/>
        <v>0</v>
      </c>
      <c r="BE34" s="221"/>
      <c r="BF34" s="217">
        <f t="shared" si="46"/>
        <v>0</v>
      </c>
      <c r="BG34" s="217">
        <f t="shared" si="47"/>
        <v>0</v>
      </c>
      <c r="BH34" s="221"/>
      <c r="BI34" s="217">
        <f t="shared" si="48"/>
        <v>0</v>
      </c>
      <c r="BJ34" s="217">
        <f t="shared" si="49"/>
        <v>0</v>
      </c>
    </row>
    <row r="35" spans="1:62" ht="15.65" hidden="1" customHeight="1" outlineLevel="1">
      <c r="A35" s="7" t="s">
        <v>1238</v>
      </c>
      <c r="B35" s="4" t="str">
        <f>+VLOOKUP(A35,Takstblad!$A$5:$B$30,2,FALSE)</f>
        <v/>
      </c>
      <c r="C35" s="285"/>
      <c r="D35" s="285"/>
      <c r="E35" s="285"/>
      <c r="F35" s="285"/>
      <c r="G35" s="285"/>
      <c r="H35" s="285"/>
      <c r="I35" s="286"/>
      <c r="J35" s="286"/>
      <c r="K35" s="286"/>
      <c r="L35" s="286"/>
      <c r="M35" s="47">
        <f t="shared" si="27"/>
        <v>0</v>
      </c>
      <c r="N35" s="285"/>
      <c r="O35" s="285" t="s">
        <v>113</v>
      </c>
      <c r="Q35" s="16"/>
      <c r="R35" s="21">
        <f t="shared" si="28"/>
        <v>0</v>
      </c>
      <c r="S35" s="25">
        <f>+IFERROR(IF(S$19=Takstblad!C$3,VLOOKUP($A35,takstblad,3,FALSE)*C35,"fejl i år"),0)</f>
        <v>0</v>
      </c>
      <c r="T35" s="25">
        <f>+IFERROR(IF(T$19=Takstblad!D$3,VLOOKUP($A35,takstblad,4,FALSE)*D35,"fejl i år"),0)</f>
        <v>0</v>
      </c>
      <c r="U35" s="25">
        <f>+IFERROR(IF(U$19=Takstblad!E$3,VLOOKUP($A35,takstblad,5,FALSE)*E35,"fejl i år"),0)</f>
        <v>0</v>
      </c>
      <c r="V35" s="25">
        <f>+IFERROR(IF(V$19=Takstblad!F$3,VLOOKUP($A35,takstblad,6,FALSE)*F35,"fejl i år"),0)</f>
        <v>0</v>
      </c>
      <c r="W35" s="25">
        <f>+IFERROR(IF(W$19=Takstblad!G$3,VLOOKUP($A35,takstblad,7,FALSE)*G35,"fejl i år"),0)</f>
        <v>0</v>
      </c>
      <c r="X35" s="25">
        <f>+IFERROR(IF(X$19=Takstblad!H$3,VLOOKUP($A35,takstblad,8,FALSE)*H35,"fejl i år"),0)</f>
        <v>0</v>
      </c>
      <c r="Y35" s="25">
        <f>+IFERROR(IF(Y$19=Takstblad!I$3,VLOOKUP($A35,takstblad,9,FALSE)*I35,"fejl i år"),0)</f>
        <v>0</v>
      </c>
      <c r="Z35" s="25">
        <f>+IFERROR(IF(Z$19=Takstblad!J$3,VLOOKUP($A35,takstblad,10,FALSE)*J35,"fejl i år"),0)</f>
        <v>0</v>
      </c>
      <c r="AA35" s="25">
        <f>+IFERROR(IF(AA$19=Takstblad!K$3,VLOOKUP($A35,takstblad,11,FALSE)*K35,"fejl i år"),0)</f>
        <v>0</v>
      </c>
      <c r="AB35" s="25">
        <f>+IFERROR(IF(AB$19=Takstblad!L$3,VLOOKUP($A35,takstblad,12,FALSE)*L35,"fejl i år"),0)</f>
        <v>0</v>
      </c>
      <c r="AC35" s="21">
        <f t="shared" si="7"/>
        <v>0</v>
      </c>
      <c r="AD35" s="221"/>
      <c r="AE35" s="25">
        <f t="shared" si="29"/>
        <v>0</v>
      </c>
      <c r="AF35" s="25">
        <f t="shared" si="30"/>
        <v>0</v>
      </c>
      <c r="AG35" s="221"/>
      <c r="AH35" s="25">
        <f t="shared" si="31"/>
        <v>0</v>
      </c>
      <c r="AI35" s="25">
        <f t="shared" si="32"/>
        <v>0</v>
      </c>
      <c r="AJ35" s="221"/>
      <c r="AK35" s="25">
        <f t="shared" si="33"/>
        <v>0</v>
      </c>
      <c r="AL35" s="25">
        <f t="shared" si="34"/>
        <v>0</v>
      </c>
      <c r="AM35" s="221"/>
      <c r="AN35" s="25">
        <f t="shared" si="35"/>
        <v>0</v>
      </c>
      <c r="AO35" s="25">
        <f t="shared" si="36"/>
        <v>0</v>
      </c>
      <c r="AP35" s="221"/>
      <c r="AQ35" s="25">
        <f t="shared" si="37"/>
        <v>0</v>
      </c>
      <c r="AR35" s="25">
        <f t="shared" si="38"/>
        <v>0</v>
      </c>
      <c r="AS35" s="221"/>
      <c r="AT35" s="25">
        <f t="shared" si="39"/>
        <v>0</v>
      </c>
      <c r="AU35" s="25">
        <f t="shared" si="40"/>
        <v>0</v>
      </c>
      <c r="AV35" s="221"/>
      <c r="AW35" s="25">
        <f t="shared" si="41"/>
        <v>0</v>
      </c>
      <c r="AX35" s="25">
        <f t="shared" si="42"/>
        <v>0</v>
      </c>
      <c r="AY35" s="221"/>
      <c r="AZ35" s="25">
        <f t="shared" si="43"/>
        <v>0</v>
      </c>
      <c r="BA35" s="25">
        <f t="shared" si="44"/>
        <v>0</v>
      </c>
      <c r="BB35" s="221"/>
      <c r="BC35" s="25">
        <f t="shared" si="45"/>
        <v>0</v>
      </c>
      <c r="BD35" s="25">
        <f t="shared" si="50"/>
        <v>0</v>
      </c>
      <c r="BE35" s="221"/>
      <c r="BF35" s="25">
        <f t="shared" si="46"/>
        <v>0</v>
      </c>
      <c r="BG35" s="25">
        <f t="shared" si="47"/>
        <v>0</v>
      </c>
      <c r="BH35" s="221"/>
      <c r="BI35" s="25">
        <f t="shared" si="48"/>
        <v>0</v>
      </c>
      <c r="BJ35" s="25">
        <f t="shared" si="49"/>
        <v>0</v>
      </c>
    </row>
    <row r="36" spans="1:62" ht="15.65" hidden="1" customHeight="1" outlineLevel="1">
      <c r="A36" s="212" t="s">
        <v>1238</v>
      </c>
      <c r="B36" s="4" t="str">
        <f>+VLOOKUP(A36,Takstblad!$A$5:$B$30,2,FALSE)</f>
        <v/>
      </c>
      <c r="C36" s="285"/>
      <c r="D36" s="285"/>
      <c r="E36" s="285"/>
      <c r="F36" s="285"/>
      <c r="G36" s="285"/>
      <c r="H36" s="285"/>
      <c r="I36" s="286"/>
      <c r="J36" s="286"/>
      <c r="K36" s="286"/>
      <c r="L36" s="286"/>
      <c r="M36" s="47">
        <f t="shared" si="27"/>
        <v>0</v>
      </c>
      <c r="N36" s="285"/>
      <c r="O36" s="285" t="s">
        <v>113</v>
      </c>
      <c r="P36" s="212"/>
      <c r="Q36" s="214"/>
      <c r="R36" s="216">
        <f t="shared" si="28"/>
        <v>0</v>
      </c>
      <c r="S36" s="215">
        <f>+IFERROR(IF(S$19=Takstblad!C$3,VLOOKUP($A36,takstblad,3,FALSE)*C36,"fejl i år"),0)</f>
        <v>0</v>
      </c>
      <c r="T36" s="215">
        <f>+IFERROR(IF(T$19=Takstblad!D$3,VLOOKUP($A36,takstblad,4,FALSE)*D36,"fejl i år"),0)</f>
        <v>0</v>
      </c>
      <c r="U36" s="215">
        <f>+IFERROR(IF(U$19=Takstblad!E$3,VLOOKUP($A36,takstblad,5,FALSE)*E36,"fejl i år"),0)</f>
        <v>0</v>
      </c>
      <c r="V36" s="215">
        <f>+IFERROR(IF(V$19=Takstblad!F$3,VLOOKUP($A36,takstblad,6,FALSE)*F36,"fejl i år"),0)</f>
        <v>0</v>
      </c>
      <c r="W36" s="215">
        <f>+IFERROR(IF(W$19=Takstblad!G$3,VLOOKUP($A36,takstblad,7,FALSE)*G36,"fejl i år"),0)</f>
        <v>0</v>
      </c>
      <c r="X36" s="215">
        <f>+IFERROR(IF(X$19=Takstblad!H$3,VLOOKUP($A36,takstblad,8,FALSE)*H36,"fejl i år"),0)</f>
        <v>0</v>
      </c>
      <c r="Y36" s="215">
        <f>+IFERROR(IF(Y$19=Takstblad!I$3,VLOOKUP($A36,takstblad,9,FALSE)*I36,"fejl i år"),0)</f>
        <v>0</v>
      </c>
      <c r="Z36" s="215">
        <f>+IFERROR(IF(Z$19=Takstblad!J$3,VLOOKUP($A36,takstblad,10,FALSE)*J36,"fejl i år"),0)</f>
        <v>0</v>
      </c>
      <c r="AA36" s="215">
        <f>+IFERROR(IF(AA$19=Takstblad!K$3,VLOOKUP($A36,takstblad,11,FALSE)*K36,"fejl i år"),0)</f>
        <v>0</v>
      </c>
      <c r="AB36" s="215">
        <f>+IFERROR(IF(AB$19=Takstblad!L$3,VLOOKUP($A36,takstblad,12,FALSE)*L36,"fejl i år"),0)</f>
        <v>0</v>
      </c>
      <c r="AC36" s="216">
        <f t="shared" si="7"/>
        <v>0</v>
      </c>
      <c r="AD36" s="221"/>
      <c r="AE36" s="217">
        <f t="shared" si="29"/>
        <v>0</v>
      </c>
      <c r="AF36" s="217">
        <f t="shared" si="30"/>
        <v>0</v>
      </c>
      <c r="AG36" s="221"/>
      <c r="AH36" s="217">
        <f t="shared" si="31"/>
        <v>0</v>
      </c>
      <c r="AI36" s="217">
        <f t="shared" si="32"/>
        <v>0</v>
      </c>
      <c r="AJ36" s="221"/>
      <c r="AK36" s="217">
        <f t="shared" si="33"/>
        <v>0</v>
      </c>
      <c r="AL36" s="217">
        <f t="shared" si="34"/>
        <v>0</v>
      </c>
      <c r="AM36" s="221"/>
      <c r="AN36" s="217">
        <f t="shared" si="35"/>
        <v>0</v>
      </c>
      <c r="AO36" s="217">
        <f t="shared" si="36"/>
        <v>0</v>
      </c>
      <c r="AP36" s="221"/>
      <c r="AQ36" s="217">
        <f t="shared" si="37"/>
        <v>0</v>
      </c>
      <c r="AR36" s="217">
        <f t="shared" si="38"/>
        <v>0</v>
      </c>
      <c r="AS36" s="221"/>
      <c r="AT36" s="217">
        <f t="shared" si="39"/>
        <v>0</v>
      </c>
      <c r="AU36" s="217">
        <f t="shared" si="40"/>
        <v>0</v>
      </c>
      <c r="AV36" s="221"/>
      <c r="AW36" s="217">
        <f t="shared" si="41"/>
        <v>0</v>
      </c>
      <c r="AX36" s="217">
        <f t="shared" si="42"/>
        <v>0</v>
      </c>
      <c r="AY36" s="221"/>
      <c r="AZ36" s="217">
        <f t="shared" si="43"/>
        <v>0</v>
      </c>
      <c r="BA36" s="217">
        <f t="shared" si="44"/>
        <v>0</v>
      </c>
      <c r="BB36" s="221"/>
      <c r="BC36" s="217">
        <f t="shared" si="45"/>
        <v>0</v>
      </c>
      <c r="BD36" s="217">
        <f t="shared" si="50"/>
        <v>0</v>
      </c>
      <c r="BE36" s="221"/>
      <c r="BF36" s="217">
        <f t="shared" si="46"/>
        <v>0</v>
      </c>
      <c r="BG36" s="217">
        <f t="shared" si="47"/>
        <v>0</v>
      </c>
      <c r="BH36" s="221"/>
      <c r="BI36" s="217">
        <f t="shared" si="48"/>
        <v>0</v>
      </c>
      <c r="BJ36" s="217">
        <f t="shared" si="49"/>
        <v>0</v>
      </c>
    </row>
    <row r="37" spans="1:62" ht="15.65" hidden="1" customHeight="1" outlineLevel="1">
      <c r="A37" s="7" t="s">
        <v>1238</v>
      </c>
      <c r="B37" s="4" t="str">
        <f>+VLOOKUP(A37,Takstblad!$A$5:$B$30,2,FALSE)</f>
        <v/>
      </c>
      <c r="C37" s="285"/>
      <c r="D37" s="285"/>
      <c r="E37" s="285"/>
      <c r="F37" s="285"/>
      <c r="G37" s="285"/>
      <c r="H37" s="285"/>
      <c r="I37" s="286"/>
      <c r="J37" s="286"/>
      <c r="K37" s="286"/>
      <c r="L37" s="286"/>
      <c r="M37" s="47">
        <f t="shared" si="27"/>
        <v>0</v>
      </c>
      <c r="N37" s="285"/>
      <c r="O37" s="285" t="s">
        <v>113</v>
      </c>
      <c r="Q37" s="16"/>
      <c r="R37" s="21">
        <f t="shared" si="28"/>
        <v>0</v>
      </c>
      <c r="S37" s="25">
        <f>+IFERROR(IF(S$19=Takstblad!C$3,VLOOKUP($A37,takstblad,3,FALSE)*C37,"fejl i år"),0)</f>
        <v>0</v>
      </c>
      <c r="T37" s="25">
        <f>+IFERROR(IF(T$19=Takstblad!D$3,VLOOKUP($A37,takstblad,4,FALSE)*D37,"fejl i år"),0)</f>
        <v>0</v>
      </c>
      <c r="U37" s="25">
        <f>+IFERROR(IF(U$19=Takstblad!E$3,VLOOKUP($A37,takstblad,5,FALSE)*E37,"fejl i år"),0)</f>
        <v>0</v>
      </c>
      <c r="V37" s="25">
        <f>+IFERROR(IF(V$19=Takstblad!F$3,VLOOKUP($A37,takstblad,6,FALSE)*F37,"fejl i år"),0)</f>
        <v>0</v>
      </c>
      <c r="W37" s="25">
        <f>+IFERROR(IF(W$19=Takstblad!G$3,VLOOKUP($A37,takstblad,7,FALSE)*G37,"fejl i år"),0)</f>
        <v>0</v>
      </c>
      <c r="X37" s="25">
        <f>+IFERROR(IF(X$19=Takstblad!H$3,VLOOKUP($A37,takstblad,8,FALSE)*H37,"fejl i år"),0)</f>
        <v>0</v>
      </c>
      <c r="Y37" s="25">
        <f>+IFERROR(IF(Y$19=Takstblad!I$3,VLOOKUP($A37,takstblad,9,FALSE)*I37,"fejl i år"),0)</f>
        <v>0</v>
      </c>
      <c r="Z37" s="25">
        <f>+IFERROR(IF(Z$19=Takstblad!J$3,VLOOKUP($A37,takstblad,10,FALSE)*J37,"fejl i år"),0)</f>
        <v>0</v>
      </c>
      <c r="AA37" s="25">
        <f>+IFERROR(IF(AA$19=Takstblad!K$3,VLOOKUP($A37,takstblad,11,FALSE)*K37,"fejl i år"),0)</f>
        <v>0</v>
      </c>
      <c r="AB37" s="25">
        <f>+IFERROR(IF(AB$19=Takstblad!L$3,VLOOKUP($A37,takstblad,12,FALSE)*L37,"fejl i år"),0)</f>
        <v>0</v>
      </c>
      <c r="AC37" s="21">
        <f t="shared" si="7"/>
        <v>0</v>
      </c>
      <c r="AD37" s="221"/>
      <c r="AE37" s="25">
        <f t="shared" si="29"/>
        <v>0</v>
      </c>
      <c r="AF37" s="25">
        <f t="shared" si="30"/>
        <v>0</v>
      </c>
      <c r="AG37" s="221"/>
      <c r="AH37" s="25">
        <f t="shared" si="31"/>
        <v>0</v>
      </c>
      <c r="AI37" s="25">
        <f t="shared" si="32"/>
        <v>0</v>
      </c>
      <c r="AJ37" s="221"/>
      <c r="AK37" s="25">
        <f t="shared" si="33"/>
        <v>0</v>
      </c>
      <c r="AL37" s="25">
        <f t="shared" si="34"/>
        <v>0</v>
      </c>
      <c r="AM37" s="221"/>
      <c r="AN37" s="25">
        <f t="shared" si="35"/>
        <v>0</v>
      </c>
      <c r="AO37" s="25">
        <f t="shared" si="36"/>
        <v>0</v>
      </c>
      <c r="AP37" s="221"/>
      <c r="AQ37" s="25">
        <f t="shared" si="37"/>
        <v>0</v>
      </c>
      <c r="AR37" s="25">
        <f t="shared" si="38"/>
        <v>0</v>
      </c>
      <c r="AS37" s="221"/>
      <c r="AT37" s="25">
        <f t="shared" si="39"/>
        <v>0</v>
      </c>
      <c r="AU37" s="25">
        <f t="shared" si="40"/>
        <v>0</v>
      </c>
      <c r="AV37" s="221"/>
      <c r="AW37" s="25">
        <f t="shared" si="41"/>
        <v>0</v>
      </c>
      <c r="AX37" s="25">
        <f t="shared" si="42"/>
        <v>0</v>
      </c>
      <c r="AY37" s="221"/>
      <c r="AZ37" s="25">
        <f t="shared" si="43"/>
        <v>0</v>
      </c>
      <c r="BA37" s="25">
        <f t="shared" si="44"/>
        <v>0</v>
      </c>
      <c r="BB37" s="221"/>
      <c r="BC37" s="25">
        <f t="shared" si="45"/>
        <v>0</v>
      </c>
      <c r="BD37" s="25">
        <f t="shared" si="50"/>
        <v>0</v>
      </c>
      <c r="BE37" s="221"/>
      <c r="BF37" s="25">
        <f t="shared" si="46"/>
        <v>0</v>
      </c>
      <c r="BG37" s="25">
        <f t="shared" si="47"/>
        <v>0</v>
      </c>
      <c r="BH37" s="221"/>
      <c r="BI37" s="25">
        <f t="shared" si="48"/>
        <v>0</v>
      </c>
      <c r="BJ37" s="25">
        <f t="shared" si="49"/>
        <v>0</v>
      </c>
    </row>
    <row r="38" spans="1:62" ht="15.65" hidden="1" customHeight="1" outlineLevel="1">
      <c r="A38" s="212" t="s">
        <v>1238</v>
      </c>
      <c r="B38" s="4" t="str">
        <f>+VLOOKUP(A38,Takstblad!$A$5:$B$30,2,FALSE)</f>
        <v/>
      </c>
      <c r="C38" s="285"/>
      <c r="D38" s="285"/>
      <c r="E38" s="285"/>
      <c r="F38" s="285"/>
      <c r="G38" s="285"/>
      <c r="H38" s="285"/>
      <c r="I38" s="286"/>
      <c r="J38" s="286"/>
      <c r="K38" s="286"/>
      <c r="L38" s="286"/>
      <c r="M38" s="47">
        <f t="shared" si="27"/>
        <v>0</v>
      </c>
      <c r="N38" s="285"/>
      <c r="O38" s="285" t="s">
        <v>113</v>
      </c>
      <c r="P38" s="212"/>
      <c r="Q38" s="214"/>
      <c r="R38" s="216">
        <f>+AC38</f>
        <v>0</v>
      </c>
      <c r="S38" s="215">
        <f>+IFERROR(IF(S$19=Takstblad!C$3,VLOOKUP($A38,takstblad,3,FALSE)*C38,"fejl i år"),0)</f>
        <v>0</v>
      </c>
      <c r="T38" s="215">
        <f>+IFERROR(IF(T$19=Takstblad!D$3,VLOOKUP($A38,takstblad,4,FALSE)*D38,"fejl i år"),0)</f>
        <v>0</v>
      </c>
      <c r="U38" s="215">
        <f>+IFERROR(IF(U$19=Takstblad!E$3,VLOOKUP($A38,takstblad,5,FALSE)*E38,"fejl i år"),0)</f>
        <v>0</v>
      </c>
      <c r="V38" s="215">
        <f>+IFERROR(IF(V$19=Takstblad!F$3,VLOOKUP($A38,takstblad,6,FALSE)*F38,"fejl i år"),0)</f>
        <v>0</v>
      </c>
      <c r="W38" s="215">
        <f>+IFERROR(IF(W$19=Takstblad!G$3,VLOOKUP($A38,takstblad,7,FALSE)*G38,"fejl i år"),0)</f>
        <v>0</v>
      </c>
      <c r="X38" s="215">
        <f>+IFERROR(IF(X$19=Takstblad!H$3,VLOOKUP($A38,takstblad,8,FALSE)*H38,"fejl i år"),0)</f>
        <v>0</v>
      </c>
      <c r="Y38" s="215">
        <f>+IFERROR(IF(Y$19=Takstblad!I$3,VLOOKUP($A38,takstblad,9,FALSE)*I38,"fejl i år"),0)</f>
        <v>0</v>
      </c>
      <c r="Z38" s="215">
        <f>+IFERROR(IF(Z$19=Takstblad!J$3,VLOOKUP($A38,takstblad,10,FALSE)*J38,"fejl i år"),0)</f>
        <v>0</v>
      </c>
      <c r="AA38" s="215">
        <f>+IFERROR(IF(AA$19=Takstblad!K$3,VLOOKUP($A38,takstblad,11,FALSE)*K38,"fejl i år"),0)</f>
        <v>0</v>
      </c>
      <c r="AB38" s="215">
        <f>+IFERROR(IF(AB$19=Takstblad!L$3,VLOOKUP($A38,takstblad,12,FALSE)*L38,"fejl i år"),0)</f>
        <v>0</v>
      </c>
      <c r="AC38" s="216">
        <f t="shared" si="7"/>
        <v>0</v>
      </c>
      <c r="AD38" s="221"/>
      <c r="AE38" s="217">
        <f t="shared" si="29"/>
        <v>0</v>
      </c>
      <c r="AF38" s="217">
        <f t="shared" si="30"/>
        <v>0</v>
      </c>
      <c r="AG38" s="221"/>
      <c r="AH38" s="217">
        <f t="shared" si="31"/>
        <v>0</v>
      </c>
      <c r="AI38" s="217">
        <f t="shared" si="32"/>
        <v>0</v>
      </c>
      <c r="AJ38" s="221"/>
      <c r="AK38" s="217">
        <f t="shared" si="33"/>
        <v>0</v>
      </c>
      <c r="AL38" s="217">
        <f t="shared" si="34"/>
        <v>0</v>
      </c>
      <c r="AM38" s="221"/>
      <c r="AN38" s="217">
        <f t="shared" si="35"/>
        <v>0</v>
      </c>
      <c r="AO38" s="217">
        <f t="shared" si="36"/>
        <v>0</v>
      </c>
      <c r="AP38" s="221"/>
      <c r="AQ38" s="217">
        <f t="shared" si="37"/>
        <v>0</v>
      </c>
      <c r="AR38" s="217">
        <f t="shared" si="38"/>
        <v>0</v>
      </c>
      <c r="AS38" s="221"/>
      <c r="AT38" s="217">
        <f t="shared" si="39"/>
        <v>0</v>
      </c>
      <c r="AU38" s="217">
        <f t="shared" si="40"/>
        <v>0</v>
      </c>
      <c r="AV38" s="221"/>
      <c r="AW38" s="217">
        <f t="shared" si="41"/>
        <v>0</v>
      </c>
      <c r="AX38" s="217">
        <f t="shared" si="42"/>
        <v>0</v>
      </c>
      <c r="AY38" s="221"/>
      <c r="AZ38" s="217">
        <f t="shared" si="43"/>
        <v>0</v>
      </c>
      <c r="BA38" s="217">
        <f t="shared" si="44"/>
        <v>0</v>
      </c>
      <c r="BB38" s="221"/>
      <c r="BC38" s="217">
        <f t="shared" si="45"/>
        <v>0</v>
      </c>
      <c r="BD38" s="217">
        <f t="shared" si="50"/>
        <v>0</v>
      </c>
      <c r="BE38" s="221"/>
      <c r="BF38" s="217">
        <f t="shared" si="46"/>
        <v>0</v>
      </c>
      <c r="BG38" s="217">
        <f t="shared" si="47"/>
        <v>0</v>
      </c>
      <c r="BH38" s="221"/>
      <c r="BI38" s="217">
        <f t="shared" si="48"/>
        <v>0</v>
      </c>
      <c r="BJ38" s="217">
        <f t="shared" si="49"/>
        <v>0</v>
      </c>
    </row>
    <row r="39" spans="1:62" ht="15.65" hidden="1" customHeight="1" outlineLevel="1" thickBot="1">
      <c r="A39" s="7" t="s">
        <v>1238</v>
      </c>
      <c r="B39" s="4" t="str">
        <f>+VLOOKUP(A39,Takstblad!$A$5:$B$30,2,FALSE)</f>
        <v/>
      </c>
      <c r="C39" s="285"/>
      <c r="D39" s="285"/>
      <c r="E39" s="285"/>
      <c r="F39" s="285"/>
      <c r="G39" s="285"/>
      <c r="H39" s="285"/>
      <c r="I39" s="286"/>
      <c r="J39" s="286"/>
      <c r="K39" s="286"/>
      <c r="L39" s="286"/>
      <c r="M39" s="47">
        <f t="shared" si="27"/>
        <v>0</v>
      </c>
      <c r="N39" s="285"/>
      <c r="O39" s="285" t="s">
        <v>113</v>
      </c>
      <c r="Q39" s="16"/>
      <c r="R39" s="21">
        <f t="shared" si="28"/>
        <v>0</v>
      </c>
      <c r="S39" s="25">
        <f>+IFERROR(IF(S$19=Takstblad!C$3,VLOOKUP($A39,takstblad,3,FALSE)*C39,"fejl i år"),0)</f>
        <v>0</v>
      </c>
      <c r="T39" s="25">
        <f>+IFERROR(IF(T$19=Takstblad!D$3,VLOOKUP($A39,takstblad,4,FALSE)*D39,"fejl i år"),0)</f>
        <v>0</v>
      </c>
      <c r="U39" s="25">
        <f>+IFERROR(IF(U$19=Takstblad!E$3,VLOOKUP($A39,takstblad,5,FALSE)*E39,"fejl i år"),0)</f>
        <v>0</v>
      </c>
      <c r="V39" s="25">
        <f>+IFERROR(IF(V$19=Takstblad!F$3,VLOOKUP($A39,takstblad,6,FALSE)*F39,"fejl i år"),0)</f>
        <v>0</v>
      </c>
      <c r="W39" s="25">
        <f>+IFERROR(IF(W$19=Takstblad!G$3,VLOOKUP($A39,takstblad,7,FALSE)*G39,"fejl i år"),0)</f>
        <v>0</v>
      </c>
      <c r="X39" s="25">
        <f>+IFERROR(IF(X$19=Takstblad!H$3,VLOOKUP($A39,takstblad,8,FALSE)*H39,"fejl i år"),0)</f>
        <v>0</v>
      </c>
      <c r="Y39" s="25">
        <f>+IFERROR(IF(Y$19=Takstblad!I$3,VLOOKUP($A39,takstblad,9,FALSE)*I39,"fejl i år"),0)</f>
        <v>0</v>
      </c>
      <c r="Z39" s="25">
        <f>+IFERROR(IF(Z$19=Takstblad!J$3,VLOOKUP($A39,takstblad,10,FALSE)*J39,"fejl i år"),0)</f>
        <v>0</v>
      </c>
      <c r="AA39" s="25">
        <f>+IFERROR(IF(AA$19=Takstblad!K$3,VLOOKUP($A39,takstblad,11,FALSE)*K39,"fejl i år"),0)</f>
        <v>0</v>
      </c>
      <c r="AB39" s="25">
        <f>+IFERROR(IF(AB$19=Takstblad!L$3,VLOOKUP($A39,takstblad,12,FALSE)*L39,"fejl i år"),0)</f>
        <v>0</v>
      </c>
      <c r="AC39" s="21">
        <f t="shared" si="7"/>
        <v>0</v>
      </c>
      <c r="AD39" s="221"/>
      <c r="AE39" s="25">
        <f t="shared" si="29"/>
        <v>0</v>
      </c>
      <c r="AF39" s="25">
        <f t="shared" si="30"/>
        <v>0</v>
      </c>
      <c r="AG39" s="221"/>
      <c r="AH39" s="25">
        <f t="shared" si="31"/>
        <v>0</v>
      </c>
      <c r="AI39" s="25">
        <f t="shared" si="32"/>
        <v>0</v>
      </c>
      <c r="AJ39" s="221"/>
      <c r="AK39" s="25">
        <f t="shared" si="33"/>
        <v>0</v>
      </c>
      <c r="AL39" s="25">
        <f t="shared" si="34"/>
        <v>0</v>
      </c>
      <c r="AM39" s="221"/>
      <c r="AN39" s="25">
        <f t="shared" si="35"/>
        <v>0</v>
      </c>
      <c r="AO39" s="25">
        <f t="shared" si="36"/>
        <v>0</v>
      </c>
      <c r="AP39" s="221"/>
      <c r="AQ39" s="25">
        <f t="shared" si="37"/>
        <v>0</v>
      </c>
      <c r="AR39" s="25">
        <f t="shared" si="38"/>
        <v>0</v>
      </c>
      <c r="AS39" s="221"/>
      <c r="AT39" s="25">
        <f t="shared" si="39"/>
        <v>0</v>
      </c>
      <c r="AU39" s="25">
        <f t="shared" si="40"/>
        <v>0</v>
      </c>
      <c r="AV39" s="221"/>
      <c r="AW39" s="25">
        <f t="shared" si="41"/>
        <v>0</v>
      </c>
      <c r="AX39" s="25">
        <f t="shared" si="42"/>
        <v>0</v>
      </c>
      <c r="AY39" s="221"/>
      <c r="AZ39" s="25">
        <f t="shared" si="43"/>
        <v>0</v>
      </c>
      <c r="BA39" s="25">
        <f t="shared" si="44"/>
        <v>0</v>
      </c>
      <c r="BB39" s="221"/>
      <c r="BC39" s="25">
        <f t="shared" si="45"/>
        <v>0</v>
      </c>
      <c r="BD39" s="25">
        <f t="shared" si="50"/>
        <v>0</v>
      </c>
      <c r="BE39" s="221"/>
      <c r="BF39" s="25">
        <f t="shared" si="46"/>
        <v>0</v>
      </c>
      <c r="BG39" s="25">
        <f t="shared" si="47"/>
        <v>0</v>
      </c>
      <c r="BH39" s="221"/>
      <c r="BI39" s="25">
        <f t="shared" si="48"/>
        <v>0</v>
      </c>
      <c r="BJ39" s="25">
        <f t="shared" si="49"/>
        <v>0</v>
      </c>
    </row>
    <row r="40" spans="1:62" ht="15.65" customHeight="1" collapsed="1" thickBot="1">
      <c r="A40" s="4" t="s">
        <v>81</v>
      </c>
      <c r="B40" s="4"/>
      <c r="C40" s="49">
        <f t="shared" ref="C40:M40" si="51">SUM(C20:C39)</f>
        <v>0</v>
      </c>
      <c r="D40" s="49">
        <f t="shared" si="51"/>
        <v>0</v>
      </c>
      <c r="E40" s="49">
        <f t="shared" si="51"/>
        <v>0</v>
      </c>
      <c r="F40" s="49">
        <f t="shared" si="51"/>
        <v>0</v>
      </c>
      <c r="G40" s="49">
        <f t="shared" si="51"/>
        <v>0</v>
      </c>
      <c r="H40" s="49">
        <f t="shared" si="51"/>
        <v>0</v>
      </c>
      <c r="I40" s="64">
        <f t="shared" si="51"/>
        <v>0</v>
      </c>
      <c r="J40" s="64">
        <f t="shared" si="51"/>
        <v>0</v>
      </c>
      <c r="K40" s="64">
        <f t="shared" si="51"/>
        <v>0</v>
      </c>
      <c r="L40" s="64">
        <f t="shared" si="51"/>
        <v>0</v>
      </c>
      <c r="M40" s="50">
        <f t="shared" si="51"/>
        <v>0</v>
      </c>
      <c r="N40" s="50"/>
      <c r="O40" s="4"/>
      <c r="P40" s="4"/>
      <c r="Q40" s="23" t="s">
        <v>74</v>
      </c>
      <c r="R40" s="53">
        <f>+AC40</f>
        <v>0</v>
      </c>
      <c r="S40" s="51">
        <f>SUM(S20:S39)</f>
        <v>0</v>
      </c>
      <c r="T40" s="13">
        <f t="shared" ref="T40:AB40" si="52">SUM(T20:T39)</f>
        <v>0</v>
      </c>
      <c r="U40" s="52">
        <f t="shared" si="52"/>
        <v>0</v>
      </c>
      <c r="V40" s="13">
        <f t="shared" si="52"/>
        <v>0</v>
      </c>
      <c r="W40" s="52">
        <f t="shared" si="52"/>
        <v>0</v>
      </c>
      <c r="X40" s="13">
        <f t="shared" si="52"/>
        <v>0</v>
      </c>
      <c r="Y40" s="66">
        <f t="shared" si="52"/>
        <v>0</v>
      </c>
      <c r="Z40" s="66">
        <f t="shared" si="52"/>
        <v>0</v>
      </c>
      <c r="AA40" s="66">
        <f t="shared" si="52"/>
        <v>0</v>
      </c>
      <c r="AB40" s="66">
        <f t="shared" si="52"/>
        <v>0</v>
      </c>
      <c r="AC40" s="53">
        <f>SUM(S40:AB40)</f>
        <v>0</v>
      </c>
      <c r="AD40" s="221"/>
      <c r="AE40" s="13">
        <f>SUM(AE20:AE39)</f>
        <v>0</v>
      </c>
      <c r="AF40" s="10">
        <f>IFERROR(AC40/AE40,0)</f>
        <v>0</v>
      </c>
      <c r="AG40" s="221"/>
      <c r="AH40" s="13">
        <f>SUM(AH20:AH39)</f>
        <v>0</v>
      </c>
      <c r="AI40" s="10">
        <f>IFERROR(S40/AH40,0)</f>
        <v>0</v>
      </c>
      <c r="AJ40" s="222"/>
      <c r="AK40" s="13">
        <f>SUM(AK20:AK39)</f>
        <v>0</v>
      </c>
      <c r="AL40" s="10">
        <f t="shared" si="12"/>
        <v>0</v>
      </c>
      <c r="AM40" s="222"/>
      <c r="AN40" s="13">
        <f>SUM(AN20:AN39)</f>
        <v>0</v>
      </c>
      <c r="AO40" s="10">
        <f t="shared" si="14"/>
        <v>0</v>
      </c>
      <c r="AP40" s="221"/>
      <c r="AQ40" s="13">
        <f>SUM(AQ20:AQ39)</f>
        <v>0</v>
      </c>
      <c r="AR40" s="10">
        <f t="shared" si="16"/>
        <v>0</v>
      </c>
      <c r="AS40" s="221"/>
      <c r="AT40" s="13">
        <f>SUM(AT20:AT39)</f>
        <v>0</v>
      </c>
      <c r="AU40" s="10">
        <f t="shared" si="18"/>
        <v>0</v>
      </c>
      <c r="AV40" s="221"/>
      <c r="AW40" s="13">
        <f>SUM(AW20:AW39)</f>
        <v>0</v>
      </c>
      <c r="AX40" s="10">
        <f>IFERROR(X40/AW40,0)</f>
        <v>0</v>
      </c>
      <c r="AY40" s="221"/>
      <c r="AZ40" s="13">
        <f>SUM(AZ20:AZ39)</f>
        <v>0</v>
      </c>
      <c r="BA40" s="10">
        <f>IFERROR(Z40/AZ40,0)</f>
        <v>0</v>
      </c>
      <c r="BB40" s="221"/>
      <c r="BC40" s="13">
        <f>SUM(BC20:BC39)</f>
        <v>0</v>
      </c>
      <c r="BD40" s="10">
        <f>IFERROR(Z40/BC40,0)</f>
        <v>0</v>
      </c>
      <c r="BE40" s="221"/>
      <c r="BF40" s="13">
        <f>SUM(BF20:BF39)</f>
        <v>0</v>
      </c>
      <c r="BG40" s="10">
        <f>IFERROR(AC40/BF40,0)</f>
        <v>0</v>
      </c>
      <c r="BH40" s="221"/>
      <c r="BI40" s="13">
        <f>SUM(BI20:BI39)</f>
        <v>0</v>
      </c>
      <c r="BJ40" s="10">
        <f>IFERROR(AF40/BI40,0)</f>
        <v>0</v>
      </c>
    </row>
    <row r="41" spans="1:62" ht="15.65" customHeight="1">
      <c r="A41" s="4"/>
      <c r="B41" s="5"/>
      <c r="C41" s="5"/>
      <c r="D41" s="5"/>
      <c r="E41" s="5"/>
      <c r="F41" s="5"/>
      <c r="G41" s="5"/>
      <c r="H41" s="5"/>
      <c r="I41" s="5"/>
      <c r="J41" s="5"/>
      <c r="K41" s="5"/>
      <c r="L41" s="5"/>
      <c r="M41" s="5"/>
      <c r="N41" s="5"/>
      <c r="O41" s="5"/>
      <c r="P41" s="5"/>
      <c r="Q41" s="23"/>
      <c r="R41" s="5"/>
      <c r="S41" s="5"/>
      <c r="T41" s="5"/>
      <c r="U41" s="5"/>
      <c r="V41" s="5"/>
      <c r="W41" s="5"/>
      <c r="X41" s="5"/>
      <c r="Y41" s="5"/>
      <c r="Z41" s="5"/>
      <c r="AA41" s="5"/>
      <c r="AB41" s="5"/>
      <c r="AC41" s="5"/>
      <c r="AD41" s="221"/>
      <c r="AE41" s="5"/>
      <c r="AF41" s="5"/>
      <c r="AG41" s="221"/>
      <c r="AH41" s="5"/>
      <c r="AI41" s="5"/>
      <c r="AJ41" s="221"/>
      <c r="AK41" s="5"/>
      <c r="AL41" s="5"/>
      <c r="AM41" s="221"/>
      <c r="AN41" s="5"/>
      <c r="AO41" s="5"/>
      <c r="AP41" s="221"/>
      <c r="AQ41" s="5"/>
      <c r="AR41" s="5"/>
      <c r="AS41" s="221"/>
      <c r="AT41" s="5"/>
      <c r="AU41" s="5"/>
      <c r="AV41" s="221"/>
      <c r="AW41" s="5"/>
      <c r="AX41" s="5"/>
      <c r="AY41" s="221"/>
      <c r="AZ41" s="5"/>
      <c r="BA41" s="5"/>
      <c r="BB41" s="221"/>
      <c r="BC41" s="5"/>
      <c r="BD41" s="5"/>
      <c r="BE41" s="221"/>
      <c r="BF41" s="5"/>
      <c r="BG41" s="5"/>
      <c r="BH41" s="221"/>
      <c r="BI41" s="5"/>
      <c r="BJ41" s="5"/>
    </row>
    <row r="42" spans="1:62" s="9" customFormat="1" ht="15.65" customHeight="1">
      <c r="A42" s="4" t="s">
        <v>80</v>
      </c>
      <c r="B42" s="8"/>
      <c r="C42" s="8">
        <f t="shared" ref="C42:L42" si="53">+C19</f>
        <v>2026</v>
      </c>
      <c r="D42" s="8">
        <f t="shared" si="53"/>
        <v>2027</v>
      </c>
      <c r="E42" s="8">
        <f t="shared" si="53"/>
        <v>2028</v>
      </c>
      <c r="F42" s="8">
        <f t="shared" si="53"/>
        <v>2029</v>
      </c>
      <c r="G42" s="8">
        <f t="shared" si="53"/>
        <v>2030</v>
      </c>
      <c r="H42" s="8">
        <f t="shared" si="53"/>
        <v>2031</v>
      </c>
      <c r="I42" s="8">
        <f t="shared" si="53"/>
        <v>2032</v>
      </c>
      <c r="J42" s="8">
        <f t="shared" si="53"/>
        <v>2033</v>
      </c>
      <c r="K42" s="8">
        <f t="shared" si="53"/>
        <v>2034</v>
      </c>
      <c r="L42" s="8">
        <f t="shared" si="53"/>
        <v>2035</v>
      </c>
      <c r="M42" s="8" t="s">
        <v>34</v>
      </c>
      <c r="N42" s="8"/>
      <c r="O42" s="8"/>
      <c r="P42" s="8"/>
      <c r="Q42" s="23" t="s">
        <v>82</v>
      </c>
      <c r="R42" s="8" t="s">
        <v>34</v>
      </c>
      <c r="S42" s="8">
        <f t="shared" ref="S42:AB42" si="54">+C19</f>
        <v>2026</v>
      </c>
      <c r="T42" s="8">
        <f t="shared" si="54"/>
        <v>2027</v>
      </c>
      <c r="U42" s="8">
        <f t="shared" si="54"/>
        <v>2028</v>
      </c>
      <c r="V42" s="8">
        <f t="shared" si="54"/>
        <v>2029</v>
      </c>
      <c r="W42" s="8">
        <f t="shared" si="54"/>
        <v>2030</v>
      </c>
      <c r="X42" s="8">
        <f t="shared" si="54"/>
        <v>2031</v>
      </c>
      <c r="Y42" s="8">
        <f t="shared" si="54"/>
        <v>2032</v>
      </c>
      <c r="Z42" s="8">
        <f t="shared" si="54"/>
        <v>2033</v>
      </c>
      <c r="AA42" s="8">
        <f t="shared" si="54"/>
        <v>2034</v>
      </c>
      <c r="AB42" s="8">
        <f t="shared" si="54"/>
        <v>2035</v>
      </c>
      <c r="AC42" s="8" t="s">
        <v>34</v>
      </c>
      <c r="AD42" s="222"/>
      <c r="AE42" s="549" t="s">
        <v>34</v>
      </c>
      <c r="AF42" s="548"/>
      <c r="AG42" s="221"/>
      <c r="AH42" s="547">
        <f>+AH19</f>
        <v>2026</v>
      </c>
      <c r="AI42" s="548"/>
      <c r="AJ42" s="221"/>
      <c r="AK42" s="547">
        <f>+AK19</f>
        <v>2027</v>
      </c>
      <c r="AL42" s="548"/>
      <c r="AM42" s="221"/>
      <c r="AN42" s="547">
        <f>+AN19</f>
        <v>2028</v>
      </c>
      <c r="AO42" s="548"/>
      <c r="AP42" s="221"/>
      <c r="AQ42" s="547">
        <f>+AQ19</f>
        <v>2029</v>
      </c>
      <c r="AR42" s="548"/>
      <c r="AS42" s="221"/>
      <c r="AT42" s="547">
        <f>+AT19</f>
        <v>2030</v>
      </c>
      <c r="AU42" s="548"/>
      <c r="AV42" s="221"/>
      <c r="AW42" s="547">
        <f>+AW19</f>
        <v>2031</v>
      </c>
      <c r="AX42" s="548"/>
      <c r="AY42" s="221"/>
      <c r="AZ42" s="547">
        <f>+AZ19</f>
        <v>2032</v>
      </c>
      <c r="BA42" s="548"/>
      <c r="BB42" s="221"/>
      <c r="BC42" s="547">
        <f>+BC19</f>
        <v>2033</v>
      </c>
      <c r="BD42" s="548"/>
      <c r="BE42" s="221"/>
      <c r="BF42" s="547">
        <f>+BF19</f>
        <v>2034</v>
      </c>
      <c r="BG42" s="548"/>
      <c r="BH42" s="221"/>
      <c r="BI42" s="547">
        <f>+BI19</f>
        <v>2035</v>
      </c>
      <c r="BJ42" s="548"/>
    </row>
    <row r="43" spans="1:62" ht="15.65" customHeight="1">
      <c r="A43" s="212" t="s">
        <v>1238</v>
      </c>
      <c r="B43" s="213" t="str">
        <f>+VLOOKUP(A43,Takstblad!$A$33:$B$54,2,FALSE)</f>
        <v/>
      </c>
      <c r="C43" s="285"/>
      <c r="D43" s="285"/>
      <c r="E43" s="285"/>
      <c r="F43" s="285"/>
      <c r="G43" s="285"/>
      <c r="H43" s="285"/>
      <c r="I43" s="285"/>
      <c r="J43" s="285"/>
      <c r="K43" s="285"/>
      <c r="L43" s="285"/>
      <c r="M43" s="19">
        <f>SUM(C43:L43)</f>
        <v>0</v>
      </c>
      <c r="N43" s="285"/>
      <c r="O43" s="285" t="s">
        <v>113</v>
      </c>
      <c r="P43" s="212"/>
      <c r="Q43" s="218"/>
      <c r="R43" s="216">
        <f t="shared" ref="R43:R56" si="55">+AC43</f>
        <v>0</v>
      </c>
      <c r="S43" s="215">
        <f>+IFERROR(IF(S$19=Takstblad!C$3,VLOOKUP($A43,takstblad,3,FALSE)*C43,"fejl i år"),0)</f>
        <v>0</v>
      </c>
      <c r="T43" s="215">
        <f>+IFERROR(IF(T$19=Takstblad!D$3,VLOOKUP($A43,takstblad,4,FALSE)*D43,"fejl i år"),0)</f>
        <v>0</v>
      </c>
      <c r="U43" s="215">
        <f>+IFERROR(IF(U$19=Takstblad!E$3,VLOOKUP($A43,takstblad,5,FALSE)*E43,"fejl i år"),0)</f>
        <v>0</v>
      </c>
      <c r="V43" s="215">
        <f>+IFERROR(IF(V$19=Takstblad!F$3,VLOOKUP($A43,takstblad,6,FALSE)*F43,"fejl i år"),0)</f>
        <v>0</v>
      </c>
      <c r="W43" s="215">
        <f>+IFERROR(IF(W$19=Takstblad!G$3,VLOOKUP($A43,takstblad,7,FALSE)*G43,"fejl i år"),0)</f>
        <v>0</v>
      </c>
      <c r="X43" s="215">
        <f>+IFERROR(IF(X$19=Takstblad!H$3,VLOOKUP($A43,takstblad,8,FALSE)*H43,"fejl i år"),0)</f>
        <v>0</v>
      </c>
      <c r="Y43" s="215">
        <f>+IFERROR(IF(Y$19=Takstblad!I$3,VLOOKUP($A43,takstblad,9,FALSE)*I43,"fejl i år"),0)</f>
        <v>0</v>
      </c>
      <c r="Z43" s="215">
        <f>+IFERROR(IF(Z$19=Takstblad!J$3,VLOOKUP($A43,takstblad,10,FALSE)*J43,"fejl i år"),0)</f>
        <v>0</v>
      </c>
      <c r="AA43" s="215">
        <f>+IFERROR(IF(AA$19=Takstblad!K$3,VLOOKUP($A43,takstblad,11,FALSE)*K43,"fejl i år"),0)</f>
        <v>0</v>
      </c>
      <c r="AB43" s="215">
        <f>+IFERROR(IF(AB$19=Takstblad!L$3,VLOOKUP($A43,takstblad,12,FALSE)*L43,"fejl i år"),0)</f>
        <v>0</v>
      </c>
      <c r="AC43" s="216">
        <f>SUM(S43:AB43)</f>
        <v>0</v>
      </c>
      <c r="AD43" s="221"/>
      <c r="AE43" s="217">
        <f t="shared" ref="AE43:AE52" si="56">+M43*($C$7/12)</f>
        <v>0</v>
      </c>
      <c r="AF43" s="217">
        <f t="shared" ref="AF43:AF53" si="57">IFERROR(AC43/AE43,0)</f>
        <v>0</v>
      </c>
      <c r="AG43" s="221"/>
      <c r="AH43" s="217">
        <f t="shared" ref="AH43:AH53" si="58">+C43*($C$7/12)</f>
        <v>0</v>
      </c>
      <c r="AI43" s="217">
        <f t="shared" ref="AI43:AI56" si="59">IFERROR(S43/AH43,0)</f>
        <v>0</v>
      </c>
      <c r="AJ43" s="221"/>
      <c r="AK43" s="215">
        <f t="shared" ref="AK43:AK53" si="60">+D43*($C$7/12)</f>
        <v>0</v>
      </c>
      <c r="AL43" s="215">
        <f t="shared" ref="AL43:AL56" si="61">IFERROR(T43/AK43,0)</f>
        <v>0</v>
      </c>
      <c r="AM43" s="221"/>
      <c r="AN43" s="215">
        <f t="shared" ref="AN43:AN53" si="62">+E43*($C$7/12)</f>
        <v>0</v>
      </c>
      <c r="AO43" s="215">
        <f t="shared" ref="AO43:AO56" si="63">IFERROR(U43/AN43,0)</f>
        <v>0</v>
      </c>
      <c r="AP43" s="221"/>
      <c r="AQ43" s="215">
        <f t="shared" ref="AQ43:AQ53" si="64">+F43*($C$7/12)</f>
        <v>0</v>
      </c>
      <c r="AR43" s="215">
        <f t="shared" ref="AR43:AR56" si="65">IFERROR(V43/AQ43,0)</f>
        <v>0</v>
      </c>
      <c r="AS43" s="221"/>
      <c r="AT43" s="215">
        <f t="shared" ref="AT43:AT53" si="66">+G43*($C$7/12)</f>
        <v>0</v>
      </c>
      <c r="AU43" s="215">
        <f t="shared" ref="AU43:AU56" si="67">IFERROR(W43/AT43,0)</f>
        <v>0</v>
      </c>
      <c r="AV43" s="221"/>
      <c r="AW43" s="215">
        <f t="shared" ref="AW43:AW53" si="68">+H43*($C$7/12)</f>
        <v>0</v>
      </c>
      <c r="AX43" s="215">
        <f t="shared" ref="AX43:AX56" si="69">IFERROR(X43/AW43,0)</f>
        <v>0</v>
      </c>
      <c r="AY43" s="221"/>
      <c r="AZ43" s="215">
        <f>+I43*($C$7/12)</f>
        <v>0</v>
      </c>
      <c r="BA43" s="215">
        <f>IFERROR(Y43/AZ43,0)</f>
        <v>0</v>
      </c>
      <c r="BB43" s="221"/>
      <c r="BC43" s="215">
        <f>+J43*($C$7/12)</f>
        <v>0</v>
      </c>
      <c r="BD43" s="215">
        <f>IFERROR(Z43/BC43,0)</f>
        <v>0</v>
      </c>
      <c r="BE43" s="221"/>
      <c r="BF43" s="215">
        <f>+K43*($C$7/12)</f>
        <v>0</v>
      </c>
      <c r="BG43" s="215">
        <f>IFERROR(AB43/BF43,0)</f>
        <v>0</v>
      </c>
      <c r="BH43" s="221"/>
      <c r="BI43" s="215">
        <f>+L43*($C$7/12)</f>
        <v>0</v>
      </c>
      <c r="BJ43" s="215">
        <f>IFERROR(AB43/BI43,0)</f>
        <v>0</v>
      </c>
    </row>
    <row r="44" spans="1:62" ht="15.65" customHeight="1">
      <c r="A44" s="7" t="s">
        <v>1238</v>
      </c>
      <c r="B44" s="4" t="str">
        <f>+VLOOKUP(A44,Takstblad!$A$33:$B$54,2,FALSE)</f>
        <v/>
      </c>
      <c r="C44" s="287"/>
      <c r="D44" s="285"/>
      <c r="E44" s="285"/>
      <c r="F44" s="285"/>
      <c r="G44" s="285"/>
      <c r="H44" s="285"/>
      <c r="I44" s="285"/>
      <c r="J44" s="285"/>
      <c r="K44" s="285"/>
      <c r="L44" s="285"/>
      <c r="M44" s="19">
        <f t="shared" ref="M44:M56" si="70">SUM(C44:L44)</f>
        <v>0</v>
      </c>
      <c r="N44" s="285"/>
      <c r="O44" s="285" t="s">
        <v>113</v>
      </c>
      <c r="Q44" s="26"/>
      <c r="R44" s="21">
        <f>+AC44</f>
        <v>0</v>
      </c>
      <c r="S44" s="25">
        <f>+IFERROR(IF(S$19=Takstblad!C$3,VLOOKUP($A44,takstblad,3,FALSE)*C44,"fejl i år"),0)</f>
        <v>0</v>
      </c>
      <c r="T44" s="25">
        <f>+IFERROR(IF(T$19=Takstblad!D$3,VLOOKUP($A44,takstblad,4,FALSE)*D44,"fejl i år"),0)</f>
        <v>0</v>
      </c>
      <c r="U44" s="25">
        <f>+IFERROR(IF(U$19=Takstblad!E$3,VLOOKUP($A44,takstblad,5,FALSE)*E44,"fejl i år"),0)</f>
        <v>0</v>
      </c>
      <c r="V44" s="25">
        <f>+IFERROR(IF(V$19=Takstblad!F$3,VLOOKUP($A44,takstblad,6,FALSE)*F44,"fejl i år"),0)</f>
        <v>0</v>
      </c>
      <c r="W44" s="25">
        <f>+IFERROR(IF(W$19=Takstblad!G$3,VLOOKUP($A44,takstblad,7,FALSE)*G44,"fejl i år"),0)</f>
        <v>0</v>
      </c>
      <c r="X44" s="25">
        <f>+IFERROR(IF(X$19=Takstblad!H$3,VLOOKUP($A44,takstblad,8,FALSE)*H44,"fejl i år"),0)</f>
        <v>0</v>
      </c>
      <c r="Y44" s="25">
        <f>+IFERROR(IF(Y$19=Takstblad!I$3,VLOOKUP($A44,takstblad,9,FALSE)*I44,"fejl i år"),0)</f>
        <v>0</v>
      </c>
      <c r="Z44" s="25">
        <f>+IFERROR(IF(Z$19=Takstblad!J$3,VLOOKUP($A44,takstblad,10,FALSE)*J44,"fejl i år"),0)</f>
        <v>0</v>
      </c>
      <c r="AA44" s="25">
        <f>+IFERROR(IF(AA$19=Takstblad!K$3,VLOOKUP($A44,takstblad,11,FALSE)*K44,"fejl i år"),0)</f>
        <v>0</v>
      </c>
      <c r="AB44" s="25">
        <f>+IFERROR(IF(AB$19=Takstblad!L$3,VLOOKUP($A44,takstblad,12,FALSE)*L44,"fejl i år"),0)</f>
        <v>0</v>
      </c>
      <c r="AC44" s="21">
        <f t="shared" ref="AC44:AC56" si="71">SUM(S44:AB44)</f>
        <v>0</v>
      </c>
      <c r="AD44" s="221"/>
      <c r="AE44" s="25">
        <f t="shared" si="56"/>
        <v>0</v>
      </c>
      <c r="AF44" s="25">
        <f t="shared" si="57"/>
        <v>0</v>
      </c>
      <c r="AG44" s="221"/>
      <c r="AH44" s="25">
        <f t="shared" si="58"/>
        <v>0</v>
      </c>
      <c r="AI44" s="25">
        <f t="shared" si="59"/>
        <v>0</v>
      </c>
      <c r="AJ44" s="221"/>
      <c r="AK44" s="25">
        <f t="shared" si="60"/>
        <v>0</v>
      </c>
      <c r="AL44" s="25">
        <f t="shared" si="61"/>
        <v>0</v>
      </c>
      <c r="AM44" s="221"/>
      <c r="AN44" s="25">
        <f t="shared" si="62"/>
        <v>0</v>
      </c>
      <c r="AO44" s="25">
        <f t="shared" si="63"/>
        <v>0</v>
      </c>
      <c r="AP44" s="221"/>
      <c r="AQ44" s="25">
        <f t="shared" si="64"/>
        <v>0</v>
      </c>
      <c r="AR44" s="25">
        <f t="shared" si="65"/>
        <v>0</v>
      </c>
      <c r="AS44" s="221"/>
      <c r="AT44" s="25">
        <f>+G44*($C$7/12)</f>
        <v>0</v>
      </c>
      <c r="AU44" s="25">
        <f>IFERROR(W44/AT44,0)</f>
        <v>0</v>
      </c>
      <c r="AV44" s="221"/>
      <c r="AW44" s="25">
        <f t="shared" si="68"/>
        <v>0</v>
      </c>
      <c r="AX44" s="25">
        <f t="shared" si="69"/>
        <v>0</v>
      </c>
      <c r="AY44" s="221"/>
      <c r="AZ44" s="25">
        <f t="shared" ref="AZ44:AZ53" si="72">+I44*($C$7/12)</f>
        <v>0</v>
      </c>
      <c r="BA44" s="25">
        <f t="shared" ref="BA44:BA56" si="73">IFERROR(Y44/AZ44,0)</f>
        <v>0</v>
      </c>
      <c r="BB44" s="221"/>
      <c r="BC44" s="25">
        <f t="shared" ref="BC44:BC53" si="74">+J44*($C$7/12)</f>
        <v>0</v>
      </c>
      <c r="BD44" s="25">
        <f t="shared" ref="BD44:BD56" si="75">IFERROR(Z44/BC44,0)</f>
        <v>0</v>
      </c>
      <c r="BE44" s="221"/>
      <c r="BF44" s="25">
        <f t="shared" ref="BF44:BF55" si="76">+K44*($C$7/12)</f>
        <v>0</v>
      </c>
      <c r="BG44" s="25">
        <f t="shared" ref="BG44:BG55" si="77">IFERROR(AB44/BF44,0)</f>
        <v>0</v>
      </c>
      <c r="BH44" s="221"/>
      <c r="BI44" s="25">
        <f t="shared" ref="BI44:BI55" si="78">+L44*($C$7/12)</f>
        <v>0</v>
      </c>
      <c r="BJ44" s="25">
        <f t="shared" ref="BJ44:BJ55" si="79">IFERROR(AB44/BI44,0)</f>
        <v>0</v>
      </c>
    </row>
    <row r="45" spans="1:62" ht="15.65" customHeight="1">
      <c r="A45" s="212" t="s">
        <v>1238</v>
      </c>
      <c r="B45" s="213" t="str">
        <f>+VLOOKUP(A45,Takstblad!$A$33:$B$54,2,FALSE)</f>
        <v/>
      </c>
      <c r="C45" s="285"/>
      <c r="D45" s="285"/>
      <c r="E45" s="285"/>
      <c r="F45" s="285"/>
      <c r="G45" s="285"/>
      <c r="H45" s="285"/>
      <c r="I45" s="285"/>
      <c r="J45" s="285"/>
      <c r="K45" s="285"/>
      <c r="L45" s="285"/>
      <c r="M45" s="19">
        <f t="shared" si="70"/>
        <v>0</v>
      </c>
      <c r="N45" s="285"/>
      <c r="O45" s="285" t="s">
        <v>113</v>
      </c>
      <c r="P45" s="212"/>
      <c r="Q45" s="218"/>
      <c r="R45" s="216">
        <f>+AC45</f>
        <v>0</v>
      </c>
      <c r="S45" s="215">
        <f>+IFERROR(IF(S$19=Takstblad!C$3,VLOOKUP($A45,takstblad,3,FALSE)*C45,"fejl i år"),0)</f>
        <v>0</v>
      </c>
      <c r="T45" s="215">
        <f>+IFERROR(IF(T$19=Takstblad!D$3,VLOOKUP($A45,takstblad,4,FALSE)*D45,"fejl i år"),0)</f>
        <v>0</v>
      </c>
      <c r="U45" s="215">
        <f>+IFERROR(IF(U$19=Takstblad!E$3,VLOOKUP($A45,takstblad,5,FALSE)*E45,"fejl i år"),0)</f>
        <v>0</v>
      </c>
      <c r="V45" s="215">
        <f>+IFERROR(IF(V$19=Takstblad!F$3,VLOOKUP($A45,takstblad,6,FALSE)*F45,"fejl i år"),0)</f>
        <v>0</v>
      </c>
      <c r="W45" s="215">
        <f>+IFERROR(IF(W$19=Takstblad!G$3,VLOOKUP($A45,takstblad,7,FALSE)*G45,"fejl i år"),0)</f>
        <v>0</v>
      </c>
      <c r="X45" s="215">
        <f>+IFERROR(IF(X$19=Takstblad!H$3,VLOOKUP($A45,takstblad,8,FALSE)*H45,"fejl i år"),0)</f>
        <v>0</v>
      </c>
      <c r="Y45" s="215">
        <f>+IFERROR(IF(Y$19=Takstblad!I$3,VLOOKUP($A45,takstblad,9,FALSE)*I45,"fejl i år"),0)</f>
        <v>0</v>
      </c>
      <c r="Z45" s="215">
        <f>+IFERROR(IF(Z$19=Takstblad!J$3,VLOOKUP($A45,takstblad,10,FALSE)*J45,"fejl i år"),0)</f>
        <v>0</v>
      </c>
      <c r="AA45" s="215">
        <f>+IFERROR(IF(AA$19=Takstblad!K$3,VLOOKUP($A45,takstblad,11,FALSE)*K45,"fejl i år"),0)</f>
        <v>0</v>
      </c>
      <c r="AB45" s="215">
        <f>+IFERROR(IF(AB$19=Takstblad!L$3,VLOOKUP($A45,takstblad,12,FALSE)*L45,"fejl i år"),0)</f>
        <v>0</v>
      </c>
      <c r="AC45" s="216">
        <f t="shared" si="71"/>
        <v>0</v>
      </c>
      <c r="AD45" s="221"/>
      <c r="AE45" s="217">
        <f t="shared" si="56"/>
        <v>0</v>
      </c>
      <c r="AF45" s="217">
        <f t="shared" si="57"/>
        <v>0</v>
      </c>
      <c r="AG45" s="221"/>
      <c r="AH45" s="217">
        <f t="shared" si="58"/>
        <v>0</v>
      </c>
      <c r="AI45" s="217">
        <f t="shared" si="59"/>
        <v>0</v>
      </c>
      <c r="AJ45" s="221"/>
      <c r="AK45" s="215">
        <f t="shared" si="60"/>
        <v>0</v>
      </c>
      <c r="AL45" s="215">
        <f t="shared" si="61"/>
        <v>0</v>
      </c>
      <c r="AM45" s="221"/>
      <c r="AN45" s="215">
        <f t="shared" si="62"/>
        <v>0</v>
      </c>
      <c r="AO45" s="215">
        <f t="shared" si="63"/>
        <v>0</v>
      </c>
      <c r="AP45" s="221"/>
      <c r="AQ45" s="215">
        <f t="shared" si="64"/>
        <v>0</v>
      </c>
      <c r="AR45" s="215">
        <f t="shared" si="65"/>
        <v>0</v>
      </c>
      <c r="AS45" s="221"/>
      <c r="AT45" s="215">
        <f t="shared" si="66"/>
        <v>0</v>
      </c>
      <c r="AU45" s="215">
        <f t="shared" si="67"/>
        <v>0</v>
      </c>
      <c r="AV45" s="221"/>
      <c r="AW45" s="215">
        <f t="shared" si="68"/>
        <v>0</v>
      </c>
      <c r="AX45" s="215">
        <f t="shared" si="69"/>
        <v>0</v>
      </c>
      <c r="AY45" s="221"/>
      <c r="AZ45" s="215">
        <f t="shared" si="72"/>
        <v>0</v>
      </c>
      <c r="BA45" s="215">
        <f t="shared" si="73"/>
        <v>0</v>
      </c>
      <c r="BB45" s="221"/>
      <c r="BC45" s="215">
        <f t="shared" si="74"/>
        <v>0</v>
      </c>
      <c r="BD45" s="215">
        <f t="shared" si="75"/>
        <v>0</v>
      </c>
      <c r="BE45" s="221"/>
      <c r="BF45" s="215">
        <f t="shared" si="76"/>
        <v>0</v>
      </c>
      <c r="BG45" s="215">
        <f t="shared" si="77"/>
        <v>0</v>
      </c>
      <c r="BH45" s="221"/>
      <c r="BI45" s="215">
        <f t="shared" si="78"/>
        <v>0</v>
      </c>
      <c r="BJ45" s="215">
        <f t="shared" si="79"/>
        <v>0</v>
      </c>
    </row>
    <row r="46" spans="1:62" ht="15.65" customHeight="1">
      <c r="A46" s="7" t="s">
        <v>1238</v>
      </c>
      <c r="B46" s="4" t="str">
        <f>+VLOOKUP(A46,Takstblad!$A$33:$B$54,2,FALSE)</f>
        <v/>
      </c>
      <c r="C46" s="285"/>
      <c r="D46" s="285"/>
      <c r="E46" s="285"/>
      <c r="F46" s="285"/>
      <c r="G46" s="285"/>
      <c r="H46" s="285"/>
      <c r="I46" s="285"/>
      <c r="J46" s="285"/>
      <c r="K46" s="285"/>
      <c r="L46" s="285"/>
      <c r="M46" s="19">
        <f t="shared" si="70"/>
        <v>0</v>
      </c>
      <c r="N46" s="285"/>
      <c r="O46" s="285" t="s">
        <v>113</v>
      </c>
      <c r="Q46" s="26"/>
      <c r="R46" s="21">
        <f t="shared" si="55"/>
        <v>0</v>
      </c>
      <c r="S46" s="25">
        <f>+IFERROR(IF(S$19=Takstblad!C$3,VLOOKUP($A46,takstblad,3,FALSE)*C46,"fejl i år"),0)</f>
        <v>0</v>
      </c>
      <c r="T46" s="25">
        <f>+IFERROR(IF(T$19=Takstblad!D$3,VLOOKUP($A46,takstblad,4,FALSE)*D46,"fejl i år"),0)</f>
        <v>0</v>
      </c>
      <c r="U46" s="25">
        <f>+IFERROR(IF(U$19=Takstblad!E$3,VLOOKUP($A46,takstblad,5,FALSE)*E46,"fejl i år"),0)</f>
        <v>0</v>
      </c>
      <c r="V46" s="25">
        <f>+IFERROR(IF(V$19=Takstblad!F$3,VLOOKUP($A46,takstblad,6,FALSE)*F46,"fejl i år"),0)</f>
        <v>0</v>
      </c>
      <c r="W46" s="25">
        <f>+IFERROR(IF(W$19=Takstblad!G$3,VLOOKUP($A46,takstblad,7,FALSE)*G46,"fejl i år"),0)</f>
        <v>0</v>
      </c>
      <c r="X46" s="25">
        <f>+IFERROR(IF(X$19=Takstblad!H$3,VLOOKUP($A46,takstblad,8,FALSE)*H46,"fejl i år"),0)</f>
        <v>0</v>
      </c>
      <c r="Y46" s="25">
        <f>+IFERROR(IF(Y$19=Takstblad!I$3,VLOOKUP($A46,takstblad,9,FALSE)*I46,"fejl i år"),0)</f>
        <v>0</v>
      </c>
      <c r="Z46" s="25">
        <f>+IFERROR(IF(Z$19=Takstblad!J$3,VLOOKUP($A46,takstblad,10,FALSE)*J46,"fejl i år"),0)</f>
        <v>0</v>
      </c>
      <c r="AA46" s="25">
        <f>+IFERROR(IF(AA$19=Takstblad!K$3,VLOOKUP($A46,takstblad,11,FALSE)*K46,"fejl i år"),0)</f>
        <v>0</v>
      </c>
      <c r="AB46" s="25">
        <f>+IFERROR(IF(AB$19=Takstblad!L$3,VLOOKUP($A46,takstblad,12,FALSE)*L46,"fejl i år"),0)</f>
        <v>0</v>
      </c>
      <c r="AC46" s="21">
        <f t="shared" si="71"/>
        <v>0</v>
      </c>
      <c r="AD46" s="221"/>
      <c r="AE46" s="25">
        <f t="shared" si="56"/>
        <v>0</v>
      </c>
      <c r="AF46" s="25">
        <f t="shared" si="57"/>
        <v>0</v>
      </c>
      <c r="AG46" s="221"/>
      <c r="AH46" s="25">
        <f t="shared" si="58"/>
        <v>0</v>
      </c>
      <c r="AI46" s="25">
        <f t="shared" si="59"/>
        <v>0</v>
      </c>
      <c r="AJ46" s="221"/>
      <c r="AK46" s="25">
        <f t="shared" si="60"/>
        <v>0</v>
      </c>
      <c r="AL46" s="25">
        <f t="shared" si="61"/>
        <v>0</v>
      </c>
      <c r="AM46" s="221"/>
      <c r="AN46" s="25">
        <f t="shared" si="62"/>
        <v>0</v>
      </c>
      <c r="AO46" s="25">
        <f t="shared" si="63"/>
        <v>0</v>
      </c>
      <c r="AP46" s="221"/>
      <c r="AQ46" s="25">
        <f t="shared" si="64"/>
        <v>0</v>
      </c>
      <c r="AR46" s="25">
        <f t="shared" si="65"/>
        <v>0</v>
      </c>
      <c r="AS46" s="221"/>
      <c r="AT46" s="25">
        <f t="shared" si="66"/>
        <v>0</v>
      </c>
      <c r="AU46" s="25">
        <f t="shared" si="67"/>
        <v>0</v>
      </c>
      <c r="AV46" s="221"/>
      <c r="AW46" s="25">
        <f t="shared" si="68"/>
        <v>0</v>
      </c>
      <c r="AX46" s="25">
        <f t="shared" si="69"/>
        <v>0</v>
      </c>
      <c r="AY46" s="221"/>
      <c r="AZ46" s="25">
        <f t="shared" si="72"/>
        <v>0</v>
      </c>
      <c r="BA46" s="25">
        <f t="shared" si="73"/>
        <v>0</v>
      </c>
      <c r="BB46" s="221"/>
      <c r="BC46" s="25">
        <f t="shared" si="74"/>
        <v>0</v>
      </c>
      <c r="BD46" s="25">
        <f t="shared" si="75"/>
        <v>0</v>
      </c>
      <c r="BE46" s="221"/>
      <c r="BF46" s="25">
        <f t="shared" si="76"/>
        <v>0</v>
      </c>
      <c r="BG46" s="25">
        <f t="shared" si="77"/>
        <v>0</v>
      </c>
      <c r="BH46" s="221"/>
      <c r="BI46" s="25">
        <f t="shared" si="78"/>
        <v>0</v>
      </c>
      <c r="BJ46" s="25">
        <f t="shared" si="79"/>
        <v>0</v>
      </c>
    </row>
    <row r="47" spans="1:62" ht="15.65" customHeight="1">
      <c r="A47" s="212" t="s">
        <v>1238</v>
      </c>
      <c r="B47" s="213" t="str">
        <f>+VLOOKUP(A47,Takstblad!$A$33:$B$54,2,FALSE)</f>
        <v/>
      </c>
      <c r="C47" s="285"/>
      <c r="D47" s="285"/>
      <c r="E47" s="285"/>
      <c r="F47" s="285"/>
      <c r="G47" s="285"/>
      <c r="H47" s="285"/>
      <c r="I47" s="285"/>
      <c r="J47" s="285"/>
      <c r="K47" s="285"/>
      <c r="L47" s="285"/>
      <c r="M47" s="19">
        <f t="shared" si="70"/>
        <v>0</v>
      </c>
      <c r="N47" s="285"/>
      <c r="O47" s="285" t="s">
        <v>113</v>
      </c>
      <c r="P47" s="212"/>
      <c r="Q47" s="218"/>
      <c r="R47" s="216">
        <f t="shared" si="55"/>
        <v>0</v>
      </c>
      <c r="S47" s="215">
        <f>+IFERROR(IF(S$19=Takstblad!C$3,VLOOKUP($A47,takstblad,3,FALSE)*C47,"fejl i år"),0)</f>
        <v>0</v>
      </c>
      <c r="T47" s="215">
        <f>+IFERROR(IF(T$19=Takstblad!D$3,VLOOKUP($A47,takstblad,4,FALSE)*D47,"fejl i år"),0)</f>
        <v>0</v>
      </c>
      <c r="U47" s="215">
        <f>+IFERROR(IF(U$19=Takstblad!E$3,VLOOKUP($A47,takstblad,5,FALSE)*E47,"fejl i år"),0)</f>
        <v>0</v>
      </c>
      <c r="V47" s="215">
        <f>+IFERROR(IF(V$19=Takstblad!F$3,VLOOKUP($A47,takstblad,6,FALSE)*F47,"fejl i år"),0)</f>
        <v>0</v>
      </c>
      <c r="W47" s="215">
        <f>+IFERROR(IF(W$19=Takstblad!G$3,VLOOKUP($A47,takstblad,7,FALSE)*G47,"fejl i år"),0)</f>
        <v>0</v>
      </c>
      <c r="X47" s="215">
        <f>+IFERROR(IF(X$19=Takstblad!H$3,VLOOKUP($A47,takstblad,8,FALSE)*H47,"fejl i år"),0)</f>
        <v>0</v>
      </c>
      <c r="Y47" s="215">
        <f>+IFERROR(IF(Y$19=Takstblad!I$3,VLOOKUP($A47,takstblad,9,FALSE)*I47,"fejl i år"),0)</f>
        <v>0</v>
      </c>
      <c r="Z47" s="215">
        <f>+IFERROR(IF(Z$19=Takstblad!J$3,VLOOKUP($A47,takstblad,10,FALSE)*J47,"fejl i år"),0)</f>
        <v>0</v>
      </c>
      <c r="AA47" s="215">
        <f>+IFERROR(IF(AA$19=Takstblad!K$3,VLOOKUP($A47,takstblad,11,FALSE)*K47,"fejl i år"),0)</f>
        <v>0</v>
      </c>
      <c r="AB47" s="215">
        <f>+IFERROR(IF(AB$19=Takstblad!L$3,VLOOKUP($A47,takstblad,12,FALSE)*L47,"fejl i år"),0)</f>
        <v>0</v>
      </c>
      <c r="AC47" s="216">
        <f t="shared" si="71"/>
        <v>0</v>
      </c>
      <c r="AD47" s="221"/>
      <c r="AE47" s="217">
        <f t="shared" si="56"/>
        <v>0</v>
      </c>
      <c r="AF47" s="217">
        <f t="shared" si="57"/>
        <v>0</v>
      </c>
      <c r="AG47" s="221"/>
      <c r="AH47" s="217">
        <f t="shared" si="58"/>
        <v>0</v>
      </c>
      <c r="AI47" s="217">
        <f t="shared" si="59"/>
        <v>0</v>
      </c>
      <c r="AJ47" s="221"/>
      <c r="AK47" s="215">
        <f t="shared" si="60"/>
        <v>0</v>
      </c>
      <c r="AL47" s="215">
        <f t="shared" si="61"/>
        <v>0</v>
      </c>
      <c r="AM47" s="221"/>
      <c r="AN47" s="215">
        <f t="shared" si="62"/>
        <v>0</v>
      </c>
      <c r="AO47" s="215">
        <f t="shared" si="63"/>
        <v>0</v>
      </c>
      <c r="AP47" s="221"/>
      <c r="AQ47" s="215">
        <f t="shared" si="64"/>
        <v>0</v>
      </c>
      <c r="AR47" s="215">
        <f t="shared" si="65"/>
        <v>0</v>
      </c>
      <c r="AS47" s="221"/>
      <c r="AT47" s="215">
        <f t="shared" si="66"/>
        <v>0</v>
      </c>
      <c r="AU47" s="215">
        <f t="shared" si="67"/>
        <v>0</v>
      </c>
      <c r="AV47" s="221"/>
      <c r="AW47" s="215">
        <f t="shared" si="68"/>
        <v>0</v>
      </c>
      <c r="AX47" s="215">
        <f t="shared" si="69"/>
        <v>0</v>
      </c>
      <c r="AY47" s="221"/>
      <c r="AZ47" s="215">
        <f t="shared" si="72"/>
        <v>0</v>
      </c>
      <c r="BA47" s="215">
        <f t="shared" si="73"/>
        <v>0</v>
      </c>
      <c r="BB47" s="221"/>
      <c r="BC47" s="215">
        <f t="shared" si="74"/>
        <v>0</v>
      </c>
      <c r="BD47" s="215">
        <f t="shared" si="75"/>
        <v>0</v>
      </c>
      <c r="BE47" s="221"/>
      <c r="BF47" s="215">
        <f t="shared" si="76"/>
        <v>0</v>
      </c>
      <c r="BG47" s="215">
        <f t="shared" si="77"/>
        <v>0</v>
      </c>
      <c r="BH47" s="221"/>
      <c r="BI47" s="215">
        <f t="shared" si="78"/>
        <v>0</v>
      </c>
      <c r="BJ47" s="215">
        <f t="shared" si="79"/>
        <v>0</v>
      </c>
    </row>
    <row r="48" spans="1:62" ht="15.65" customHeight="1">
      <c r="A48" s="7" t="s">
        <v>1238</v>
      </c>
      <c r="B48" s="4" t="str">
        <f>+VLOOKUP(A48,Takstblad!$A$33:$B$54,2,FALSE)</f>
        <v/>
      </c>
      <c r="C48" s="285"/>
      <c r="D48" s="285"/>
      <c r="E48" s="285"/>
      <c r="F48" s="285"/>
      <c r="G48" s="285"/>
      <c r="H48" s="285"/>
      <c r="I48" s="285"/>
      <c r="J48" s="285"/>
      <c r="K48" s="285"/>
      <c r="L48" s="285"/>
      <c r="M48" s="19">
        <f t="shared" si="70"/>
        <v>0</v>
      </c>
      <c r="N48" s="285"/>
      <c r="O48" s="285" t="s">
        <v>113</v>
      </c>
      <c r="Q48" s="26"/>
      <c r="R48" s="21">
        <f t="shared" si="55"/>
        <v>0</v>
      </c>
      <c r="S48" s="25">
        <f>+IFERROR(IF(S$19=Takstblad!C$3,VLOOKUP($A48,takstblad,3,FALSE)*C48,"fejl i år"),0)</f>
        <v>0</v>
      </c>
      <c r="T48" s="25">
        <f>+IFERROR(IF(T$19=Takstblad!D$3,VLOOKUP($A48,takstblad,4,FALSE)*D48,"fejl i år"),0)</f>
        <v>0</v>
      </c>
      <c r="U48" s="25">
        <f>+IFERROR(IF(U$19=Takstblad!E$3,VLOOKUP($A48,takstblad,5,FALSE)*E48,"fejl i år"),0)</f>
        <v>0</v>
      </c>
      <c r="V48" s="25">
        <f>+IFERROR(IF(V$19=Takstblad!F$3,VLOOKUP($A48,takstblad,6,FALSE)*F48,"fejl i år"),0)</f>
        <v>0</v>
      </c>
      <c r="W48" s="25">
        <f>+IFERROR(IF(W$19=Takstblad!G$3,VLOOKUP($A48,takstblad,7,FALSE)*G48,"fejl i år"),0)</f>
        <v>0</v>
      </c>
      <c r="X48" s="25">
        <f>+IFERROR(IF(X$19=Takstblad!H$3,VLOOKUP($A48,takstblad,8,FALSE)*H48,"fejl i år"),0)</f>
        <v>0</v>
      </c>
      <c r="Y48" s="25">
        <f>+IFERROR(IF(Y$19=Takstblad!I$3,VLOOKUP($A48,takstblad,9,FALSE)*I48,"fejl i år"),0)</f>
        <v>0</v>
      </c>
      <c r="Z48" s="25">
        <f>+IFERROR(IF(Z$19=Takstblad!J$3,VLOOKUP($A48,takstblad,10,FALSE)*J48,"fejl i år"),0)</f>
        <v>0</v>
      </c>
      <c r="AA48" s="25">
        <f>+IFERROR(IF(AA$19=Takstblad!K$3,VLOOKUP($A48,takstblad,11,FALSE)*K48,"fejl i år"),0)</f>
        <v>0</v>
      </c>
      <c r="AB48" s="25">
        <f>+IFERROR(IF(AB$19=Takstblad!L$3,VLOOKUP($A48,takstblad,12,FALSE)*L48,"fejl i år"),0)</f>
        <v>0</v>
      </c>
      <c r="AC48" s="21">
        <f t="shared" si="71"/>
        <v>0</v>
      </c>
      <c r="AD48" s="221"/>
      <c r="AE48" s="25">
        <f t="shared" si="56"/>
        <v>0</v>
      </c>
      <c r="AF48" s="25">
        <f t="shared" si="57"/>
        <v>0</v>
      </c>
      <c r="AG48" s="221"/>
      <c r="AH48" s="25">
        <f t="shared" si="58"/>
        <v>0</v>
      </c>
      <c r="AI48" s="25">
        <f t="shared" si="59"/>
        <v>0</v>
      </c>
      <c r="AJ48" s="221"/>
      <c r="AK48" s="25">
        <f t="shared" si="60"/>
        <v>0</v>
      </c>
      <c r="AL48" s="25">
        <f t="shared" si="61"/>
        <v>0</v>
      </c>
      <c r="AM48" s="221"/>
      <c r="AN48" s="25">
        <f t="shared" si="62"/>
        <v>0</v>
      </c>
      <c r="AO48" s="25">
        <f t="shared" si="63"/>
        <v>0</v>
      </c>
      <c r="AP48" s="221"/>
      <c r="AQ48" s="25">
        <f t="shared" si="64"/>
        <v>0</v>
      </c>
      <c r="AR48" s="25">
        <f t="shared" si="65"/>
        <v>0</v>
      </c>
      <c r="AS48" s="221"/>
      <c r="AT48" s="25">
        <f t="shared" si="66"/>
        <v>0</v>
      </c>
      <c r="AU48" s="25">
        <f t="shared" si="67"/>
        <v>0</v>
      </c>
      <c r="AV48" s="221"/>
      <c r="AW48" s="25">
        <f t="shared" si="68"/>
        <v>0</v>
      </c>
      <c r="AX48" s="25">
        <f t="shared" si="69"/>
        <v>0</v>
      </c>
      <c r="AY48" s="221"/>
      <c r="AZ48" s="25">
        <f t="shared" si="72"/>
        <v>0</v>
      </c>
      <c r="BA48" s="25">
        <f t="shared" si="73"/>
        <v>0</v>
      </c>
      <c r="BB48" s="221"/>
      <c r="BC48" s="25">
        <f t="shared" si="74"/>
        <v>0</v>
      </c>
      <c r="BD48" s="25">
        <f t="shared" si="75"/>
        <v>0</v>
      </c>
      <c r="BE48" s="221"/>
      <c r="BF48" s="25">
        <f t="shared" si="76"/>
        <v>0</v>
      </c>
      <c r="BG48" s="25">
        <f t="shared" si="77"/>
        <v>0</v>
      </c>
      <c r="BH48" s="221"/>
      <c r="BI48" s="25">
        <f t="shared" si="78"/>
        <v>0</v>
      </c>
      <c r="BJ48" s="25">
        <f t="shared" si="79"/>
        <v>0</v>
      </c>
    </row>
    <row r="49" spans="1:66" ht="15.65" customHeight="1">
      <c r="A49" s="212" t="s">
        <v>1238</v>
      </c>
      <c r="B49" s="213" t="str">
        <f>+VLOOKUP(A49,Takstblad!$A$33:$B$54,2,FALSE)</f>
        <v/>
      </c>
      <c r="C49" s="285"/>
      <c r="D49" s="285"/>
      <c r="E49" s="285"/>
      <c r="F49" s="285"/>
      <c r="G49" s="285"/>
      <c r="H49" s="285"/>
      <c r="I49" s="285"/>
      <c r="J49" s="285"/>
      <c r="K49" s="285"/>
      <c r="L49" s="285"/>
      <c r="M49" s="19">
        <f t="shared" si="70"/>
        <v>0</v>
      </c>
      <c r="N49" s="285"/>
      <c r="O49" s="285" t="s">
        <v>113</v>
      </c>
      <c r="P49" s="212"/>
      <c r="Q49" s="218"/>
      <c r="R49" s="216">
        <f t="shared" si="55"/>
        <v>0</v>
      </c>
      <c r="S49" s="215">
        <f>+IFERROR(IF(S$19=Takstblad!C$3,VLOOKUP($A49,takstblad,3,FALSE)*C49,"fejl i år"),0)</f>
        <v>0</v>
      </c>
      <c r="T49" s="215">
        <f>+IFERROR(IF(T$19=Takstblad!D$3,VLOOKUP($A49,takstblad,4,FALSE)*D49,"fejl i år"),0)</f>
        <v>0</v>
      </c>
      <c r="U49" s="215">
        <f>+IFERROR(IF(U$19=Takstblad!E$3,VLOOKUP($A49,takstblad,5,FALSE)*E49,"fejl i år"),0)</f>
        <v>0</v>
      </c>
      <c r="V49" s="215">
        <f>+IFERROR(IF(V$19=Takstblad!F$3,VLOOKUP($A49,takstblad,6,FALSE)*F49,"fejl i år"),0)</f>
        <v>0</v>
      </c>
      <c r="W49" s="215">
        <f>+IFERROR(IF(W$19=Takstblad!G$3,VLOOKUP($A49,takstblad,7,FALSE)*G49,"fejl i år"),0)</f>
        <v>0</v>
      </c>
      <c r="X49" s="215">
        <f>+IFERROR(IF(X$19=Takstblad!H$3,VLOOKUP($A49,takstblad,8,FALSE)*H49,"fejl i år"),0)</f>
        <v>0</v>
      </c>
      <c r="Y49" s="215">
        <f>+IFERROR(IF(Y$19=Takstblad!I$3,VLOOKUP($A49,takstblad,9,FALSE)*I49,"fejl i år"),0)</f>
        <v>0</v>
      </c>
      <c r="Z49" s="215">
        <f>+IFERROR(IF(Z$19=Takstblad!J$3,VLOOKUP($A49,takstblad,10,FALSE)*J49,"fejl i år"),0)</f>
        <v>0</v>
      </c>
      <c r="AA49" s="215">
        <f>+IFERROR(IF(AA$19=Takstblad!K$3,VLOOKUP($A49,takstblad,11,FALSE)*K49,"fejl i år"),0)</f>
        <v>0</v>
      </c>
      <c r="AB49" s="215">
        <f>+IFERROR(IF(AB$19=Takstblad!L$3,VLOOKUP($A49,takstblad,12,FALSE)*L49,"fejl i år"),0)</f>
        <v>0</v>
      </c>
      <c r="AC49" s="216">
        <f t="shared" si="71"/>
        <v>0</v>
      </c>
      <c r="AD49" s="221"/>
      <c r="AE49" s="217">
        <f t="shared" si="56"/>
        <v>0</v>
      </c>
      <c r="AF49" s="217">
        <f t="shared" si="57"/>
        <v>0</v>
      </c>
      <c r="AG49" s="221"/>
      <c r="AH49" s="217">
        <f t="shared" si="58"/>
        <v>0</v>
      </c>
      <c r="AI49" s="217">
        <f t="shared" si="59"/>
        <v>0</v>
      </c>
      <c r="AJ49" s="221"/>
      <c r="AK49" s="215">
        <f t="shared" si="60"/>
        <v>0</v>
      </c>
      <c r="AL49" s="215">
        <f t="shared" si="61"/>
        <v>0</v>
      </c>
      <c r="AM49" s="221"/>
      <c r="AN49" s="215">
        <f t="shared" si="62"/>
        <v>0</v>
      </c>
      <c r="AO49" s="215">
        <f t="shared" si="63"/>
        <v>0</v>
      </c>
      <c r="AP49" s="221"/>
      <c r="AQ49" s="215">
        <f t="shared" si="64"/>
        <v>0</v>
      </c>
      <c r="AR49" s="215">
        <f t="shared" si="65"/>
        <v>0</v>
      </c>
      <c r="AS49" s="221"/>
      <c r="AT49" s="215">
        <f t="shared" si="66"/>
        <v>0</v>
      </c>
      <c r="AU49" s="215">
        <f t="shared" si="67"/>
        <v>0</v>
      </c>
      <c r="AV49" s="221"/>
      <c r="AW49" s="215">
        <f t="shared" si="68"/>
        <v>0</v>
      </c>
      <c r="AX49" s="215">
        <f t="shared" si="69"/>
        <v>0</v>
      </c>
      <c r="AY49" s="221"/>
      <c r="AZ49" s="215">
        <f t="shared" si="72"/>
        <v>0</v>
      </c>
      <c r="BA49" s="215">
        <f t="shared" si="73"/>
        <v>0</v>
      </c>
      <c r="BB49" s="221"/>
      <c r="BC49" s="215">
        <f t="shared" si="74"/>
        <v>0</v>
      </c>
      <c r="BD49" s="215">
        <f t="shared" si="75"/>
        <v>0</v>
      </c>
      <c r="BE49" s="221"/>
      <c r="BF49" s="215">
        <f t="shared" si="76"/>
        <v>0</v>
      </c>
      <c r="BG49" s="215">
        <f t="shared" si="77"/>
        <v>0</v>
      </c>
      <c r="BH49" s="221"/>
      <c r="BI49" s="215">
        <f t="shared" si="78"/>
        <v>0</v>
      </c>
      <c r="BJ49" s="215">
        <f t="shared" si="79"/>
        <v>0</v>
      </c>
    </row>
    <row r="50" spans="1:66" ht="15.65" customHeight="1">
      <c r="A50" s="7" t="s">
        <v>1238</v>
      </c>
      <c r="B50" s="4" t="str">
        <f>+VLOOKUP(A50,Takstblad!$A$33:$B$54,2,FALSE)</f>
        <v/>
      </c>
      <c r="C50" s="285"/>
      <c r="D50" s="285"/>
      <c r="E50" s="285"/>
      <c r="F50" s="285"/>
      <c r="G50" s="285"/>
      <c r="H50" s="285"/>
      <c r="I50" s="285"/>
      <c r="J50" s="285"/>
      <c r="K50" s="285"/>
      <c r="L50" s="285"/>
      <c r="M50" s="19">
        <f t="shared" si="70"/>
        <v>0</v>
      </c>
      <c r="N50" s="285"/>
      <c r="O50" s="285" t="s">
        <v>113</v>
      </c>
      <c r="Q50" s="26"/>
      <c r="R50" s="21">
        <f t="shared" si="55"/>
        <v>0</v>
      </c>
      <c r="S50" s="25">
        <f>+IFERROR(IF(S$19=Takstblad!C$3,VLOOKUP($A50,takstblad,3,FALSE)*C50,"fejl i år"),0)</f>
        <v>0</v>
      </c>
      <c r="T50" s="25">
        <f>+IFERROR(IF(T$19=Takstblad!D$3,VLOOKUP($A50,takstblad,4,FALSE)*D50,"fejl i år"),0)</f>
        <v>0</v>
      </c>
      <c r="U50" s="25">
        <f>+IFERROR(IF(U$19=Takstblad!E$3,VLOOKUP($A50,takstblad,5,FALSE)*E50,"fejl i år"),0)</f>
        <v>0</v>
      </c>
      <c r="V50" s="25">
        <f>+IFERROR(IF(V$19=Takstblad!F$3,VLOOKUP($A50,takstblad,6,FALSE)*F50,"fejl i år"),0)</f>
        <v>0</v>
      </c>
      <c r="W50" s="25">
        <f>+IFERROR(IF(W$19=Takstblad!G$3,VLOOKUP($A50,takstblad,7,FALSE)*G50,"fejl i år"),0)</f>
        <v>0</v>
      </c>
      <c r="X50" s="25">
        <f>+IFERROR(IF(X$19=Takstblad!H$3,VLOOKUP($A50,takstblad,8,FALSE)*H50,"fejl i år"),0)</f>
        <v>0</v>
      </c>
      <c r="Y50" s="25">
        <f>+IFERROR(IF(Y$19=Takstblad!I$3,VLOOKUP($A50,takstblad,9,FALSE)*I50,"fejl i år"),0)</f>
        <v>0</v>
      </c>
      <c r="Z50" s="25">
        <f>+IFERROR(IF(Z$19=Takstblad!J$3,VLOOKUP($A50,takstblad,10,FALSE)*J50,"fejl i år"),0)</f>
        <v>0</v>
      </c>
      <c r="AA50" s="25">
        <f>+IFERROR(IF(AA$19=Takstblad!K$3,VLOOKUP($A50,takstblad,11,FALSE)*K50,"fejl i år"),0)</f>
        <v>0</v>
      </c>
      <c r="AB50" s="25">
        <f>+IFERROR(IF(AB$19=Takstblad!L$3,VLOOKUP($A50,takstblad,12,FALSE)*L50,"fejl i år"),0)</f>
        <v>0</v>
      </c>
      <c r="AC50" s="21">
        <f t="shared" si="71"/>
        <v>0</v>
      </c>
      <c r="AD50" s="221"/>
      <c r="AE50" s="25">
        <f t="shared" si="56"/>
        <v>0</v>
      </c>
      <c r="AF50" s="25">
        <f t="shared" si="57"/>
        <v>0</v>
      </c>
      <c r="AG50" s="221"/>
      <c r="AH50" s="25">
        <f t="shared" si="58"/>
        <v>0</v>
      </c>
      <c r="AI50" s="25">
        <f t="shared" si="59"/>
        <v>0</v>
      </c>
      <c r="AJ50" s="221"/>
      <c r="AK50" s="25">
        <f t="shared" si="60"/>
        <v>0</v>
      </c>
      <c r="AL50" s="25">
        <f t="shared" si="61"/>
        <v>0</v>
      </c>
      <c r="AM50" s="221"/>
      <c r="AN50" s="25">
        <f t="shared" si="62"/>
        <v>0</v>
      </c>
      <c r="AO50" s="25">
        <f t="shared" si="63"/>
        <v>0</v>
      </c>
      <c r="AP50" s="221"/>
      <c r="AQ50" s="25">
        <f t="shared" si="64"/>
        <v>0</v>
      </c>
      <c r="AR50" s="25">
        <f t="shared" si="65"/>
        <v>0</v>
      </c>
      <c r="AS50" s="221"/>
      <c r="AT50" s="25">
        <f t="shared" si="66"/>
        <v>0</v>
      </c>
      <c r="AU50" s="25">
        <f t="shared" si="67"/>
        <v>0</v>
      </c>
      <c r="AV50" s="221"/>
      <c r="AW50" s="25">
        <f t="shared" si="68"/>
        <v>0</v>
      </c>
      <c r="AX50" s="25">
        <f t="shared" si="69"/>
        <v>0</v>
      </c>
      <c r="AY50" s="221"/>
      <c r="AZ50" s="25">
        <f t="shared" si="72"/>
        <v>0</v>
      </c>
      <c r="BA50" s="25">
        <f t="shared" si="73"/>
        <v>0</v>
      </c>
      <c r="BB50" s="221"/>
      <c r="BC50" s="25">
        <f t="shared" si="74"/>
        <v>0</v>
      </c>
      <c r="BD50" s="25">
        <f t="shared" si="75"/>
        <v>0</v>
      </c>
      <c r="BE50" s="221"/>
      <c r="BF50" s="25">
        <f t="shared" si="76"/>
        <v>0</v>
      </c>
      <c r="BG50" s="25">
        <f t="shared" si="77"/>
        <v>0</v>
      </c>
      <c r="BH50" s="221"/>
      <c r="BI50" s="25">
        <f t="shared" si="78"/>
        <v>0</v>
      </c>
      <c r="BJ50" s="25">
        <f t="shared" si="79"/>
        <v>0</v>
      </c>
    </row>
    <row r="51" spans="1:66" ht="15.65" customHeight="1">
      <c r="A51" s="212" t="s">
        <v>1238</v>
      </c>
      <c r="B51" s="213" t="str">
        <f>+VLOOKUP(A51,Takstblad!$A$33:$B$54,2,FALSE)</f>
        <v/>
      </c>
      <c r="C51" s="285"/>
      <c r="D51" s="285"/>
      <c r="E51" s="285"/>
      <c r="F51" s="285"/>
      <c r="G51" s="285"/>
      <c r="H51" s="285"/>
      <c r="I51" s="285"/>
      <c r="J51" s="285"/>
      <c r="K51" s="285"/>
      <c r="L51" s="285"/>
      <c r="M51" s="19">
        <f t="shared" si="70"/>
        <v>0</v>
      </c>
      <c r="N51" s="285"/>
      <c r="O51" s="285" t="s">
        <v>113</v>
      </c>
      <c r="P51" s="212"/>
      <c r="Q51" s="218"/>
      <c r="R51" s="216">
        <f t="shared" si="55"/>
        <v>0</v>
      </c>
      <c r="S51" s="215">
        <f>+IFERROR(IF(S$19=Takstblad!C$3,VLOOKUP($A51,takstblad,3,FALSE)*C51,"fejl i år"),0)</f>
        <v>0</v>
      </c>
      <c r="T51" s="215">
        <f>+IFERROR(IF(T$19=Takstblad!D$3,VLOOKUP($A51,takstblad,4,FALSE)*D51,"fejl i år"),0)</f>
        <v>0</v>
      </c>
      <c r="U51" s="215">
        <f>+IFERROR(IF(U$19=Takstblad!E$3,VLOOKUP($A51,takstblad,5,FALSE)*E51,"fejl i år"),0)</f>
        <v>0</v>
      </c>
      <c r="V51" s="215">
        <f>+IFERROR(IF(V$19=Takstblad!F$3,VLOOKUP($A51,takstblad,6,FALSE)*F51,"fejl i år"),0)</f>
        <v>0</v>
      </c>
      <c r="W51" s="215">
        <f>+IFERROR(IF(W$19=Takstblad!G$3,VLOOKUP($A51,takstblad,7,FALSE)*G51,"fejl i år"),0)</f>
        <v>0</v>
      </c>
      <c r="X51" s="215">
        <f>+IFERROR(IF(X$19=Takstblad!H$3,VLOOKUP($A51,takstblad,8,FALSE)*H51,"fejl i år"),0)</f>
        <v>0</v>
      </c>
      <c r="Y51" s="215">
        <f>+IFERROR(IF(Y$19=Takstblad!I$3,VLOOKUP($A51,takstblad,9,FALSE)*I51,"fejl i år"),0)</f>
        <v>0</v>
      </c>
      <c r="Z51" s="215">
        <f>+IFERROR(IF(Z$19=Takstblad!J$3,VLOOKUP($A51,takstblad,10,FALSE)*J51,"fejl i år"),0)</f>
        <v>0</v>
      </c>
      <c r="AA51" s="215">
        <f>+IFERROR(IF(AA$19=Takstblad!K$3,VLOOKUP($A51,takstblad,11,FALSE)*K51,"fejl i år"),0)</f>
        <v>0</v>
      </c>
      <c r="AB51" s="215">
        <f>+IFERROR(IF(AB$19=Takstblad!L$3,VLOOKUP($A51,takstblad,12,FALSE)*L51,"fejl i år"),0)</f>
        <v>0</v>
      </c>
      <c r="AC51" s="216">
        <f t="shared" si="71"/>
        <v>0</v>
      </c>
      <c r="AD51" s="221"/>
      <c r="AE51" s="217">
        <f t="shared" si="56"/>
        <v>0</v>
      </c>
      <c r="AF51" s="217">
        <f t="shared" si="57"/>
        <v>0</v>
      </c>
      <c r="AG51" s="221"/>
      <c r="AH51" s="217">
        <f t="shared" si="58"/>
        <v>0</v>
      </c>
      <c r="AI51" s="217">
        <f t="shared" si="59"/>
        <v>0</v>
      </c>
      <c r="AJ51" s="221"/>
      <c r="AK51" s="215">
        <f t="shared" si="60"/>
        <v>0</v>
      </c>
      <c r="AL51" s="215">
        <f t="shared" si="61"/>
        <v>0</v>
      </c>
      <c r="AM51" s="221"/>
      <c r="AN51" s="215">
        <f t="shared" si="62"/>
        <v>0</v>
      </c>
      <c r="AO51" s="215">
        <f t="shared" si="63"/>
        <v>0</v>
      </c>
      <c r="AP51" s="221"/>
      <c r="AQ51" s="215">
        <f t="shared" si="64"/>
        <v>0</v>
      </c>
      <c r="AR51" s="215">
        <f t="shared" si="65"/>
        <v>0</v>
      </c>
      <c r="AS51" s="221"/>
      <c r="AT51" s="215">
        <f t="shared" si="66"/>
        <v>0</v>
      </c>
      <c r="AU51" s="215">
        <f t="shared" si="67"/>
        <v>0</v>
      </c>
      <c r="AV51" s="221"/>
      <c r="AW51" s="215">
        <f t="shared" si="68"/>
        <v>0</v>
      </c>
      <c r="AX51" s="215">
        <f t="shared" si="69"/>
        <v>0</v>
      </c>
      <c r="AY51" s="221"/>
      <c r="AZ51" s="215">
        <f t="shared" si="72"/>
        <v>0</v>
      </c>
      <c r="BA51" s="215">
        <f t="shared" si="73"/>
        <v>0</v>
      </c>
      <c r="BB51" s="221"/>
      <c r="BC51" s="215">
        <f t="shared" si="74"/>
        <v>0</v>
      </c>
      <c r="BD51" s="215">
        <f t="shared" si="75"/>
        <v>0</v>
      </c>
      <c r="BE51" s="221"/>
      <c r="BF51" s="215">
        <f t="shared" si="76"/>
        <v>0</v>
      </c>
      <c r="BG51" s="215">
        <f t="shared" si="77"/>
        <v>0</v>
      </c>
      <c r="BH51" s="221"/>
      <c r="BI51" s="215">
        <f t="shared" si="78"/>
        <v>0</v>
      </c>
      <c r="BJ51" s="215">
        <f t="shared" si="79"/>
        <v>0</v>
      </c>
    </row>
    <row r="52" spans="1:66" ht="15.65" customHeight="1">
      <c r="A52" s="7" t="s">
        <v>1238</v>
      </c>
      <c r="B52" s="4" t="str">
        <f>+VLOOKUP(A52,Takstblad!$A$33:$B$54,2,FALSE)</f>
        <v/>
      </c>
      <c r="C52" s="285"/>
      <c r="D52" s="285"/>
      <c r="E52" s="285"/>
      <c r="F52" s="285"/>
      <c r="G52" s="285"/>
      <c r="H52" s="285"/>
      <c r="I52" s="285"/>
      <c r="J52" s="285"/>
      <c r="K52" s="285"/>
      <c r="L52" s="285"/>
      <c r="M52" s="19">
        <f t="shared" si="70"/>
        <v>0</v>
      </c>
      <c r="N52" s="285"/>
      <c r="O52" s="285" t="s">
        <v>113</v>
      </c>
      <c r="Q52" s="23"/>
      <c r="R52" s="21">
        <f t="shared" si="55"/>
        <v>0</v>
      </c>
      <c r="S52" s="25">
        <f>+IFERROR(IF(S$19=Takstblad!C$3,VLOOKUP($A52,takstblad,3,FALSE)*C52,"fejl i år"),0)</f>
        <v>0</v>
      </c>
      <c r="T52" s="25">
        <f>+IFERROR(IF(T$19=Takstblad!D$3,VLOOKUP($A52,takstblad,4,FALSE)*D52,"fejl i år"),0)</f>
        <v>0</v>
      </c>
      <c r="U52" s="25">
        <f>+IFERROR(IF(U$19=Takstblad!E$3,VLOOKUP($A52,takstblad,5,FALSE)*E52,"fejl i år"),0)</f>
        <v>0</v>
      </c>
      <c r="V52" s="25">
        <f>+IFERROR(IF(V$19=Takstblad!F$3,VLOOKUP($A52,takstblad,6,FALSE)*F52,"fejl i år"),0)</f>
        <v>0</v>
      </c>
      <c r="W52" s="25">
        <f>+IFERROR(IF(W$19=Takstblad!G$3,VLOOKUP($A52,takstblad,7,FALSE)*G52,"fejl i år"),0)</f>
        <v>0</v>
      </c>
      <c r="X52" s="25">
        <f>+IFERROR(IF(X$19=Takstblad!H$3,VLOOKUP($A52,takstblad,8,FALSE)*H52,"fejl i år"),0)</f>
        <v>0</v>
      </c>
      <c r="Y52" s="25">
        <f>+IFERROR(IF(Y$19=Takstblad!I$3,VLOOKUP($A52,takstblad,9,FALSE)*I52,"fejl i år"),0)</f>
        <v>0</v>
      </c>
      <c r="Z52" s="25">
        <f>+IFERROR(IF(Z$19=Takstblad!J$3,VLOOKUP($A52,takstblad,10,FALSE)*J52,"fejl i år"),0)</f>
        <v>0</v>
      </c>
      <c r="AA52" s="25">
        <f>+IFERROR(IF(AA$19=Takstblad!K$3,VLOOKUP($A52,takstblad,11,FALSE)*K52,"fejl i år"),0)</f>
        <v>0</v>
      </c>
      <c r="AB52" s="25">
        <f>+IFERROR(IF(AB$19=Takstblad!L$3,VLOOKUP($A52,takstblad,12,FALSE)*L52,"fejl i år"),0)</f>
        <v>0</v>
      </c>
      <c r="AC52" s="21">
        <f t="shared" si="71"/>
        <v>0</v>
      </c>
      <c r="AD52" s="221"/>
      <c r="AE52" s="25">
        <f t="shared" si="56"/>
        <v>0</v>
      </c>
      <c r="AF52" s="25">
        <f t="shared" si="57"/>
        <v>0</v>
      </c>
      <c r="AG52" s="221"/>
      <c r="AH52" s="25">
        <f t="shared" si="58"/>
        <v>0</v>
      </c>
      <c r="AI52" s="25">
        <f t="shared" si="59"/>
        <v>0</v>
      </c>
      <c r="AJ52" s="221"/>
      <c r="AK52" s="25">
        <f t="shared" si="60"/>
        <v>0</v>
      </c>
      <c r="AL52" s="25">
        <f t="shared" si="61"/>
        <v>0</v>
      </c>
      <c r="AM52" s="221"/>
      <c r="AN52" s="25">
        <f t="shared" si="62"/>
        <v>0</v>
      </c>
      <c r="AO52" s="25">
        <f t="shared" si="63"/>
        <v>0</v>
      </c>
      <c r="AP52" s="221"/>
      <c r="AQ52" s="25">
        <f t="shared" si="64"/>
        <v>0</v>
      </c>
      <c r="AR52" s="25">
        <f t="shared" si="65"/>
        <v>0</v>
      </c>
      <c r="AS52" s="221"/>
      <c r="AT52" s="25">
        <f t="shared" si="66"/>
        <v>0</v>
      </c>
      <c r="AU52" s="25">
        <f t="shared" si="67"/>
        <v>0</v>
      </c>
      <c r="AV52" s="221"/>
      <c r="AW52" s="25">
        <f t="shared" si="68"/>
        <v>0</v>
      </c>
      <c r="AX52" s="25">
        <f t="shared" si="69"/>
        <v>0</v>
      </c>
      <c r="AY52" s="221"/>
      <c r="AZ52" s="25">
        <f t="shared" si="72"/>
        <v>0</v>
      </c>
      <c r="BA52" s="25">
        <f t="shared" si="73"/>
        <v>0</v>
      </c>
      <c r="BB52" s="221"/>
      <c r="BC52" s="25">
        <f t="shared" si="74"/>
        <v>0</v>
      </c>
      <c r="BD52" s="25">
        <f t="shared" si="75"/>
        <v>0</v>
      </c>
      <c r="BE52" s="221"/>
      <c r="BF52" s="25">
        <f t="shared" si="76"/>
        <v>0</v>
      </c>
      <c r="BG52" s="25">
        <f t="shared" si="77"/>
        <v>0</v>
      </c>
      <c r="BH52" s="221"/>
      <c r="BI52" s="25">
        <f t="shared" si="78"/>
        <v>0</v>
      </c>
      <c r="BJ52" s="25">
        <f t="shared" si="79"/>
        <v>0</v>
      </c>
    </row>
    <row r="53" spans="1:66" s="11" customFormat="1" ht="15.65" customHeight="1">
      <c r="A53" s="5" t="s">
        <v>231</v>
      </c>
      <c r="B53" s="4"/>
      <c r="C53" s="157">
        <f>IF($C$12=2,0,IF(OR($G$7="Salary and operations",$G$7="Salary"),S53/Takstblad!C57,0))</f>
        <v>0</v>
      </c>
      <c r="D53" s="157">
        <f>IF($C$12=2,0,IF(OR($G$7="Salary and operations",$G$7="Salary"),T53/Takstblad!D57,0))</f>
        <v>0</v>
      </c>
      <c r="E53" s="157">
        <f>IF($C$12=2,0,IF(OR($G$7="Salary and operations",$G$7="Salary"),U53/Takstblad!E57,0))</f>
        <v>0</v>
      </c>
      <c r="F53" s="157">
        <f>IF($C$12=2,0,IF(OR($G$7="Salary and operations",$G$7="Salary"),V53/Takstblad!F57,0))</f>
        <v>0</v>
      </c>
      <c r="G53" s="157">
        <f>IF($C$12=2,0,IF(OR($G$7="Salary and operations",$G$7="Salary"),W53/Takstblad!G57,0))</f>
        <v>0</v>
      </c>
      <c r="H53" s="157">
        <f>IF($C$12=2,0,IF(OR($G$7="Salary and operations",$G$7="Salary"),X53/Takstblad!H57,0))</f>
        <v>0</v>
      </c>
      <c r="I53" s="157">
        <f>IF($C$12=2,0,IF(OR($G$7="Salary and operations",$G$7="Salary"),Y53/Takstblad!I57,0))</f>
        <v>0</v>
      </c>
      <c r="J53" s="157">
        <f>IF($C$12=2,0,IF(OR($G$7="Salary and operations",$G$7="Salary"),Z53/Takstblad!J57,0))</f>
        <v>0</v>
      </c>
      <c r="K53" s="157">
        <f>IF($C$12=2,0,IF(OR($G$7="Salary and operations",$G$7="Salary"),AA53/Takstblad!K57,0))</f>
        <v>0</v>
      </c>
      <c r="L53" s="157">
        <f>IF($C$12=2,0,IF(OR($G$7="Salary and operations",$G$7="Salary"),AB53/Takstblad!L57,0))</f>
        <v>0</v>
      </c>
      <c r="M53" s="65">
        <f t="shared" si="70"/>
        <v>0</v>
      </c>
      <c r="N53" s="20"/>
      <c r="O53" s="159" t="s">
        <v>152</v>
      </c>
      <c r="Q53" s="27"/>
      <c r="R53" s="21">
        <f>+AC53</f>
        <v>0</v>
      </c>
      <c r="S53" s="25">
        <f>IFERROR(IF($C$12=2,0,IF(OR($G$7="Salary and operations",$G$7="Salary"),VLOOKUP($C$2,Takstblad!$B$58:$L$70,2,FALSE)*C$58,0)),0)</f>
        <v>0</v>
      </c>
      <c r="T53" s="25">
        <f>IFERROR(IF($C$12=2,0,IF(OR($G$7="Salary and operations",$G$7="Salary"),VLOOKUP($C$2,Takstblad!$B$58:$L$70,3,FALSE)*D$58,0)),0)</f>
        <v>0</v>
      </c>
      <c r="U53" s="25">
        <f>IFERROR(IF($C$12=2,0,IF(OR($G$7="Salary and operations",$G$7="Salary"),VLOOKUP($C$2,Takstblad!$B$58:$L$70,4,FALSE)*E$58,0)),0)</f>
        <v>0</v>
      </c>
      <c r="V53" s="25">
        <f>IFERROR(IF($C$12=2,0,IF(OR($G$7="Salary and operations",$G$7="Salary"),VLOOKUP($C$2,Takstblad!$B$58:$L$70,5,FALSE)*F$58,0)),0)</f>
        <v>0</v>
      </c>
      <c r="W53" s="25">
        <f>IFERROR(IF($C$12=2,0,IF(OR($G$7="Salary and operations",$G$7="Salary"),VLOOKUP($C$2,Takstblad!$B$58:$L$70,6,FALSE)*G$58,0)),0)</f>
        <v>0</v>
      </c>
      <c r="X53" s="25">
        <f>IFERROR(IF($C$12=2,0,IF(OR($G$7="Salary and operations",$G$7="Salary"),VLOOKUP($C$2,Takstblad!$B$58:$L$70,7,FALSE)*H$58,0)),0)</f>
        <v>0</v>
      </c>
      <c r="Y53" s="25">
        <f>IFERROR(IF($C$12=2,0,IF(OR($G$7="salary and operations",$G$7="Salary"),VLOOKUP($C$2,Takstblad!$B$58:$L$70,8,FALSE)*I$58,0)),0)</f>
        <v>0</v>
      </c>
      <c r="Z53" s="25">
        <f>IFERROR(IF($C$12=2,0,IF(OR($G$7="salary and operations",$G$7="Salary"),VLOOKUP($C$2,Takstblad!$B$58:$L$70,9,FALSE)*J$58,0)),0)</f>
        <v>0</v>
      </c>
      <c r="AA53" s="25">
        <f>IFERROR(IF($C$12=2,0,IF(OR($G$7="salary and operations",$G$7="Salary"),VLOOKUP($C$2,Takstblad!$B$58:$L$70,10,FALSE)*K$58,0)),0)</f>
        <v>0</v>
      </c>
      <c r="AB53" s="25">
        <f>IFERROR(IF($C$12=2,0,IF(OR($G$7="salary and operations",$G$7="Salary"),VLOOKUP($C$2,Takstblad!$B$58:$L$70,11,FALSE)*L$58,0)),0)</f>
        <v>0</v>
      </c>
      <c r="AC53" s="21">
        <f t="shared" si="71"/>
        <v>0</v>
      </c>
      <c r="AD53" s="221"/>
      <c r="AE53" s="25">
        <f>+M53*($C$7/12)</f>
        <v>0</v>
      </c>
      <c r="AF53" s="25">
        <f t="shared" si="57"/>
        <v>0</v>
      </c>
      <c r="AG53" s="7"/>
      <c r="AH53" s="25">
        <f t="shared" si="58"/>
        <v>0</v>
      </c>
      <c r="AI53" s="25">
        <f t="shared" si="59"/>
        <v>0</v>
      </c>
      <c r="AJ53" s="7"/>
      <c r="AK53" s="25">
        <f t="shared" si="60"/>
        <v>0</v>
      </c>
      <c r="AL53" s="25">
        <f t="shared" si="61"/>
        <v>0</v>
      </c>
      <c r="AM53" s="221"/>
      <c r="AN53" s="25">
        <f t="shared" si="62"/>
        <v>0</v>
      </c>
      <c r="AO53" s="25">
        <f t="shared" si="63"/>
        <v>0</v>
      </c>
      <c r="AP53" s="221"/>
      <c r="AQ53" s="25">
        <f t="shared" si="64"/>
        <v>0</v>
      </c>
      <c r="AR53" s="25">
        <f t="shared" si="65"/>
        <v>0</v>
      </c>
      <c r="AS53" s="221"/>
      <c r="AT53" s="25">
        <f t="shared" si="66"/>
        <v>0</v>
      </c>
      <c r="AU53" s="25">
        <f t="shared" si="67"/>
        <v>0</v>
      </c>
      <c r="AV53" s="221"/>
      <c r="AW53" s="25">
        <f t="shared" si="68"/>
        <v>0</v>
      </c>
      <c r="AX53" s="25">
        <f t="shared" si="69"/>
        <v>0</v>
      </c>
      <c r="AY53" s="7"/>
      <c r="AZ53" s="25">
        <f t="shared" si="72"/>
        <v>0</v>
      </c>
      <c r="BA53" s="25">
        <f t="shared" si="73"/>
        <v>0</v>
      </c>
      <c r="BB53" s="7"/>
      <c r="BC53" s="25">
        <f t="shared" si="74"/>
        <v>0</v>
      </c>
      <c r="BD53" s="25">
        <f t="shared" si="75"/>
        <v>0</v>
      </c>
      <c r="BE53" s="7"/>
      <c r="BF53" s="25">
        <f t="shared" si="76"/>
        <v>0</v>
      </c>
      <c r="BG53" s="25">
        <f t="shared" si="77"/>
        <v>0</v>
      </c>
      <c r="BH53" s="7"/>
      <c r="BI53" s="25">
        <f t="shared" si="78"/>
        <v>0</v>
      </c>
      <c r="BJ53" s="25">
        <f t="shared" si="79"/>
        <v>0</v>
      </c>
      <c r="BK53" s="7"/>
      <c r="BL53" s="7"/>
      <c r="BM53" s="7"/>
      <c r="BN53" s="7"/>
    </row>
    <row r="54" spans="1:66" s="11" customFormat="1" ht="15.65" customHeight="1">
      <c r="A54" s="5" t="s">
        <v>232</v>
      </c>
      <c r="B54" s="4"/>
      <c r="C54" s="157">
        <f>IF($C$12=2,0,IF(OR($G$7="Salary and operations",$G$7="Salary"),S54/Takstblad!C57,0))</f>
        <v>0</v>
      </c>
      <c r="D54" s="157">
        <f>IF($C$12=2,0,IF(OR($G$7="Salary and operations",$G$7="Salary"),T54/Takstblad!D57,0))</f>
        <v>0</v>
      </c>
      <c r="E54" s="157">
        <f>IF($C$12=2,0,IF(OR($G$7="Salary and operations",$G$7="Salary"),U54/Takstblad!E57,0))</f>
        <v>0</v>
      </c>
      <c r="F54" s="157">
        <f>IF($C$12=2,0,IF(OR($G$7="Salary and operations",$G$7="Salary"),V54/Takstblad!F57,0))</f>
        <v>0</v>
      </c>
      <c r="G54" s="157">
        <f>IF($C$12=2,0,IF(OR($G$7="Salary and operations",$G$7="Salary"),W54/Takstblad!G57,0))</f>
        <v>0</v>
      </c>
      <c r="H54" s="157">
        <f>IF($C$12=2,0,IF(OR($G$7="Salary and operations",$G$7="Salary"),X54/Takstblad!H57,0))</f>
        <v>0</v>
      </c>
      <c r="I54" s="157">
        <f>IF($C$12=2,0,IF(OR($G$7="Salary and operations",$G$7="Salary"),Y54/Takstblad!I57,0))</f>
        <v>0</v>
      </c>
      <c r="J54" s="157">
        <f>IF($C$12=2,0,IF(OR($G$7="Salary and operations",$G$7="Salary"),Z54/Takstblad!J57,0))</f>
        <v>0</v>
      </c>
      <c r="K54" s="157">
        <f>IF($C$12=2,0,IF(OR($G$7="Salary and operations",$G$7="Salary"),AA54/Takstblad!K57,0))</f>
        <v>0</v>
      </c>
      <c r="L54" s="157">
        <f>IF($C$12=2,0,IF(OR($G$7="Salary and operations",$G$7="Salary"),AB54/Takstblad!L57,0))</f>
        <v>0</v>
      </c>
      <c r="M54" s="65">
        <f t="shared" si="70"/>
        <v>0</v>
      </c>
      <c r="N54" s="94"/>
      <c r="O54" s="159" t="s">
        <v>112</v>
      </c>
      <c r="Q54" s="27"/>
      <c r="R54" s="21">
        <f t="shared" si="55"/>
        <v>0</v>
      </c>
      <c r="S54" s="25">
        <f>IFERROR(IF($C$12=2,0,IF(OR($G$7="Salary and operations",$G$7="Salary"),VLOOKUP($C$2,Takstblad!$B$58:$L$70,2,FALSE)*C$59,0)),0)</f>
        <v>0</v>
      </c>
      <c r="T54" s="25">
        <f>IFERROR(IF($C$12=2,0,IF(OR($G$7="Salary and operations",$G$7="Salary"),VLOOKUP($C$2,Takstblad!$B$58:$L$70,3,FALSE)*D$59,0)),0)</f>
        <v>0</v>
      </c>
      <c r="U54" s="25">
        <f>IFERROR(IF($C$12=2,0,IF(OR($G$7="Salary and operations",$G$7="Salary"),VLOOKUP($C$2,Takstblad!$B$58:$L$70,4,FALSE)*E$59,0)),0)</f>
        <v>0</v>
      </c>
      <c r="V54" s="25">
        <f>IFERROR(IF($C$12=2,0,IF(OR($G$7="Salary and operations",$G$7="Salary"),VLOOKUP($C$2,Takstblad!$B$58:$L$70,5,FALSE)*F$59,0)),0)</f>
        <v>0</v>
      </c>
      <c r="W54" s="25">
        <f>IFERROR(IF($C$12=2,0,IF(OR($G$7="Salary and operations",$G$7="Salary"),VLOOKUP($C$2,Takstblad!$B$58:$L$70,6,FALSE)*G$59,0)),0)</f>
        <v>0</v>
      </c>
      <c r="X54" s="25">
        <f>IFERROR(IF($C$12=2,0,IF(OR($G$7="Salary and operations",$G$7="Salary"),VLOOKUP($C$2,Takstblad!$B$58:$L$70,7,FALSE)*H$59,0)),0)</f>
        <v>0</v>
      </c>
      <c r="Y54" s="25">
        <f>IFERROR(IF($C$12=2,0,IF(OR($G$7="salary and operations",$G$7="Salary"),VLOOKUP($C$2,Takstblad!$B$58:$L$70,8,FALSE)*I$59,0)),0)</f>
        <v>0</v>
      </c>
      <c r="Z54" s="25">
        <f>IFERROR(IF($C$12=2,0,IF(OR($G$7="salary and operations",$G$7="Salary"),VLOOKUP($C$2,Takstblad!$B$58:$L$70,9,FALSE)*J$59,0)),0)</f>
        <v>0</v>
      </c>
      <c r="AA54" s="25">
        <f>IFERROR(IF($C$12=2,0,IF(OR($G$7="salary and operations",$G$7="Salary"),VLOOKUP($C$2,Takstblad!$B$58:$L$70,10,FALSE)*K$59,0)),0)</f>
        <v>0</v>
      </c>
      <c r="AB54" s="25">
        <f>IFERROR(IF($C$12=2,0,IF(OR($G$7="salary and operations",$G$7="Salary"),VLOOKUP($C$2,Takstblad!$B$58:$L$70,11,FALSE)*L$59,0)),0)</f>
        <v>0</v>
      </c>
      <c r="AC54" s="21">
        <f t="shared" si="71"/>
        <v>0</v>
      </c>
      <c r="AD54" s="7"/>
      <c r="AE54" s="25">
        <f>+M54*($C$7/12)</f>
        <v>0</v>
      </c>
      <c r="AF54" s="25">
        <f>IFERROR(AC54/AE54,0)</f>
        <v>0</v>
      </c>
      <c r="AG54" s="7"/>
      <c r="AH54" s="25">
        <f>+C54*($C$7/12)</f>
        <v>0</v>
      </c>
      <c r="AI54" s="25">
        <f>IFERROR(S54/AH54,0)</f>
        <v>0</v>
      </c>
      <c r="AJ54" s="7"/>
      <c r="AK54" s="25">
        <f>+D54*($C$7/12)</f>
        <v>0</v>
      </c>
      <c r="AL54" s="25">
        <f>IFERROR(T54/AK54,0)</f>
        <v>0</v>
      </c>
      <c r="AM54" s="7"/>
      <c r="AN54" s="25">
        <f>+E54*($C$7/12)</f>
        <v>0</v>
      </c>
      <c r="AO54" s="25">
        <f>IFERROR(U54/AN54,0)</f>
        <v>0</v>
      </c>
      <c r="AP54" s="221"/>
      <c r="AQ54" s="25">
        <f>+F54*($C$7/12)</f>
        <v>0</v>
      </c>
      <c r="AR54" s="25">
        <f>IFERROR(V54/AQ54,0)</f>
        <v>0</v>
      </c>
      <c r="AS54" s="7"/>
      <c r="AT54" s="25">
        <f>+G54*($C$7/12)</f>
        <v>0</v>
      </c>
      <c r="AU54" s="25">
        <f>IFERROR(W54/AT54,0)</f>
        <v>0</v>
      </c>
      <c r="AV54" s="7"/>
      <c r="AW54" s="25">
        <f>+H54*($C$7/12)</f>
        <v>0</v>
      </c>
      <c r="AX54" s="25">
        <f>IFERROR(X54/AW54,0)</f>
        <v>0</v>
      </c>
      <c r="AY54" s="7"/>
      <c r="AZ54" s="25">
        <f>+I54*($C$7/12)</f>
        <v>0</v>
      </c>
      <c r="BA54" s="25">
        <f>IFERROR(Y54/AZ54,0)</f>
        <v>0</v>
      </c>
      <c r="BB54" s="7"/>
      <c r="BC54" s="25">
        <f>+J54*($C$7/12)</f>
        <v>0</v>
      </c>
      <c r="BD54" s="25">
        <f>IFERROR(Z54/BC54,0)</f>
        <v>0</v>
      </c>
      <c r="BE54" s="7"/>
      <c r="BF54" s="25">
        <f t="shared" si="76"/>
        <v>0</v>
      </c>
      <c r="BG54" s="25">
        <f t="shared" si="77"/>
        <v>0</v>
      </c>
      <c r="BH54" s="7"/>
      <c r="BI54" s="25">
        <f t="shared" si="78"/>
        <v>0</v>
      </c>
      <c r="BJ54" s="25">
        <f t="shared" si="79"/>
        <v>0</v>
      </c>
      <c r="BK54" s="7"/>
      <c r="BL54" s="7"/>
      <c r="BM54" s="7"/>
      <c r="BN54" s="7"/>
    </row>
    <row r="55" spans="1:66" ht="15.65" customHeight="1" thickBot="1">
      <c r="A55" s="5" t="s">
        <v>719</v>
      </c>
      <c r="B55" s="4"/>
      <c r="C55" s="160">
        <f>IF($C$10="Yes",((SUMIFS(C$20:C$29,$O$20:$O$29,Lister!$D$29,$A$20:$A$29,Takstblad!$A$18)+SUMIFS(C$20:C$29,$O$20:$O$29,Lister!$D$29,$A$20:$A$29,Takstblad!$A$19)+SUMIFS(C$20:C$29,$O$20:$O$29,Lister!$D$29,$A$20:$A$29,Takstblad!$A$20)+SUMIFS(C$20:C$29,$O$20:$O$29,Lister!$D$29,$A$20:$A$29,Takstblad!$A$21)+SUMIFS(C$20:C$29,$O$20:$O$29,Lister!$D$29,$A$20:$A$29,Takstblad!$A$22)+SUMIFS(C$20:C$29,$O$20:$O$29,Lister!$D$29,$A$20:$A$29,Takstblad!$A$23)+SUMIFS(C$20:C$29,$O$20:$O$29,Lister!$D$30,$A$20:$A$29,Takstblad!$A$18)+SUMIFS(C$20:C$29,$O$20:$O$29,Lister!$D$30,$A$20:$A$29,Takstblad!$A$19)+SUMIFS(C$20:C$29,$O$20:$O$29,Lister!$D$30,$A$20:$A$29,Takstblad!$A$20)+SUMIFS(C$20:C$29,$O$20:$O$29,Lister!$D$30,$A$20:$A$29,Takstblad!$A$21)+SUMIFS(C$20:C$29,$O$20:$O$29,Lister!$D$30,$A$20:$A$29,Takstblad!$A$22)+SUMIFS(C$20:C$29,$O$20:$O$29,Lister!$D$30,$A$20:$A$29,Takstblad!$A$23))/12)*0.5+((+SUMIF($O$43:$O$52,Lister!$D$29,C$43:C$52)-SUMIFS(C$43:C$52,$O$43:$O$52,Lister!$D$29,$A$43:$A$52,Takstblad!$A$34)-SUMIFS(C$43:C$52,$O$43:$O$52,Lister!$D$29,$A$43:$A$52,Takstblad!$A$36)-SUMIFS(C$43:C$52,$O$43:$O$52,Lister!$D$29,$A$43:$A$52,Takstblad!$A$43)-SUMIFS(C$43:C$52,$O$43:$O$52,Lister!$D$29,$A$43:$A$52,Takstblad!$A$44)+SUMIF($O$43:$O$52,Lister!$D$30,C$43:C$52)-SUMIFS(C$43:C$52,$O$43:$O$52,Lister!$D$30,$A$43:$A$52,Takstblad!$A$34)-SUMIFS(C$43:C$52,$O$43:$O$52,Lister!$D$30,$A$43:$A$52,Takstblad!$A$36)-SUMIFS(C$43:C$52,$O$43:$O$52,Lister!$D$30,$A$43:$A$52,Takstblad!$A$43)-SUMIFS(C$43:C$52,$O$43:$O$52,Lister!$D$30,$A$43:$A$52,Takstblad!$A$44))*0.3),0)</f>
        <v>0</v>
      </c>
      <c r="D55" s="160">
        <f>IF($C$10="Yes",((SUMIFS(D$20:D$29,$O$20:$O$29,Lister!$D$29,$A$20:$A$29,Takstblad!$A$18)+SUMIFS(D$20:D$29,$O$20:$O$29,Lister!$D$29,$A$20:$A$29,Takstblad!$A$19)+SUMIFS(D$20:D$29,$O$20:$O$29,Lister!$D$29,$A$20:$A$29,Takstblad!$A$20)+SUMIFS(D$20:D$29,$O$20:$O$29,Lister!$D$29,$A$20:$A$29,Takstblad!$A$21)+SUMIFS(D$20:D$29,$O$20:$O$29,Lister!$D$29,$A$20:$A$29,Takstblad!$A$22)+SUMIFS(D$20:D$29,$O$20:$O$29,Lister!$D$29,$A$20:$A$29,Takstblad!$A$23)+SUMIFS(D$20:D$29,$O$20:$O$29,Lister!$D$30,$A$20:$A$29,Takstblad!$A$18)+SUMIFS(D$20:D$29,$O$20:$O$29,Lister!$D$30,$A$20:$A$29,Takstblad!$A$19)+SUMIFS(D$20:D$29,$O$20:$O$29,Lister!$D$30,$A$20:$A$29,Takstblad!$A$20)+SUMIFS(D$20:D$29,$O$20:$O$29,Lister!$D$30,$A$20:$A$29,Takstblad!$A$21)+SUMIFS(D$20:D$29,$O$20:$O$29,Lister!$D$30,$A$20:$A$29,Takstblad!$A$22)+SUMIFS(D$20:D$29,$O$20:$O$29,Lister!$D$30,$A$20:$A$29,Takstblad!$A$23))/12)*0.5+((+SUMIF($O$43:$O$52,Lister!$D$29,D$43:D$52)-SUMIFS(D$43:D$52,$O$43:$O$52,Lister!$D$29,$A$43:$A$52,Takstblad!$A$34)-SUMIFS(D$43:D$52,$O$43:$O$52,Lister!$D$29,$A$43:$A$52,Takstblad!$A$36)-SUMIFS(D$43:D$52,$O$43:$O$52,Lister!$D$29,$A$43:$A$52,Takstblad!$A$43)-SUMIFS(D$43:D$52,$O$43:$O$52,Lister!$D$29,$A$43:$A$52,Takstblad!$A$44)+SUMIF($O$43:$O$52,Lister!$D$30,D$43:D$52)-SUMIFS(D$43:D$52,$O$43:$O$52,Lister!$D$30,$A$43:$A$52,Takstblad!$A$34)-SUMIFS(D$43:D$52,$O$43:$O$52,Lister!$D$30,$A$43:$A$52,Takstblad!$A$36)-SUMIFS(D$43:D$52,$O$43:$O$52,Lister!$D$30,$A$43:$A$52,Takstblad!$A$43)-SUMIFS(D$43:D$52,$O$43:$O$52,Lister!$D$30,$A$43:$A$52,Takstblad!$A$44))*0.3),0)</f>
        <v>0</v>
      </c>
      <c r="E55" s="160">
        <f>IF($C$10="Yes",((SUMIFS(E$20:E$29,$O$20:$O$29,Lister!$D$29,$A$20:$A$29,Takstblad!$A$18)+SUMIFS(E$20:E$29,$O$20:$O$29,Lister!$D$29,$A$20:$A$29,Takstblad!$A$19)+SUMIFS(E$20:E$29,$O$20:$O$29,Lister!$D$29,$A$20:$A$29,Takstblad!$A$20)+SUMIFS(E$20:E$29,$O$20:$O$29,Lister!$D$29,$A$20:$A$29,Takstblad!$A$21)+SUMIFS(E$20:E$29,$O$20:$O$29,Lister!$D$29,$A$20:$A$29,Takstblad!$A$22)+SUMIFS(E$20:E$29,$O$20:$O$29,Lister!$D$29,$A$20:$A$29,Takstblad!$A$23)+SUMIFS(E$20:E$29,$O$20:$O$29,Lister!$D$30,$A$20:$A$29,Takstblad!$A$18)+SUMIFS(E$20:E$29,$O$20:$O$29,Lister!$D$30,$A$20:$A$29,Takstblad!$A$19)+SUMIFS(E$20:E$29,$O$20:$O$29,Lister!$D$30,$A$20:$A$29,Takstblad!$A$20)+SUMIFS(E$20:E$29,$O$20:$O$29,Lister!$D$30,$A$20:$A$29,Takstblad!$A$21)+SUMIFS(E$20:E$29,$O$20:$O$29,Lister!$D$30,$A$20:$A$29,Takstblad!$A$22)+SUMIFS(E$20:E$29,$O$20:$O$29,Lister!$D$30,$A$20:$A$29,Takstblad!$A$23))/12)*0.5+((+SUMIF($O$43:$O$52,Lister!$D$29,E$43:E$52)-SUMIFS(E$43:E$52,$O$43:$O$52,Lister!$D$29,$A$43:$A$52,Takstblad!$A$34)-SUMIFS(E$43:E$52,$O$43:$O$52,Lister!$D$29,$A$43:$A$52,Takstblad!$A$36)-SUMIFS(E$43:E$52,$O$43:$O$52,Lister!$D$29,$A$43:$A$52,Takstblad!$A$43)-SUMIFS(E$43:E$52,$O$43:$O$52,Lister!$D$29,$A$43:$A$52,Takstblad!$A$44)+SUMIF($O$43:$O$52,Lister!$D$30,E$43:E$52)-SUMIFS(E$43:E$52,$O$43:$O$52,Lister!$D$30,$A$43:$A$52,Takstblad!$A$34)-SUMIFS(E$43:E$52,$O$43:$O$52,Lister!$D$30,$A$43:$A$52,Takstblad!$A$36)-SUMIFS(E$43:E$52,$O$43:$O$52,Lister!$D$30,$A$43:$A$52,Takstblad!$A$43)-SUMIFS(E$43:E$52,$O$43:$O$52,Lister!$D$30,$A$43:$A$52,Takstblad!$A$44))*0.3),0)</f>
        <v>0</v>
      </c>
      <c r="F55" s="160">
        <f>IF($C$10="Yes",((SUMIFS(F$20:F$29,$O$20:$O$29,Lister!$D$29,$A$20:$A$29,Takstblad!$A$18)+SUMIFS(F$20:F$29,$O$20:$O$29,Lister!$D$29,$A$20:$A$29,Takstblad!$A$19)+SUMIFS(F$20:F$29,$O$20:$O$29,Lister!$D$29,$A$20:$A$29,Takstblad!$A$20)+SUMIFS(F$20:F$29,$O$20:$O$29,Lister!$D$29,$A$20:$A$29,Takstblad!$A$21)+SUMIFS(F$20:F$29,$O$20:$O$29,Lister!$D$29,$A$20:$A$29,Takstblad!$A$22)+SUMIFS(F$20:F$29,$O$20:$O$29,Lister!$D$29,$A$20:$A$29,Takstblad!$A$23)+SUMIFS(F$20:F$29,$O$20:$O$29,Lister!$D$30,$A$20:$A$29,Takstblad!$A$18)+SUMIFS(F$20:F$29,$O$20:$O$29,Lister!$D$30,$A$20:$A$29,Takstblad!$A$19)+SUMIFS(F$20:F$29,$O$20:$O$29,Lister!$D$30,$A$20:$A$29,Takstblad!$A$20)+SUMIFS(F$20:F$29,$O$20:$O$29,Lister!$D$30,$A$20:$A$29,Takstblad!$A$21)+SUMIFS(F$20:F$29,$O$20:$O$29,Lister!$D$30,$A$20:$A$29,Takstblad!$A$22)+SUMIFS(F$20:F$29,$O$20:$O$29,Lister!$D$30,$A$20:$A$29,Takstblad!$A$23))/12)*0.5+((+SUMIF($O$43:$O$52,Lister!$D$29,F$43:F$52)-SUMIFS(F$43:F$52,$O$43:$O$52,Lister!$D$29,$A$43:$A$52,Takstblad!$A$34)-SUMIFS(F$43:F$52,$O$43:$O$52,Lister!$D$29,$A$43:$A$52,Takstblad!$A$36)-SUMIFS(F$43:F$52,$O$43:$O$52,Lister!$D$29,$A$43:$A$52,Takstblad!$A$43)-SUMIFS(F$43:F$52,$O$43:$O$52,Lister!$D$29,$A$43:$A$52,Takstblad!$A$44)+SUMIF($O$43:$O$52,Lister!$D$30,F$43:F$52)-SUMIFS(F$43:F$52,$O$43:$O$52,Lister!$D$30,$A$43:$A$52,Takstblad!$A$34)-SUMIFS(F$43:F$52,$O$43:$O$52,Lister!$D$30,$A$43:$A$52,Takstblad!$A$36)-SUMIFS(F$43:F$52,$O$43:$O$52,Lister!$D$30,$A$43:$A$52,Takstblad!$A$43)-SUMIFS(F$43:F$52,$O$43:$O$52,Lister!$D$30,$A$43:$A$52,Takstblad!$A$44))*0.3),0)</f>
        <v>0</v>
      </c>
      <c r="G55" s="160">
        <f>IF($C$10="Yes",((SUMIFS(G$20:G$29,$O$20:$O$29,Lister!$D$29,$A$20:$A$29,Takstblad!$A$18)+SUMIFS(G$20:G$29,$O$20:$O$29,Lister!$D$29,$A$20:$A$29,Takstblad!$A$19)+SUMIFS(G$20:G$29,$O$20:$O$29,Lister!$D$29,$A$20:$A$29,Takstblad!$A$20)+SUMIFS(G$20:G$29,$O$20:$O$29,Lister!$D$29,$A$20:$A$29,Takstblad!$A$21)+SUMIFS(G$20:G$29,$O$20:$O$29,Lister!$D$29,$A$20:$A$29,Takstblad!$A$22)+SUMIFS(G$20:G$29,$O$20:$O$29,Lister!$D$29,$A$20:$A$29,Takstblad!$A$23)+SUMIFS(G$20:G$29,$O$20:$O$29,Lister!$D$30,$A$20:$A$29,Takstblad!$A$18)+SUMIFS(G$20:G$29,$O$20:$O$29,Lister!$D$30,$A$20:$A$29,Takstblad!$A$19)+SUMIFS(G$20:G$29,$O$20:$O$29,Lister!$D$30,$A$20:$A$29,Takstblad!$A$20)+SUMIFS(G$20:G$29,$O$20:$O$29,Lister!$D$30,$A$20:$A$29,Takstblad!$A$21)+SUMIFS(G$20:G$29,$O$20:$O$29,Lister!$D$30,$A$20:$A$29,Takstblad!$A$22)+SUMIFS(G$20:G$29,$O$20:$O$29,Lister!$D$30,$A$20:$A$29,Takstblad!$A$23))/12)*0.5+((+SUMIF($O$43:$O$52,Lister!$D$29,G$43:G$52)-SUMIFS(G$43:G$52,$O$43:$O$52,Lister!$D$29,$A$43:$A$52,Takstblad!$A$34)-SUMIFS(G$43:G$52,$O$43:$O$52,Lister!$D$29,$A$43:$A$52,Takstblad!$A$36)-SUMIFS(G$43:G$52,$O$43:$O$52,Lister!$D$29,$A$43:$A$52,Takstblad!$A$43)-SUMIFS(G$43:G$52,$O$43:$O$52,Lister!$D$29,$A$43:$A$52,Takstblad!$A$44)+SUMIF($O$43:$O$52,Lister!$D$30,G$43:G$52)-SUMIFS(G$43:G$52,$O$43:$O$52,Lister!$D$30,$A$43:$A$52,Takstblad!$A$34)-SUMIFS(G$43:G$52,$O$43:$O$52,Lister!$D$30,$A$43:$A$52,Takstblad!$A$36)-SUMIFS(G$43:G$52,$O$43:$O$52,Lister!$D$30,$A$43:$A$52,Takstblad!$A$43)-SUMIFS(G$43:G$52,$O$43:$O$52,Lister!$D$30,$A$43:$A$52,Takstblad!$A$44))*0.3),0)</f>
        <v>0</v>
      </c>
      <c r="H55" s="160">
        <f>IF($C$10="Yes",((SUMIFS(H$20:H$29,$O$20:$O$29,Lister!$D$29,$A$20:$A$29,Takstblad!$A$18)+SUMIFS(H$20:H$29,$O$20:$O$29,Lister!$D$29,$A$20:$A$29,Takstblad!$A$19)+SUMIFS(H$20:H$29,$O$20:$O$29,Lister!$D$29,$A$20:$A$29,Takstblad!$A$20)+SUMIFS(H$20:H$29,$O$20:$O$29,Lister!$D$29,$A$20:$A$29,Takstblad!$A$21)+SUMIFS(H$20:H$29,$O$20:$O$29,Lister!$D$29,$A$20:$A$29,Takstblad!$A$22)+SUMIFS(H$20:H$29,$O$20:$O$29,Lister!$D$29,$A$20:$A$29,Takstblad!$A$23)+SUMIFS(H$20:H$29,$O$20:$O$29,Lister!$D$30,$A$20:$A$29,Takstblad!$A$18)+SUMIFS(H$20:H$29,$O$20:$O$29,Lister!$D$30,$A$20:$A$29,Takstblad!$A$19)+SUMIFS(H$20:H$29,$O$20:$O$29,Lister!$D$30,$A$20:$A$29,Takstblad!$A$20)+SUMIFS(H$20:H$29,$O$20:$O$29,Lister!$D$30,$A$20:$A$29,Takstblad!$A$21)+SUMIFS(H$20:H$29,$O$20:$O$29,Lister!$D$30,$A$20:$A$29,Takstblad!$A$22)+SUMIFS(H$20:H$29,$O$20:$O$29,Lister!$D$30,$A$20:$A$29,Takstblad!$A$23))/12)*0.5+((+SUMIF($O$43:$O$52,Lister!$D$29,H$43:H$52)-SUMIFS(H$43:H$52,$O$43:$O$52,Lister!$D$29,$A$43:$A$52,Takstblad!$A$34)-SUMIFS(H$43:H$52,$O$43:$O$52,Lister!$D$29,$A$43:$A$52,Takstblad!$A$36)-SUMIFS(H$43:H$52,$O$43:$O$52,Lister!$D$29,$A$43:$A$52,Takstblad!$A$43)-SUMIFS(H$43:H$52,$O$43:$O$52,Lister!$D$29,$A$43:$A$52,Takstblad!$A$44)+SUMIF($O$43:$O$52,Lister!$D$30,H$43:H$52)-SUMIFS(H$43:H$52,$O$43:$O$52,Lister!$D$30,$A$43:$A$52,Takstblad!$A$34)-SUMIFS(H$43:H$52,$O$43:$O$52,Lister!$D$30,$A$43:$A$52,Takstblad!$A$36)-SUMIFS(H$43:H$52,$O$43:$O$52,Lister!$D$30,$A$43:$A$52,Takstblad!$A$43)-SUMIFS(H$43:H$52,$O$43:$O$52,Lister!$D$30,$A$43:$A$52,Takstblad!$A$44))*0.3),0)</f>
        <v>0</v>
      </c>
      <c r="I55" s="161">
        <f>IF($C$10="Yes",((SUMIFS(I$20:I$29,$O$20:$O$29,Lister!$D$29,$A$20:$A$29,Takstblad!$A$18)+SUMIFS(I$20:I$29,$O$20:$O$29,Lister!$D$29,$A$20:$A$29,Takstblad!$A$19)+SUMIFS(I$20:I$29,$O$20:$O$29,Lister!$D$29,$A$20:$A$29,Takstblad!$A$20)+SUMIFS(I$20:I$29,$O$20:$O$29,Lister!$D$29,$A$20:$A$29,Takstblad!$A$21)+SUMIFS(I$20:I$29,$O$20:$O$29,Lister!$D$29,$A$20:$A$29,Takstblad!$A$22)+SUMIFS(I$20:I$29,$O$20:$O$29,Lister!$D$29,$A$20:$A$29,Takstblad!$A$23)+SUMIFS(I$20:I$29,$O$20:$O$29,Lister!$D$30,$A$20:$A$29,Takstblad!$A$18)+SUMIFS(I$20:I$29,$O$20:$O$29,Lister!$D$30,$A$20:$A$29,Takstblad!$A$19)+SUMIFS(I$20:I$29,$O$20:$O$29,Lister!$D$30,$A$20:$A$29,Takstblad!$A$20)+SUMIFS(I$20:I$29,$O$20:$O$29,Lister!$D$30,$A$20:$A$29,Takstblad!$A$21)+SUMIFS(I$20:I$29,$O$20:$O$29,Lister!$D$30,$A$20:$A$29,Takstblad!$A$22)+SUMIFS(I$20:I$29,$O$20:$O$29,Lister!$D$30,$A$20:$A$29,Takstblad!$A$23))/12)*0.5+((+SUMIF($O$43:$O$52,Lister!$D$29,I$43:I$52)-SUMIFS(I$43:I$52,$O$43:$O$52,Lister!$D$29,$A$43:$A$52,Takstblad!$A$34)-SUMIFS(I$43:I$52,$O$43:$O$52,Lister!$D$29,$A$43:$A$52,Takstblad!$A$36)-SUMIFS(I$43:I$52,$O$43:$O$52,Lister!$D$29,$A$43:$A$52,Takstblad!$A$43)-SUMIFS(I$43:I$52,$O$43:$O$52,Lister!$D$29,$A$43:$A$52,Takstblad!$A$44)+SUMIF($O$43:$O$52,Lister!$D$30,I$43:I$52)-SUMIFS(I$43:I$52,$O$43:$O$52,Lister!$D$30,$A$43:$A$52,Takstblad!$A$34)-SUMIFS(I$43:I$52,$O$43:$O$52,Lister!$D$30,$A$43:$A$52,Takstblad!$A$36)-SUMIFS(I$43:I$52,$O$43:$O$52,Lister!$D$30,$A$43:$A$52,Takstblad!$A$43)-SUMIFS(I$43:I$52,$O$43:$O$52,Lister!$D$30,$A$43:$A$52,Takstblad!$A$44))*0.3),0)</f>
        <v>0</v>
      </c>
      <c r="J55" s="161">
        <f>IF($C$10="Yes",((SUMIFS(J$20:J$29,$O$20:$O$29,Lister!$D$29,$A$20:$A$29,Takstblad!$A$18)+SUMIFS(J$20:J$29,$O$20:$O$29,Lister!$D$29,$A$20:$A$29,Takstblad!$A$19)+SUMIFS(J$20:J$29,$O$20:$O$29,Lister!$D$29,$A$20:$A$29,Takstblad!$A$20)+SUMIFS(J$20:J$29,$O$20:$O$29,Lister!$D$29,$A$20:$A$29,Takstblad!$A$21)+SUMIFS(J$20:J$29,$O$20:$O$29,Lister!$D$29,$A$20:$A$29,Takstblad!$A$22)+SUMIFS(J$20:J$29,$O$20:$O$29,Lister!$D$29,$A$20:$A$29,Takstblad!$A$23)+SUMIFS(J$20:J$29,$O$20:$O$29,Lister!$D$30,$A$20:$A$29,Takstblad!$A$18)+SUMIFS(J$20:J$29,$O$20:$O$29,Lister!$D$30,$A$20:$A$29,Takstblad!$A$19)+SUMIFS(J$20:J$29,$O$20:$O$29,Lister!$D$30,$A$20:$A$29,Takstblad!$A$20)+SUMIFS(J$20:J$29,$O$20:$O$29,Lister!$D$30,$A$20:$A$29,Takstblad!$A$21)+SUMIFS(J$20:J$29,$O$20:$O$29,Lister!$D$30,$A$20:$A$29,Takstblad!$A$22)+SUMIFS(J$20:J$29,$O$20:$O$29,Lister!$D$30,$A$20:$A$29,Takstblad!$A$23))/12)*0.5+((+SUMIF($O$43:$O$52,Lister!$D$29,J$43:J$52)-SUMIFS(J$43:J$52,$O$43:$O$52,Lister!$D$29,$A$43:$A$52,Takstblad!$A$34)-SUMIFS(J$43:J$52,$O$43:$O$52,Lister!$D$29,$A$43:$A$52,Takstblad!$A$36)-SUMIFS(J$43:J$52,$O$43:$O$52,Lister!$D$29,$A$43:$A$52,Takstblad!$A$43)-SUMIFS(J$43:J$52,$O$43:$O$52,Lister!$D$29,$A$43:$A$52,Takstblad!$A$44)+SUMIF($O$43:$O$52,Lister!$D$30,J$43:J$52)-SUMIFS(J$43:J$52,$O$43:$O$52,Lister!$D$30,$A$43:$A$52,Takstblad!$A$34)-SUMIFS(J$43:J$52,$O$43:$O$52,Lister!$D$30,$A$43:$A$52,Takstblad!$A$36)-SUMIFS(J$43:J$52,$O$43:$O$52,Lister!$D$30,$A$43:$A$52,Takstblad!$A$43)-SUMIFS(J$43:J$52,$O$43:$O$52,Lister!$D$30,$A$43:$A$52,Takstblad!$A$44))*0.3),0)</f>
        <v>0</v>
      </c>
      <c r="K55" s="161">
        <f>IF($C$10="Yes",((SUMIFS(K$20:K$29,$O$20:$O$29,Lister!$D$29,$A$20:$A$29,Takstblad!$A$18)+SUMIFS(K$20:K$29,$O$20:$O$29,Lister!$D$29,$A$20:$A$29,Takstblad!$A$19)+SUMIFS(K$20:K$29,$O$20:$O$29,Lister!$D$29,$A$20:$A$29,Takstblad!$A$20)+SUMIFS(K$20:K$29,$O$20:$O$29,Lister!$D$29,$A$20:$A$29,Takstblad!$A$21)+SUMIFS(K$20:K$29,$O$20:$O$29,Lister!$D$29,$A$20:$A$29,Takstblad!$A$22)+SUMIFS(K$20:K$29,$O$20:$O$29,Lister!$D$29,$A$20:$A$29,Takstblad!$A$23)+SUMIFS(K$20:K$29,$O$20:$O$29,Lister!$D$30,$A$20:$A$29,Takstblad!$A$18)+SUMIFS(K$20:K$29,$O$20:$O$29,Lister!$D$30,$A$20:$A$29,Takstblad!$A$19)+SUMIFS(K$20:K$29,$O$20:$O$29,Lister!$D$30,$A$20:$A$29,Takstblad!$A$20)+SUMIFS(K$20:K$29,$O$20:$O$29,Lister!$D$30,$A$20:$A$29,Takstblad!$A$21)+SUMIFS(K$20:K$29,$O$20:$O$29,Lister!$D$30,$A$20:$A$29,Takstblad!$A$22)+SUMIFS(K$20:K$29,$O$20:$O$29,Lister!$D$30,$A$20:$A$29,Takstblad!$A$23))/12)*0.5+((+SUMIF($O$43:$O$52,Lister!$D$29,K$43:K$52)-SUMIFS(K$43:K$52,$O$43:$O$52,Lister!$D$29,$A$43:$A$52,Takstblad!$A$34)-SUMIFS(K$43:K$52,$O$43:$O$52,Lister!$D$29,$A$43:$A$52,Takstblad!$A$36)-SUMIFS(K$43:K$52,$O$43:$O$52,Lister!$D$29,$A$43:$A$52,Takstblad!$A$43)-SUMIFS(K$43:K$52,$O$43:$O$52,Lister!$D$29,$A$43:$A$52,Takstblad!$A$44)+SUMIF($O$43:$O$52,Lister!$D$30,K$43:K$52)-SUMIFS(K$43:K$52,$O$43:$O$52,Lister!$D$30,$A$43:$A$52,Takstblad!$A$34)-SUMIFS(K$43:K$52,$O$43:$O$52,Lister!$D$30,$A$43:$A$52,Takstblad!$A$36)-SUMIFS(K$43:K$52,$O$43:$O$52,Lister!$D$30,$A$43:$A$52,Takstblad!$A$43)-SUMIFS(K$43:K$52,$O$43:$O$52,Lister!$D$30,$A$43:$A$52,Takstblad!$A$44))*0.3),0)</f>
        <v>0</v>
      </c>
      <c r="L55" s="161">
        <f>IF($C$10="Yes",((SUMIFS(L$20:L$29,$O$20:$O$29,Lister!$D$29,$A$20:$A$29,Takstblad!$A$18)+SUMIFS(L$20:L$29,$O$20:$O$29,Lister!$D$29,$A$20:$A$29,Takstblad!$A$19)+SUMIFS(L$20:L$29,$O$20:$O$29,Lister!$D$29,$A$20:$A$29,Takstblad!$A$20)+SUMIFS(L$20:L$29,$O$20:$O$29,Lister!$D$29,$A$20:$A$29,Takstblad!$A$21)+SUMIFS(L$20:L$29,$O$20:$O$29,Lister!$D$29,$A$20:$A$29,Takstblad!$A$22)+SUMIFS(L$20:L$29,$O$20:$O$29,Lister!$D$29,$A$20:$A$29,Takstblad!$A$23)+SUMIFS(L$20:L$29,$O$20:$O$29,Lister!$D$30,$A$20:$A$29,Takstblad!$A$18)+SUMIFS(L$20:L$29,$O$20:$O$29,Lister!$D$30,$A$20:$A$29,Takstblad!$A$19)+SUMIFS(L$20:L$29,$O$20:$O$29,Lister!$D$30,$A$20:$A$29,Takstblad!$A$20)+SUMIFS(L$20:L$29,$O$20:$O$29,Lister!$D$30,$A$20:$A$29,Takstblad!$A$21)+SUMIFS(L$20:L$29,$O$20:$O$29,Lister!$D$30,$A$20:$A$29,Takstblad!$A$22)+SUMIFS(L$20:L$29,$O$20:$O$29,Lister!$D$30,$A$20:$A$29,Takstblad!$A$23))/12)*0.5+((+SUMIF($O$43:$O$52,Lister!$D$29,L$43:L$52)-SUMIFS(L$43:L$52,$O$43:$O$52,Lister!$D$29,$A$43:$A$52,Takstblad!$A$34)-SUMIFS(L$43:L$52,$O$43:$O$52,Lister!$D$29,$A$43:$A$52,Takstblad!$A$36)-SUMIFS(L$43:L$52,$O$43:$O$52,Lister!$D$29,$A$43:$A$52,Takstblad!$A$43)-SUMIFS(L$43:L$52,$O$43:$O$52,Lister!$D$29,$A$43:$A$52,Takstblad!$A$44)+SUMIF($O$43:$O$52,Lister!$D$30,L$43:L$52)-SUMIFS(L$43:L$52,$O$43:$O$52,Lister!$D$30,$A$43:$A$52,Takstblad!$A$34)-SUMIFS(L$43:L$52,$O$43:$O$52,Lister!$D$30,$A$43:$A$52,Takstblad!$A$36)-SUMIFS(L$43:L$52,$O$43:$O$52,Lister!$D$30,$A$43:$A$52,Takstblad!$A$43)-SUMIFS(L$43:L$52,$O$43:$O$52,Lister!$D$30,$A$43:$A$52,Takstblad!$A$44))*0.3),0)</f>
        <v>0</v>
      </c>
      <c r="M55" s="65">
        <f t="shared" si="70"/>
        <v>0</v>
      </c>
      <c r="N55" s="162"/>
      <c r="O55" s="159" t="s">
        <v>152</v>
      </c>
      <c r="P55" s="11"/>
      <c r="Q55" s="27"/>
      <c r="R55" s="202">
        <f t="shared" si="55"/>
        <v>0</v>
      </c>
      <c r="S55" s="25">
        <f>+C55*Takstblad!C39</f>
        <v>0</v>
      </c>
      <c r="T55" s="25">
        <f>+D55*Takstblad!D39</f>
        <v>0</v>
      </c>
      <c r="U55" s="25">
        <f>+E55*Takstblad!E39</f>
        <v>0</v>
      </c>
      <c r="V55" s="25">
        <f>+F55*Takstblad!F39</f>
        <v>0</v>
      </c>
      <c r="W55" s="25">
        <f>+G55*Takstblad!G39</f>
        <v>0</v>
      </c>
      <c r="X55" s="25">
        <f>+H55*Takstblad!H39</f>
        <v>0</v>
      </c>
      <c r="Y55" s="25">
        <f>+I55*Takstblad!I39</f>
        <v>0</v>
      </c>
      <c r="Z55" s="25">
        <f>+J55*Takstblad!J39</f>
        <v>0</v>
      </c>
      <c r="AA55" s="25">
        <f>+K55*Takstblad!K39</f>
        <v>0</v>
      </c>
      <c r="AB55" s="25">
        <f>+L55*Takstblad!L39</f>
        <v>0</v>
      </c>
      <c r="AC55" s="25">
        <f t="shared" si="71"/>
        <v>0</v>
      </c>
      <c r="AE55" s="25">
        <f>+M55*($C$7/12)</f>
        <v>0</v>
      </c>
      <c r="AF55" s="25">
        <f>IFERROR(AC55/AE55,0)</f>
        <v>0</v>
      </c>
      <c r="AH55" s="25">
        <f>+C55*($C$7/12)</f>
        <v>0</v>
      </c>
      <c r="AI55" s="25">
        <f>IFERROR(S55/AH55,0)</f>
        <v>0</v>
      </c>
      <c r="AK55" s="25">
        <f>+D55*($C$7/12)</f>
        <v>0</v>
      </c>
      <c r="AL55" s="25">
        <f>IFERROR(T55/AK55,0)</f>
        <v>0</v>
      </c>
      <c r="AN55" s="25">
        <f>+E55*($C$7/12)</f>
        <v>0</v>
      </c>
      <c r="AO55" s="25">
        <f>IFERROR(U55/AN55,0)</f>
        <v>0</v>
      </c>
      <c r="AQ55" s="25">
        <f>+F55*($C$7/12)</f>
        <v>0</v>
      </c>
      <c r="AR55" s="25">
        <f>IFERROR(V55/AQ55,0)</f>
        <v>0</v>
      </c>
      <c r="AT55" s="25">
        <f>+G55*($C$7/12)</f>
        <v>0</v>
      </c>
      <c r="AU55" s="25">
        <f>IFERROR(W55/AT55,0)</f>
        <v>0</v>
      </c>
      <c r="AW55" s="25">
        <f>+H55*($C$7/12)</f>
        <v>0</v>
      </c>
      <c r="AX55" s="25">
        <f>IFERROR(X55/AW55,0)</f>
        <v>0</v>
      </c>
      <c r="AZ55" s="25">
        <f>+I55*($C$7/12)</f>
        <v>0</v>
      </c>
      <c r="BA55" s="25">
        <f>IFERROR(Y55/AZ55,0)</f>
        <v>0</v>
      </c>
      <c r="BC55" s="25">
        <f>+J55*($C$7/12)</f>
        <v>0</v>
      </c>
      <c r="BD55" s="25">
        <f>IFERROR(Z55/BC55,0)</f>
        <v>0</v>
      </c>
      <c r="BF55" s="25">
        <f t="shared" si="76"/>
        <v>0</v>
      </c>
      <c r="BG55" s="25">
        <f t="shared" si="77"/>
        <v>0</v>
      </c>
      <c r="BI55" s="25">
        <f t="shared" si="78"/>
        <v>0</v>
      </c>
      <c r="BJ55" s="25">
        <f t="shared" si="79"/>
        <v>0</v>
      </c>
    </row>
    <row r="56" spans="1:66" ht="14.25" customHeight="1" thickBot="1">
      <c r="A56" s="4" t="s">
        <v>71</v>
      </c>
      <c r="B56" s="4"/>
      <c r="C56" s="12">
        <f t="shared" ref="C56:J56" si="80">SUM(C43:C55)</f>
        <v>0</v>
      </c>
      <c r="D56" s="12">
        <f t="shared" si="80"/>
        <v>0</v>
      </c>
      <c r="E56" s="12">
        <f t="shared" si="80"/>
        <v>0</v>
      </c>
      <c r="F56" s="12">
        <f t="shared" si="80"/>
        <v>0</v>
      </c>
      <c r="G56" s="12">
        <f t="shared" si="80"/>
        <v>0</v>
      </c>
      <c r="H56" s="12">
        <f t="shared" si="80"/>
        <v>0</v>
      </c>
      <c r="I56" s="12">
        <f t="shared" si="80"/>
        <v>0</v>
      </c>
      <c r="J56" s="12">
        <f t="shared" si="80"/>
        <v>0</v>
      </c>
      <c r="K56" s="12">
        <f>SUM(K43:K55)</f>
        <v>0</v>
      </c>
      <c r="L56" s="12">
        <f>SUM(L43:L55)</f>
        <v>0</v>
      </c>
      <c r="M56" s="12">
        <f t="shared" si="70"/>
        <v>0</v>
      </c>
      <c r="N56" s="12"/>
      <c r="O56" s="48"/>
      <c r="P56" s="48"/>
      <c r="Q56" s="23" t="s">
        <v>75</v>
      </c>
      <c r="R56" s="46">
        <f t="shared" si="55"/>
        <v>0</v>
      </c>
      <c r="S56" s="22">
        <f t="shared" ref="S56:Z56" si="81">SUM(S43:S55)</f>
        <v>0</v>
      </c>
      <c r="T56" s="22">
        <f t="shared" si="81"/>
        <v>0</v>
      </c>
      <c r="U56" s="22">
        <f t="shared" si="81"/>
        <v>0</v>
      </c>
      <c r="V56" s="22">
        <f t="shared" si="81"/>
        <v>0</v>
      </c>
      <c r="W56" s="22">
        <f t="shared" si="81"/>
        <v>0</v>
      </c>
      <c r="X56" s="22">
        <f t="shared" si="81"/>
        <v>0</v>
      </c>
      <c r="Y56" s="51">
        <f t="shared" si="81"/>
        <v>0</v>
      </c>
      <c r="Z56" s="51">
        <f t="shared" si="81"/>
        <v>0</v>
      </c>
      <c r="AA56" s="51">
        <f>SUM(AA43:AA55)</f>
        <v>0</v>
      </c>
      <c r="AB56" s="51">
        <f>SUM(AB43:AB55)</f>
        <v>0</v>
      </c>
      <c r="AC56" s="46">
        <f t="shared" si="71"/>
        <v>0</v>
      </c>
      <c r="AE56" s="22">
        <f>SUM(AE43:AE55)</f>
        <v>0</v>
      </c>
      <c r="AF56" s="13">
        <f>IFERROR(AC56/AE56,0)</f>
        <v>0</v>
      </c>
      <c r="AH56" s="22">
        <f>SUM(AH43:AH55)</f>
        <v>0</v>
      </c>
      <c r="AI56" s="13">
        <f t="shared" si="59"/>
        <v>0</v>
      </c>
      <c r="AK56" s="22">
        <f>SUM(AK43:AK55)</f>
        <v>0</v>
      </c>
      <c r="AL56" s="13">
        <f t="shared" si="61"/>
        <v>0</v>
      </c>
      <c r="AN56" s="22">
        <f>SUM(AN43:AN55)</f>
        <v>0</v>
      </c>
      <c r="AO56" s="13">
        <f t="shared" si="63"/>
        <v>0</v>
      </c>
      <c r="AQ56" s="22">
        <f>SUM(AQ43:AQ55)</f>
        <v>0</v>
      </c>
      <c r="AR56" s="13">
        <f t="shared" si="65"/>
        <v>0</v>
      </c>
      <c r="AT56" s="22">
        <f>SUM(AT43:AT55)</f>
        <v>0</v>
      </c>
      <c r="AU56" s="13">
        <f t="shared" si="67"/>
        <v>0</v>
      </c>
      <c r="AW56" s="22">
        <f>SUM(AW43:AW55)</f>
        <v>0</v>
      </c>
      <c r="AX56" s="13">
        <f t="shared" si="69"/>
        <v>0</v>
      </c>
      <c r="AZ56" s="22">
        <f>SUM(AZ43:AZ55)</f>
        <v>0</v>
      </c>
      <c r="BA56" s="13">
        <f t="shared" si="73"/>
        <v>0</v>
      </c>
      <c r="BC56" s="22">
        <f>SUM(BC43:BC55)</f>
        <v>0</v>
      </c>
      <c r="BD56" s="13">
        <f t="shared" si="75"/>
        <v>0</v>
      </c>
      <c r="BF56" s="22">
        <f>SUM(BF43:BF55)</f>
        <v>0</v>
      </c>
      <c r="BG56" s="13">
        <f>IFERROR(AC56/BF56,0)</f>
        <v>0</v>
      </c>
      <c r="BI56" s="22">
        <f>SUM(BI43:BI55)</f>
        <v>0</v>
      </c>
      <c r="BJ56" s="13">
        <f>IFERROR(AF56/BI56,0)</f>
        <v>0</v>
      </c>
      <c r="BK56" s="70"/>
      <c r="BL56" s="70"/>
      <c r="BM56" s="70"/>
    </row>
    <row r="57" spans="1:66" ht="14.25" customHeight="1">
      <c r="A57" s="9"/>
      <c r="B57" s="48"/>
      <c r="C57" s="48"/>
      <c r="D57" s="48"/>
      <c r="E57" s="48"/>
      <c r="F57" s="48"/>
      <c r="G57" s="48"/>
      <c r="H57" s="48"/>
      <c r="I57" s="48"/>
      <c r="J57" s="48"/>
      <c r="K57" s="48"/>
      <c r="L57" s="48"/>
      <c r="M57" s="48"/>
      <c r="N57" s="48"/>
      <c r="O57" s="48"/>
      <c r="P57" s="48"/>
      <c r="Q57" s="23"/>
      <c r="R57" s="5"/>
      <c r="S57" s="4"/>
      <c r="T57" s="4"/>
      <c r="U57" s="4"/>
      <c r="V57" s="4"/>
      <c r="W57" s="4"/>
      <c r="X57" s="4"/>
      <c r="Y57" s="4"/>
      <c r="Z57" s="4"/>
      <c r="AA57" s="4"/>
      <c r="AB57" s="4"/>
      <c r="AC57" s="5"/>
      <c r="AD57" s="70"/>
      <c r="AE57" s="76"/>
      <c r="AF57" s="76"/>
      <c r="AG57" s="70"/>
      <c r="AH57" s="77"/>
      <c r="AI57" s="70"/>
      <c r="AJ57" s="70"/>
      <c r="AK57" s="70"/>
      <c r="AL57" s="70"/>
      <c r="AM57" s="70"/>
      <c r="AN57" s="70"/>
      <c r="AO57" s="70"/>
      <c r="AP57" s="70"/>
      <c r="AQ57" s="70"/>
      <c r="AR57" s="70"/>
      <c r="AS57" s="70"/>
      <c r="AT57" s="70"/>
      <c r="AU57" s="70"/>
      <c r="AV57" s="70"/>
      <c r="AW57" s="70"/>
      <c r="AX57" s="70"/>
      <c r="AY57" s="70"/>
      <c r="AZ57" s="70"/>
      <c r="BA57" s="70"/>
      <c r="BB57" s="70"/>
      <c r="BC57" s="70"/>
      <c r="BD57" s="70"/>
      <c r="BE57" s="70"/>
      <c r="BF57" s="70"/>
      <c r="BG57" s="70"/>
      <c r="BH57" s="70"/>
      <c r="BI57" s="70"/>
      <c r="BJ57" s="70"/>
      <c r="BK57" s="70"/>
      <c r="BL57" s="70"/>
      <c r="BM57" s="70"/>
    </row>
    <row r="58" spans="1:66" ht="14.25" hidden="1" customHeight="1">
      <c r="A58" s="9" t="s">
        <v>185</v>
      </c>
      <c r="B58" s="48"/>
      <c r="C58" s="100">
        <f>+SUMIF($O$20:$O$29,Lister!$D$30,C20:C29)-SUMIFS(C20:C29,$O$20:$O$29,Lister!$D$30,$B$20:$B$29,Lister!$B$20)-+SUMIFS(C43:C52,$O$43:$O$52,Lister!$D$30,$B$43:$B$52,Lister!$A$24)+SUMIF($O$20:$O$29,Lister!$D$29,C20:C29)-SUMIFS(C20:C29,$O$20:$O$29,Lister!$D$29,$B$20:$B$29,Lister!$B$20)+SUMIFS(C43:C52,$O$43:$O$52,Lister!$D$29,$B$43:$B$52,Lister!$A$24)</f>
        <v>0</v>
      </c>
      <c r="D58" s="100">
        <f>+SUMIF($O$20:$O$29,Lister!$D$30,D20:D29)-SUMIFS(D20:D29,$O$20:$O$29,Lister!$D$30,$B$20:$B$29,Lister!$B$20)-+SUMIFS(D43:D52,$O$43:$O$52,Lister!$D$30,$B$43:$B$52,Lister!$A$24)+SUMIF($O$20:$O$29,Lister!$D$29,D20:D29)-SUMIFS(D20:D29,$O$20:$O$29,Lister!$D$29,$B$20:$B$29,Lister!$B$20)+SUMIFS(D43:D52,$O$43:$O$52,Lister!$D$29,$B$43:$B$52,Lister!$A$24)</f>
        <v>0</v>
      </c>
      <c r="E58" s="100">
        <f>+SUMIF($O$20:$O$39,Lister!$D$30,E20:E39)-SUMIFS(E20:E39,$O$20:$O$39,Lister!$D$30,$B$20:$B$39,Lister!$B$20)+SUMIFS(E43:E52,$O$43:$O$52,Lister!$D$30,$B$43:$B$52,Lister!$A$24)+SUMIF($O$20:$O$39,Lister!$D$29,E20:E39)-SUMIFS(E20:E39,$O$20:$O$39,Lister!$D$29,$B$20:$B$39,Lister!$B$20)+SUMIFS(E43:E52,$O$43:$O$52,Lister!$D$29,$B$43:$B$52,Lister!$A$24)</f>
        <v>0</v>
      </c>
      <c r="F58" s="100">
        <f>+SUMIF($O$20:$O$29,Lister!$D$30,F20:F29)-SUMIFS(F20:F29,$O$20:$O$29,Lister!$D$30,$B$20:$B$29,Lister!$B$20)-+SUMIFS(F43:F52,$O$43:$O$52,Lister!$D$30,$B$43:$B$52,Lister!$A$24)+SUMIF($O$20:$O$29,Lister!$D$29,F20:F29)-SUMIFS(F20:F29,$O$20:$O$29,Lister!$D$29,$B$20:$B$29,Lister!$B$20)+SUMIFS(F43:F52,$O$43:$O$52,Lister!$D$29,$B$43:$B$52,Lister!$A$24)</f>
        <v>0</v>
      </c>
      <c r="G58" s="100">
        <f>+SUMIF($O$20:$O$39,Lister!$D$30,G20:G39)-SUMIFS(G20:G39,$O$20:$O$39,Lister!$D$30,$B$20:$B$39,Lister!$B$20)+SUMIFS(G43:G52,$O$43:$O$52,Lister!$D$30,$B$43:$B$52,Lister!$A$24)+SUMIF($O$20:$O$39,Lister!$D$29,G20:G39)-SUMIFS(G20:G39,$O$20:$O$39,Lister!$D$29,$B$20:$B$39,Lister!$B$20)+SUMIFS(G43:G52,$O$43:$O$52,Lister!$D$29,$B$43:$B$52,Lister!$A$24)</f>
        <v>0</v>
      </c>
      <c r="H58" s="100">
        <f>+SUMIF($O$20:$O$39,Lister!$D$30,H20:H39)-SUMIFS(H20:H39,$O$20:$O$39,Lister!$D$30,$B$20:$B$39,Lister!$B$20)+SUMIFS(H43:H52,$O$43:$O$52,Lister!$D$30,$B$43:$B$52,Lister!$A$24)+SUMIF($O$20:$O$39,Lister!$D$29,H20:H39)-SUMIFS(H20:H39,$O$20:$O$39,Lister!$D$29,$B$20:$B$39,Lister!$B$20)+SUMIFS(H43:H52,$O$43:$O$52,Lister!$D$29,$B$43:$B$52,Lister!$A$24)</f>
        <v>0</v>
      </c>
      <c r="I58" s="100">
        <f>+SUMIF($O$20:$O$29,Lister!$D$30,I20:I29)-SUMIFS(I20:I29,$O$20:$O$29,Lister!$D$30,$B$20:$B$29,Lister!$B$20)-+SUMIFS(I43:I52,$O$43:$O$52,Lister!$D$30,$B$43:$B$52,Lister!$A$24)+SUMIF($O$20:$O$29,Lister!$D$29,I20:I29)-SUMIFS(I20:I29,$O$20:$O$29,Lister!$D$29,$B$20:$B$29,Lister!$B$20)+SUMIFS(I43:I52,$O$43:$O$52,Lister!$D$29,$B$43:$B$52,Lister!$A$24)</f>
        <v>0</v>
      </c>
      <c r="J58" s="100">
        <f>+SUMIF($O$20:$O$29,Lister!$D$30,J20:J29)-SUMIFS(J20:J29,$O$20:$O$29,Lister!$D$30,$B$20:$B$29,Lister!$B$20)-+SUMIFS(J43:J52,$O$43:$O$52,Lister!$D$30,$B$43:$B$52,Lister!$A$24)+SUMIF($O$20:$O$29,Lister!$D$29,J20:J29)-SUMIFS(J20:J29,$O$20:$O$29,Lister!$D$29,$B$20:$B$29,Lister!$B$20)+SUMIFS(J43:J52,$O$43:$O$52,Lister!$D$29,$B$43:$B$52,Lister!$A$24)</f>
        <v>0</v>
      </c>
      <c r="K58" s="100">
        <f>+SUMIF($O$20:$O$29,Lister!$D$30,K20:K29)-SUMIFS(K20:K29,$O$20:$O$29,Lister!$D$30,$B$20:$B$29,Lister!$B$20)-+SUMIFS(K43:K52,$O$43:$O$52,Lister!$D$30,$B$43:$B$52,Lister!$A$24)+SUMIF($O$20:$O$29,Lister!$D$29,K20:K29)-SUMIFS(K20:K29,$O$20:$O$29,Lister!$D$29,$B$20:$B$29,Lister!$B$20)+SUMIFS(K43:K52,$O$43:$O$52,Lister!$D$29,$B$43:$B$52,Lister!$A$24)</f>
        <v>0</v>
      </c>
      <c r="L58" s="100">
        <f>+SUMIF($O$20:$O$29,Lister!$D$30,L20:L29)-SUMIFS(L20:L29,$O$20:$O$29,Lister!$D$30,$B$20:$B$29,Lister!$B$20)-+SUMIFS(L43:L52,$O$43:$O$52,Lister!$D$30,$B$43:$B$52,Lister!$A$24)+SUMIF($O$20:$O$29,Lister!$D$29,L20:L29)-SUMIFS(L20:L29,$O$20:$O$29,Lister!$D$29,$B$20:$B$29,Lister!$B$20)+SUMIFS(L43:L52,$O$43:$O$52,Lister!$D$29,$B$43:$B$52,Lister!$A$24)</f>
        <v>0</v>
      </c>
      <c r="M58" s="48"/>
      <c r="N58" s="48"/>
      <c r="O58" s="48"/>
      <c r="P58" s="48"/>
      <c r="Q58" s="23"/>
      <c r="R58" s="5"/>
      <c r="S58" s="4"/>
      <c r="T58" s="4"/>
      <c r="U58" s="4"/>
      <c r="V58" s="4"/>
      <c r="W58" s="4"/>
      <c r="X58" s="4"/>
      <c r="Y58" s="4"/>
      <c r="Z58" s="4"/>
      <c r="AA58" s="4"/>
      <c r="AB58" s="4"/>
      <c r="AC58" s="5"/>
      <c r="AD58" s="70"/>
      <c r="AE58" s="76"/>
      <c r="AF58" s="76"/>
      <c r="AG58" s="70"/>
      <c r="AH58" s="77"/>
      <c r="AI58" s="70"/>
      <c r="AJ58" s="70"/>
      <c r="AK58" s="70"/>
      <c r="AL58" s="70"/>
      <c r="AM58" s="70"/>
      <c r="AN58" s="70"/>
      <c r="AO58" s="70"/>
      <c r="AP58" s="70"/>
      <c r="AQ58" s="70"/>
      <c r="AR58" s="70"/>
      <c r="AS58" s="70"/>
      <c r="AT58" s="70"/>
      <c r="AU58" s="70"/>
      <c r="AV58" s="70"/>
      <c r="AW58" s="70"/>
      <c r="AX58" s="70"/>
      <c r="AY58" s="70"/>
      <c r="AZ58" s="70"/>
      <c r="BA58" s="70"/>
      <c r="BB58" s="70"/>
      <c r="BC58" s="70"/>
      <c r="BD58" s="70"/>
      <c r="BE58" s="70"/>
      <c r="BF58" s="70"/>
      <c r="BG58" s="70"/>
      <c r="BH58" s="70"/>
      <c r="BI58" s="70"/>
      <c r="BJ58" s="70"/>
      <c r="BK58" s="70"/>
      <c r="BL58" s="70"/>
      <c r="BM58" s="70"/>
    </row>
    <row r="59" spans="1:66" ht="14.25" hidden="1" customHeight="1">
      <c r="A59" s="9" t="s">
        <v>186</v>
      </c>
      <c r="B59" s="48"/>
      <c r="C59" s="100">
        <f>+SUMIF($O$20:$O$39,Lister!$D$31,C20:C39)-SUMIFS(C20:C39,$O$20:$O$39,Lister!$D$31,$B$20:$B$39,Lister!$B$20)+SUMIFS(C43:C52,$O$43:$O$52,Lister!$D$31,$B$43:$B$52,Lister!$A$24)</f>
        <v>0</v>
      </c>
      <c r="D59" s="100">
        <f>+SUMIF($O$20:$O$39,Lister!$D$31,D20:D39)-SUMIFS(D20:D39,$O$20:$O$39,Lister!$D$31,$B$20:$B$39,Lister!$B$20)+SUMIFS(D43:D52,$O$43:$O$52,Lister!$D$31,$B$43:$B$52,Lister!$A$24)</f>
        <v>0</v>
      </c>
      <c r="E59" s="100">
        <f>+SUMIF($O$20:$O$39,Lister!$D$31,E20:E39)-SUMIFS(E20:E39,$O$20:$O$39,Lister!$D$31,$B$20:$B$39,Lister!$B$20)+SUMIFS(E43:E52,$O$43:$O$52,Lister!$D$31,$B$43:$B$52,Lister!$A$24)</f>
        <v>0</v>
      </c>
      <c r="F59" s="100">
        <f>+SUMIF($O$20:$O$39,Lister!$D$31,F20:F39)-SUMIFS(F20:F39,$O$20:$O$39,Lister!$D$31,$B$20:$B$39,Lister!$B$20)+SUMIFS(F43:F52,$O$43:$O$52,Lister!$D$31,$B$43:$B$52,Lister!$A$24)</f>
        <v>0</v>
      </c>
      <c r="G59" s="100">
        <f>+SUMIF($O$20:$O$39,Lister!$D$31,G20:G39)-SUMIFS(G20:G39,$O$20:$O$39,Lister!$D$31,$B$20:$B$39,Lister!$B$20)+SUMIFS(G43:G52,$O$43:$O$52,Lister!$D$31,$B$43:$B$52,Lister!$A$24)</f>
        <v>0</v>
      </c>
      <c r="H59" s="100">
        <f>+SUMIF($O$20:$O$39,Lister!$D$31,H20:H39)-SUMIFS(H20:H39,$O$20:$O$39,Lister!$D$31,$B$20:$B$39,Lister!$B$20)+SUMIFS(H43:H52,$O$43:$O$52,Lister!$D$31,$B$43:$B$52,Lister!$A$24)</f>
        <v>0</v>
      </c>
      <c r="I59" s="100">
        <f>+SUMIF($O$20:$O$39,Lister!$D$31,I20:I39)-SUMIFS(I20:I39,$O$20:$O$39,Lister!$D$31,$B$20:$B$39,Lister!$B$20)+SUMIFS(I43:I52,$O$43:$O$52,Lister!$D$31,$B$43:$B$52,Lister!$A$24)</f>
        <v>0</v>
      </c>
      <c r="J59" s="100">
        <f>+SUMIF($O$20:$O$39,Lister!$D$31,J20:J39)-SUMIFS(J20:J39,$O$20:$O$39,Lister!$D$31,$B$20:$B$39,Lister!$B$20)+SUMIFS(J43:J52,$O$43:$O$52,Lister!$D$31,$B$43:$B$52,Lister!$A$24)</f>
        <v>0</v>
      </c>
      <c r="K59" s="100">
        <f>+SUMIF($O$20:$O$39,Lister!$D$31,K20:K39)-SUMIFS(K20:K39,$O$20:$O$39,Lister!$D$31,$B$20:$B$39,Lister!$B$20)+SUMIFS(K43:K52,$O$43:$O$52,Lister!$D$31,$B$43:$B$52,Lister!$A$24)</f>
        <v>0</v>
      </c>
      <c r="L59" s="100">
        <f>+SUMIF($O$20:$O$39,Lister!$D$31,L20:L39)-SUMIFS(L20:L39,$O$20:$O$39,Lister!$D$31,$B$20:$B$39,Lister!$B$20)+SUMIFS(L43:L52,$O$43:$O$52,Lister!$D$31,$B$43:$B$52,Lister!$A$24)</f>
        <v>0</v>
      </c>
      <c r="M59" s="48"/>
      <c r="N59" s="48"/>
      <c r="O59" s="48"/>
      <c r="P59" s="48"/>
      <c r="Q59" s="23"/>
      <c r="R59" s="5"/>
      <c r="S59" s="4"/>
      <c r="T59" s="4"/>
      <c r="U59" s="4"/>
      <c r="V59" s="4"/>
      <c r="W59" s="4"/>
      <c r="X59" s="4"/>
      <c r="Y59" s="4"/>
      <c r="Z59" s="4"/>
      <c r="AA59" s="4"/>
      <c r="AB59" s="4"/>
      <c r="AC59" s="5"/>
      <c r="AD59" s="70"/>
      <c r="AE59" s="76"/>
      <c r="AF59" s="76"/>
      <c r="AG59" s="70"/>
      <c r="AH59" s="77"/>
      <c r="AI59" s="70"/>
      <c r="AJ59" s="70"/>
      <c r="AK59" s="70"/>
      <c r="AL59" s="70"/>
      <c r="AM59" s="70"/>
      <c r="AN59" s="70"/>
      <c r="AO59" s="70"/>
      <c r="AP59" s="70"/>
      <c r="AQ59" s="70"/>
      <c r="AR59" s="70"/>
      <c r="AS59" s="70"/>
      <c r="AT59" s="70"/>
      <c r="AU59" s="70"/>
      <c r="AV59" s="70"/>
      <c r="AW59" s="70"/>
      <c r="AX59" s="70"/>
      <c r="AY59" s="70"/>
      <c r="AZ59" s="70"/>
      <c r="BA59" s="70"/>
      <c r="BB59" s="70"/>
      <c r="BC59" s="70"/>
      <c r="BD59" s="70"/>
      <c r="BE59" s="70"/>
      <c r="BF59" s="70"/>
      <c r="BG59" s="70"/>
      <c r="BH59" s="70"/>
      <c r="BI59" s="70"/>
      <c r="BJ59" s="70"/>
      <c r="BK59" s="70"/>
      <c r="BL59" s="70"/>
      <c r="BM59" s="70"/>
    </row>
    <row r="60" spans="1:66" ht="14.25" customHeight="1">
      <c r="A60" s="9"/>
      <c r="B60" s="48"/>
      <c r="C60" s="48"/>
      <c r="D60" s="48"/>
      <c r="E60" s="48"/>
      <c r="F60" s="48"/>
      <c r="G60" s="48"/>
      <c r="H60" s="48"/>
      <c r="I60" s="48"/>
      <c r="J60" s="48"/>
      <c r="K60" s="48"/>
      <c r="L60" s="48"/>
      <c r="M60" s="48"/>
      <c r="N60" s="48"/>
      <c r="O60" s="48"/>
      <c r="P60" s="48"/>
      <c r="Q60" s="70"/>
      <c r="R60" s="70"/>
      <c r="S60" s="77"/>
      <c r="T60" s="70"/>
      <c r="U60" s="70"/>
      <c r="V60" s="70"/>
      <c r="W60" s="70"/>
      <c r="X60" s="70"/>
      <c r="Y60" s="70"/>
      <c r="Z60" s="70"/>
      <c r="AA60" s="70"/>
      <c r="AB60" s="70"/>
      <c r="AC60" s="70"/>
      <c r="AD60" s="70"/>
      <c r="AE60" s="70"/>
      <c r="AF60" s="70"/>
      <c r="AG60" s="70"/>
      <c r="AH60" s="70"/>
      <c r="AI60" s="70"/>
      <c r="AJ60" s="70"/>
      <c r="AK60" s="70"/>
      <c r="AL60" s="70"/>
      <c r="AM60" s="70"/>
      <c r="AN60" s="70"/>
      <c r="AO60" s="70"/>
      <c r="AP60" s="70"/>
      <c r="AQ60" s="70"/>
      <c r="AR60" s="70"/>
      <c r="AS60" s="70"/>
      <c r="AT60" s="70"/>
      <c r="AU60" s="70"/>
      <c r="AV60" s="70"/>
      <c r="AW60" s="70"/>
      <c r="AX60" s="70"/>
      <c r="AY60" s="70"/>
      <c r="AZ60" s="70"/>
    </row>
    <row r="61" spans="1:66" ht="14.25" customHeight="1" thickBot="1">
      <c r="A61" s="4" t="s">
        <v>91</v>
      </c>
      <c r="B61" s="8"/>
      <c r="C61" s="8">
        <f t="shared" ref="C61:L61" si="82">+C19</f>
        <v>2026</v>
      </c>
      <c r="D61" s="8">
        <f t="shared" si="82"/>
        <v>2027</v>
      </c>
      <c r="E61" s="8">
        <f t="shared" si="82"/>
        <v>2028</v>
      </c>
      <c r="F61" s="8">
        <f t="shared" si="82"/>
        <v>2029</v>
      </c>
      <c r="G61" s="8">
        <f t="shared" si="82"/>
        <v>2030</v>
      </c>
      <c r="H61" s="8">
        <f t="shared" si="82"/>
        <v>2031</v>
      </c>
      <c r="I61" s="8">
        <f t="shared" si="82"/>
        <v>2032</v>
      </c>
      <c r="J61" s="8">
        <f t="shared" si="82"/>
        <v>2033</v>
      </c>
      <c r="K61" s="8">
        <f t="shared" si="82"/>
        <v>2034</v>
      </c>
      <c r="L61" s="8">
        <f t="shared" si="82"/>
        <v>2035</v>
      </c>
      <c r="M61" s="8" t="s">
        <v>34</v>
      </c>
      <c r="N61" s="8"/>
      <c r="O61" s="8"/>
      <c r="P61" s="8"/>
      <c r="Q61" s="70"/>
      <c r="R61" s="70"/>
      <c r="S61" s="70"/>
      <c r="T61" s="70"/>
      <c r="U61" s="70"/>
      <c r="V61" s="70"/>
      <c r="W61" s="70"/>
      <c r="X61" s="70"/>
      <c r="Y61" s="70"/>
      <c r="Z61" s="70"/>
      <c r="AA61" s="70"/>
      <c r="AB61" s="70"/>
      <c r="AC61" s="70"/>
      <c r="AD61" s="70"/>
      <c r="AE61" s="70"/>
      <c r="AF61" s="70"/>
      <c r="AG61" s="70"/>
      <c r="AH61" s="70"/>
      <c r="AI61" s="70"/>
      <c r="AJ61" s="70"/>
      <c r="AK61" s="70"/>
      <c r="AL61" s="70"/>
      <c r="AM61" s="70"/>
      <c r="AN61" s="70"/>
      <c r="AO61" s="70"/>
      <c r="AP61" s="70"/>
      <c r="AQ61" s="70"/>
      <c r="AR61" s="70"/>
      <c r="AS61" s="70"/>
      <c r="AT61" s="70"/>
      <c r="AU61" s="70"/>
      <c r="AV61" s="70"/>
      <c r="AW61" s="70"/>
      <c r="AX61" s="70"/>
      <c r="AY61" s="70"/>
      <c r="AZ61" s="70"/>
    </row>
    <row r="62" spans="1:66" s="9" customFormat="1" ht="14.25" customHeight="1">
      <c r="A62" s="219" t="s">
        <v>114</v>
      </c>
      <c r="B62" s="220"/>
      <c r="C62" s="288"/>
      <c r="D62" s="288"/>
      <c r="E62" s="288"/>
      <c r="F62" s="288"/>
      <c r="G62" s="288"/>
      <c r="H62" s="288"/>
      <c r="I62" s="288"/>
      <c r="J62" s="288"/>
      <c r="K62" s="288"/>
      <c r="L62" s="288"/>
      <c r="M62" s="21">
        <f>SUM(C62:L62)</f>
        <v>0</v>
      </c>
      <c r="N62" s="285"/>
      <c r="O62" s="285" t="s">
        <v>113</v>
      </c>
      <c r="P62" s="7"/>
      <c r="Q62" s="120" t="s">
        <v>101</v>
      </c>
      <c r="R62" s="123"/>
      <c r="S62" s="121"/>
      <c r="T62" s="135"/>
      <c r="U62" s="135"/>
      <c r="V62" s="135"/>
      <c r="W62" s="135"/>
      <c r="X62" s="304"/>
      <c r="Y62" s="135"/>
      <c r="Z62" s="135"/>
      <c r="AA62" s="135"/>
      <c r="AB62" s="135"/>
      <c r="AC62" s="123"/>
      <c r="AF62" s="70"/>
      <c r="AG62" s="70"/>
      <c r="AH62" s="70"/>
      <c r="AI62" s="70"/>
      <c r="AJ62" s="70"/>
      <c r="AK62" s="70"/>
      <c r="AL62" s="70"/>
      <c r="AM62" s="70"/>
      <c r="AN62" s="70"/>
      <c r="AO62" s="70"/>
      <c r="AP62" s="70"/>
      <c r="AQ62" s="70"/>
      <c r="AR62" s="71"/>
      <c r="AS62" s="71"/>
      <c r="AT62" s="71"/>
      <c r="AU62" s="71"/>
      <c r="AV62" s="71"/>
      <c r="AW62" s="71"/>
      <c r="AX62" s="71"/>
      <c r="AY62" s="71"/>
      <c r="AZ62" s="71"/>
    </row>
    <row r="63" spans="1:66" ht="14.25" customHeight="1">
      <c r="A63" s="201" t="s">
        <v>114</v>
      </c>
      <c r="B63" s="16"/>
      <c r="C63" s="288"/>
      <c r="D63" s="288"/>
      <c r="E63" s="288"/>
      <c r="F63" s="288"/>
      <c r="G63" s="288"/>
      <c r="H63" s="288"/>
      <c r="I63" s="288"/>
      <c r="J63" s="288"/>
      <c r="K63" s="288"/>
      <c r="L63" s="288"/>
      <c r="M63" s="21">
        <f t="shared" ref="M63:M75" si="83">SUM(C63:L63)</f>
        <v>0</v>
      </c>
      <c r="N63" s="285"/>
      <c r="O63" s="285" t="s">
        <v>113</v>
      </c>
      <c r="Q63" s="107" t="s">
        <v>22</v>
      </c>
      <c r="R63" s="124" t="s">
        <v>34</v>
      </c>
      <c r="S63" s="45">
        <f>+S19</f>
        <v>2026</v>
      </c>
      <c r="T63" s="45">
        <f>+S63+1</f>
        <v>2027</v>
      </c>
      <c r="U63" s="8">
        <f t="shared" ref="U63:Z63" si="84">+T63+1</f>
        <v>2028</v>
      </c>
      <c r="V63" s="8">
        <f t="shared" si="84"/>
        <v>2029</v>
      </c>
      <c r="W63" s="8">
        <f t="shared" si="84"/>
        <v>2030</v>
      </c>
      <c r="X63" s="124">
        <f t="shared" si="84"/>
        <v>2031</v>
      </c>
      <c r="Y63" s="8">
        <f t="shared" si="84"/>
        <v>2032</v>
      </c>
      <c r="Z63" s="8">
        <f t="shared" si="84"/>
        <v>2033</v>
      </c>
      <c r="AA63" s="8">
        <f>+Z63+1</f>
        <v>2034</v>
      </c>
      <c r="AB63" s="8">
        <f>+AA63+1</f>
        <v>2035</v>
      </c>
      <c r="AC63" s="124" t="s">
        <v>34</v>
      </c>
      <c r="AF63" s="71"/>
      <c r="AG63" s="71"/>
      <c r="AH63" s="71"/>
      <c r="AI63" s="71"/>
      <c r="AJ63" s="71"/>
      <c r="AK63" s="71"/>
      <c r="AL63" s="71"/>
      <c r="AM63" s="71"/>
      <c r="AN63" s="71"/>
      <c r="AO63" s="71"/>
      <c r="AP63" s="71"/>
      <c r="AQ63" s="71"/>
      <c r="AR63" s="70"/>
      <c r="AS63" s="70"/>
      <c r="AT63" s="70"/>
      <c r="AU63" s="70"/>
      <c r="AV63" s="70"/>
      <c r="AW63" s="70"/>
      <c r="AX63" s="70"/>
      <c r="AY63" s="70"/>
      <c r="AZ63" s="70"/>
    </row>
    <row r="64" spans="1:66" ht="14.25" customHeight="1">
      <c r="A64" s="219" t="s">
        <v>114</v>
      </c>
      <c r="B64" s="220"/>
      <c r="C64" s="288"/>
      <c r="D64" s="288"/>
      <c r="E64" s="288"/>
      <c r="F64" s="288"/>
      <c r="G64" s="288"/>
      <c r="H64" s="288"/>
      <c r="I64" s="288"/>
      <c r="J64" s="288"/>
      <c r="K64" s="288"/>
      <c r="L64" s="288"/>
      <c r="M64" s="21">
        <f t="shared" si="83"/>
        <v>0</v>
      </c>
      <c r="N64" s="285"/>
      <c r="O64" s="285" t="s">
        <v>113</v>
      </c>
      <c r="P64" s="119"/>
      <c r="Q64" s="147" t="s">
        <v>74</v>
      </c>
      <c r="R64" s="318">
        <f t="shared" ref="R64:R73" si="85">+AC64</f>
        <v>0</v>
      </c>
      <c r="S64" s="316">
        <f>+S40</f>
        <v>0</v>
      </c>
      <c r="T64" s="316">
        <f t="shared" ref="T64:Z64" si="86">+T40</f>
        <v>0</v>
      </c>
      <c r="U64" s="316">
        <f t="shared" si="86"/>
        <v>0</v>
      </c>
      <c r="V64" s="316">
        <f t="shared" si="86"/>
        <v>0</v>
      </c>
      <c r="W64" s="316">
        <f t="shared" si="86"/>
        <v>0</v>
      </c>
      <c r="X64" s="317">
        <f t="shared" si="86"/>
        <v>0</v>
      </c>
      <c r="Y64" s="294">
        <f t="shared" si="86"/>
        <v>0</v>
      </c>
      <c r="Z64" s="28">
        <f t="shared" si="86"/>
        <v>0</v>
      </c>
      <c r="AA64" s="28">
        <f>+AA40</f>
        <v>0</v>
      </c>
      <c r="AB64" s="28">
        <f>+AB40</f>
        <v>0</v>
      </c>
      <c r="AC64" s="125">
        <f>SUM(S64:AB64)</f>
        <v>0</v>
      </c>
      <c r="AF64" s="70"/>
      <c r="AG64" s="70"/>
      <c r="AH64" s="70"/>
      <c r="AI64" s="70"/>
      <c r="AJ64" s="70"/>
      <c r="AK64" s="70"/>
      <c r="AL64" s="70"/>
      <c r="AM64" s="70"/>
      <c r="AN64" s="70"/>
      <c r="AO64" s="70"/>
      <c r="AP64" s="70"/>
      <c r="AQ64" s="70"/>
      <c r="AR64" s="70"/>
      <c r="AS64" s="70"/>
      <c r="AT64" s="70"/>
      <c r="AU64" s="70"/>
      <c r="AV64" s="70"/>
      <c r="AW64" s="70"/>
      <c r="AX64" s="70"/>
      <c r="AY64" s="70"/>
      <c r="AZ64" s="70"/>
    </row>
    <row r="65" spans="1:52" ht="14.25" customHeight="1">
      <c r="A65" s="201" t="s">
        <v>114</v>
      </c>
      <c r="B65" s="16"/>
      <c r="C65" s="288"/>
      <c r="D65" s="288"/>
      <c r="E65" s="288"/>
      <c r="F65" s="288"/>
      <c r="G65" s="288"/>
      <c r="H65" s="288"/>
      <c r="I65" s="288"/>
      <c r="J65" s="288"/>
      <c r="K65" s="288"/>
      <c r="L65" s="288"/>
      <c r="M65" s="21">
        <f t="shared" si="83"/>
        <v>0</v>
      </c>
      <c r="N65" s="285"/>
      <c r="O65" s="285" t="s">
        <v>113</v>
      </c>
      <c r="P65" s="119"/>
      <c r="Q65" s="148" t="s">
        <v>75</v>
      </c>
      <c r="R65" s="309">
        <f>+AC65</f>
        <v>0</v>
      </c>
      <c r="S65" s="310">
        <f t="shared" ref="S65:Z65" si="87">+S56</f>
        <v>0</v>
      </c>
      <c r="T65" s="310">
        <f t="shared" si="87"/>
        <v>0</v>
      </c>
      <c r="U65" s="310">
        <f t="shared" si="87"/>
        <v>0</v>
      </c>
      <c r="V65" s="310">
        <f t="shared" si="87"/>
        <v>0</v>
      </c>
      <c r="W65" s="310">
        <f t="shared" si="87"/>
        <v>0</v>
      </c>
      <c r="X65" s="311">
        <f t="shared" si="87"/>
        <v>0</v>
      </c>
      <c r="Y65" s="295">
        <f t="shared" si="87"/>
        <v>0</v>
      </c>
      <c r="Z65" s="113">
        <f t="shared" si="87"/>
        <v>0</v>
      </c>
      <c r="AA65" s="113">
        <f>+AA56</f>
        <v>0</v>
      </c>
      <c r="AB65" s="113">
        <f>+AB56</f>
        <v>0</v>
      </c>
      <c r="AC65" s="141">
        <f t="shared" ref="AC65:AC73" si="88">SUM(S65:AB65)</f>
        <v>0</v>
      </c>
      <c r="AF65" s="70"/>
      <c r="AG65" s="70"/>
      <c r="AH65" s="70"/>
      <c r="AI65" s="70"/>
      <c r="AJ65" s="70"/>
      <c r="AK65" s="70"/>
      <c r="AL65" s="70"/>
      <c r="AM65" s="70"/>
      <c r="AN65" s="70"/>
      <c r="AO65" s="70"/>
      <c r="AP65" s="70"/>
      <c r="AQ65" s="70"/>
      <c r="AR65" s="70"/>
      <c r="AS65" s="70"/>
      <c r="AT65" s="70"/>
      <c r="AU65" s="70"/>
      <c r="AV65" s="70"/>
      <c r="AW65" s="70"/>
      <c r="AX65" s="70"/>
      <c r="AY65" s="70"/>
      <c r="AZ65" s="70"/>
    </row>
    <row r="66" spans="1:52" ht="14.25" customHeight="1">
      <c r="A66" s="219" t="s">
        <v>114</v>
      </c>
      <c r="B66" s="220"/>
      <c r="C66" s="288"/>
      <c r="D66" s="288"/>
      <c r="E66" s="288"/>
      <c r="F66" s="288"/>
      <c r="G66" s="288"/>
      <c r="H66" s="288"/>
      <c r="I66" s="288"/>
      <c r="J66" s="288"/>
      <c r="K66" s="288"/>
      <c r="L66" s="288"/>
      <c r="M66" s="21">
        <f t="shared" si="83"/>
        <v>0</v>
      </c>
      <c r="N66" s="285"/>
      <c r="O66" s="285" t="s">
        <v>113</v>
      </c>
      <c r="P66" s="119"/>
      <c r="Q66" s="149" t="s">
        <v>76</v>
      </c>
      <c r="R66" s="312">
        <f t="shared" si="85"/>
        <v>0</v>
      </c>
      <c r="S66" s="313">
        <f>+SUM(S64:S65)</f>
        <v>0</v>
      </c>
      <c r="T66" s="313">
        <f t="shared" ref="T66:Z66" si="89">+SUM(T64:T65)</f>
        <v>0</v>
      </c>
      <c r="U66" s="313">
        <f t="shared" si="89"/>
        <v>0</v>
      </c>
      <c r="V66" s="313">
        <f t="shared" si="89"/>
        <v>0</v>
      </c>
      <c r="W66" s="313">
        <f t="shared" si="89"/>
        <v>0</v>
      </c>
      <c r="X66" s="314">
        <f t="shared" si="89"/>
        <v>0</v>
      </c>
      <c r="Y66" s="296">
        <f t="shared" si="89"/>
        <v>0</v>
      </c>
      <c r="Z66" s="137">
        <f t="shared" si="89"/>
        <v>0</v>
      </c>
      <c r="AA66" s="137">
        <f>+SUM(AA64:AA65)</f>
        <v>0</v>
      </c>
      <c r="AB66" s="137">
        <f>+SUM(AB64:AB65)</f>
        <v>0</v>
      </c>
      <c r="AC66" s="138">
        <f t="shared" si="88"/>
        <v>0</v>
      </c>
      <c r="AF66" s="70"/>
      <c r="AG66" s="70"/>
      <c r="AH66" s="70"/>
      <c r="AI66" s="70"/>
      <c r="AJ66" s="70"/>
      <c r="AK66" s="70"/>
      <c r="AL66" s="70"/>
      <c r="AM66" s="70"/>
      <c r="AN66" s="70"/>
      <c r="AO66" s="70"/>
      <c r="AP66" s="70"/>
      <c r="AQ66" s="70"/>
      <c r="AR66" s="70"/>
      <c r="AS66" s="70"/>
      <c r="AT66" s="70"/>
      <c r="AU66" s="70"/>
      <c r="AV66" s="70"/>
      <c r="AW66" s="70"/>
      <c r="AX66" s="70"/>
      <c r="AY66" s="70"/>
      <c r="AZ66" s="70"/>
    </row>
    <row r="67" spans="1:52" ht="14.25" customHeight="1">
      <c r="A67" s="201" t="s">
        <v>114</v>
      </c>
      <c r="B67" s="16"/>
      <c r="C67" s="288"/>
      <c r="D67" s="288"/>
      <c r="E67" s="288"/>
      <c r="F67" s="288"/>
      <c r="G67" s="288"/>
      <c r="H67" s="288"/>
      <c r="I67" s="288"/>
      <c r="J67" s="288"/>
      <c r="K67" s="288"/>
      <c r="L67" s="288"/>
      <c r="M67" s="21">
        <f t="shared" si="83"/>
        <v>0</v>
      </c>
      <c r="N67" s="285"/>
      <c r="O67" s="285" t="s">
        <v>113</v>
      </c>
      <c r="P67" s="119"/>
      <c r="Q67" s="149" t="s">
        <v>77</v>
      </c>
      <c r="R67" s="312">
        <f t="shared" si="85"/>
        <v>0</v>
      </c>
      <c r="S67" s="313">
        <f>+C75</f>
        <v>0</v>
      </c>
      <c r="T67" s="313">
        <f t="shared" ref="T67:AB67" si="90">+D75</f>
        <v>0</v>
      </c>
      <c r="U67" s="313">
        <f t="shared" si="90"/>
        <v>0</v>
      </c>
      <c r="V67" s="313">
        <f t="shared" si="90"/>
        <v>0</v>
      </c>
      <c r="W67" s="313">
        <f t="shared" si="90"/>
        <v>0</v>
      </c>
      <c r="X67" s="314">
        <f t="shared" si="90"/>
        <v>0</v>
      </c>
      <c r="Y67" s="296">
        <f t="shared" si="90"/>
        <v>0</v>
      </c>
      <c r="Z67" s="137">
        <f t="shared" si="90"/>
        <v>0</v>
      </c>
      <c r="AA67" s="137">
        <f t="shared" si="90"/>
        <v>0</v>
      </c>
      <c r="AB67" s="137">
        <f t="shared" si="90"/>
        <v>0</v>
      </c>
      <c r="AC67" s="138">
        <f t="shared" si="88"/>
        <v>0</v>
      </c>
      <c r="AF67" s="70"/>
      <c r="AG67" s="70"/>
      <c r="AH67" s="70"/>
      <c r="AI67" s="70"/>
      <c r="AJ67" s="70"/>
      <c r="AK67" s="70"/>
      <c r="AL67" s="70"/>
      <c r="AM67" s="70"/>
      <c r="AN67" s="70"/>
      <c r="AO67" s="70"/>
      <c r="AP67" s="70"/>
      <c r="AQ67" s="70"/>
      <c r="AR67" s="70"/>
      <c r="AS67" s="70"/>
      <c r="AT67" s="70"/>
      <c r="AU67" s="70"/>
      <c r="AV67" s="70"/>
      <c r="AW67" s="70"/>
      <c r="AX67" s="70"/>
      <c r="AY67" s="70"/>
      <c r="AZ67" s="70"/>
    </row>
    <row r="68" spans="1:52" ht="14.25" customHeight="1">
      <c r="A68" s="219" t="s">
        <v>114</v>
      </c>
      <c r="B68" s="220"/>
      <c r="C68" s="288"/>
      <c r="D68" s="288"/>
      <c r="E68" s="288"/>
      <c r="F68" s="288"/>
      <c r="G68" s="288"/>
      <c r="H68" s="288"/>
      <c r="I68" s="288"/>
      <c r="J68" s="288"/>
      <c r="K68" s="288"/>
      <c r="L68" s="288"/>
      <c r="M68" s="21">
        <f t="shared" si="83"/>
        <v>0</v>
      </c>
      <c r="N68" s="285"/>
      <c r="O68" s="285" t="s">
        <v>113</v>
      </c>
      <c r="P68" s="119"/>
      <c r="Q68" s="149" t="s">
        <v>78</v>
      </c>
      <c r="R68" s="312">
        <f t="shared" si="85"/>
        <v>0</v>
      </c>
      <c r="S68" s="313">
        <f>+S67+S66</f>
        <v>0</v>
      </c>
      <c r="T68" s="313">
        <f t="shared" ref="T68:Z68" si="91">+T67+T66</f>
        <v>0</v>
      </c>
      <c r="U68" s="313">
        <f t="shared" si="91"/>
        <v>0</v>
      </c>
      <c r="V68" s="313">
        <f t="shared" si="91"/>
        <v>0</v>
      </c>
      <c r="W68" s="313">
        <f t="shared" si="91"/>
        <v>0</v>
      </c>
      <c r="X68" s="314">
        <f t="shared" si="91"/>
        <v>0</v>
      </c>
      <c r="Y68" s="296">
        <f t="shared" si="91"/>
        <v>0</v>
      </c>
      <c r="Z68" s="137">
        <f t="shared" si="91"/>
        <v>0</v>
      </c>
      <c r="AA68" s="137">
        <f>+AA67+AA66</f>
        <v>0</v>
      </c>
      <c r="AB68" s="137">
        <f>+AB67+AB66</f>
        <v>0</v>
      </c>
      <c r="AC68" s="138">
        <f t="shared" si="88"/>
        <v>0</v>
      </c>
      <c r="AF68" s="70"/>
      <c r="AG68" s="70"/>
      <c r="AH68" s="70"/>
      <c r="AI68" s="70"/>
      <c r="AJ68" s="70"/>
      <c r="AK68" s="70"/>
      <c r="AL68" s="70"/>
      <c r="AM68" s="70"/>
      <c r="AN68" s="70"/>
      <c r="AO68" s="70"/>
      <c r="AP68" s="70"/>
      <c r="AQ68" s="70"/>
      <c r="AR68" s="70"/>
      <c r="AS68" s="70"/>
      <c r="AT68" s="70"/>
      <c r="AU68" s="70"/>
      <c r="AV68" s="70"/>
      <c r="AW68" s="70"/>
      <c r="AX68" s="70"/>
      <c r="AY68" s="70"/>
      <c r="AZ68" s="70"/>
    </row>
    <row r="69" spans="1:52" ht="14.25" customHeight="1">
      <c r="A69" s="201" t="s">
        <v>114</v>
      </c>
      <c r="B69" s="16"/>
      <c r="C69" s="288"/>
      <c r="D69" s="288"/>
      <c r="E69" s="288"/>
      <c r="F69" s="288"/>
      <c r="G69" s="288"/>
      <c r="H69" s="288"/>
      <c r="I69" s="288"/>
      <c r="J69" s="288"/>
      <c r="K69" s="288"/>
      <c r="L69" s="288"/>
      <c r="M69" s="21">
        <f t="shared" si="83"/>
        <v>0</v>
      </c>
      <c r="N69" s="285"/>
      <c r="O69" s="285" t="s">
        <v>113</v>
      </c>
      <c r="P69" s="119"/>
      <c r="Q69" s="150" t="s">
        <v>0</v>
      </c>
      <c r="R69" s="312">
        <f t="shared" si="85"/>
        <v>0</v>
      </c>
      <c r="S69" s="153">
        <f>IF($C$12=2,S66*$C$6/100,
IF($G$6=Lister!$D$4,S66*$C$6/100,
IF($G$6=Lister!$D$5,S68*$C$6/100,
IF($G$6=Lister!$D$6,(S68-SUMIF($A$62:$A$72,Lister!$M$10,C62:C72))*$C$6/100,
IF($G$6=Lister!$D$7,(S68-SUMIF($A$62:$A$72,Lister!$M$10,C62:C72)-SUMIF($A$62:$A$72,Lister!$M$7,C62:C72))*$C$6/100,
IF($G$6=Lister!$D$8,(S68+S70)*$C$6/100,
IF($G$6=Lister!$D$9,S67*$C$6/100,0)))))))</f>
        <v>0</v>
      </c>
      <c r="T69" s="153">
        <f>IF($C$12=2,T66*$C$6/100,
IF($G$6=Lister!$D$4,T66*$C$6/100,
IF($G$6=Lister!$D$5,T68*$C$6/100,
IF($G$6=Lister!$D$6,(T68-SUMIF($A$62:$A$72,Lister!$M$10,D62:D72))*$C$6/100,
IF($G$6=Lister!$D$7,(T68-SUMIF($A$62:$A$72,Lister!$M$10,D62:D72)-SUMIF($A$62:$A$72,Lister!$M$7,D62:D72))*$C$6/100,
IF($G$6=Lister!$D$8,(T68+T70)*$C$6/100,
IF($G$6=Lister!$D$9,T67*$C$6/100,0)))))))</f>
        <v>0</v>
      </c>
      <c r="U69" s="153">
        <f>IF($C$12=2,U66*$C$6/100,
IF($G$6=Lister!$D$4,U66*$C$6/100,
IF($G$6=Lister!$D$5,U68*$C$6/100,
IF($G$6=Lister!$D$6,(U68-SUMIF($A$62:$A$72,Lister!$M$10,E62:E72))*$C$6/100,
IF($G$6=Lister!$D$7,(U68-SUMIF($A$62:$A$72,Lister!$M$10,E62:E72)-SUMIF($A$62:$A$72,Lister!$M$7,E62:E72))*$C$6/100,
IF($G$6=Lister!$D$8,(U68+U70)*$C$6/100,
IF($G$6=Lister!$D$9,U67*$C$6/100,0)))))))</f>
        <v>0</v>
      </c>
      <c r="V69" s="153">
        <f>IF($C$12=2,V66*$C$6/100,
IF($G$6=Lister!$D$4,V66*$C$6/100,
IF($G$6=Lister!$D$5,V68*$C$6/100,
IF($G$6=Lister!$D$6,(V68-SUMIF($A$62:$A$72,Lister!$M$10,F62:F72))*$C$6/100,
IF($G$6=Lister!$D$7,(V68-SUMIF($A$62:$A$72,Lister!$M$10,F62:F72)-SUMIF($A$62:$A$72,Lister!$M$7,F62:F72))*$C$6/100,
IF($G$6=Lister!$D$8,(V68+V70)*$C$6/100,
IF($G$6=Lister!$D$9,V67*$C$6/100,0)))))))</f>
        <v>0</v>
      </c>
      <c r="W69" s="153">
        <f>IF($C$12=2,W66*$C$6/100,
IF($G$6=Lister!$D$4,W66*$C$6/100,
IF($G$6=Lister!$D$5,W68*$C$6/100,
IF($G$6=Lister!$D$6,(W68-SUMIF($A$62:$A$72,Lister!$M$10,G62:G72))*$C$6/100,
IF($G$6=Lister!$D$7,(W68-SUMIF($A$62:$A$72,Lister!$M$10,G62:G72)-SUMIF($A$62:$A$72,Lister!$M$7,G62:G72))*$C$6/100,
IF($G$6=Lister!$D$8,(W68+W70)*$C$6/100,
IF($G$6=Lister!$D$9,W67*$C$6/100,0)))))))</f>
        <v>0</v>
      </c>
      <c r="X69" s="300">
        <f>IF($C$12=2,X66*$C$6/100,
IF($G$6=Lister!$D$4,X66*$C$6/100,
IF($G$6=Lister!$D$5,X68*$C$6/100,
IF($G$6=Lister!$D$6,(X68-SUMIF($A$62:$A$72,Lister!$M$10,H62:H72))*$C$6/100,
IF($G$6=Lister!$D$7,(X68-SUMIF($A$62:$A$72,Lister!$M$10,H62:H72)-SUMIF($A$62:$A$72,Lister!$M$7,H62:H72))*$C$6/100,
IF($G$6=Lister!$D$8,(X68+X70)*$C$6/100,
IF($G$6=Lister!$D$9,X67*$C$6/100,0)))))))</f>
        <v>0</v>
      </c>
      <c r="Y69" s="297">
        <f>IF($C$12=2,Y66*$C$6/100,
IF($G$6=Lister!$D$4,Y66*$C$6/100,
IF($G$6=Lister!$D$5,Y68*$C$6/100,
IF($G$6=Lister!$D$6,(Y68-SUMIF($A$62:$A$72,Lister!$M$10,I62:I72))*$C$6/100,
IF($G$6=Lister!$D$7,(Y68-SUMIF($A$62:$A$72,Lister!$M$10,I62:I72)-SUMIF($A$62:$A$72,Lister!$M$7,I62:I72))*$C$6/100,
IF($G$6=Lister!$D$8,(Y68+Y70)*$C$6/100,
IF($G$6=Lister!$D$9,Y67*$C$6/100,0)))))))</f>
        <v>0</v>
      </c>
      <c r="Z69" s="21">
        <f>IF($C$12=2,Z66*$C$6/100,
IF($G$6=Lister!$D$4,Z66*$C$6/100,
IF($G$6=Lister!$D$5,Z68*$C$6/100,
IF($G$6=Lister!$D$6,(Z68-SUMIF($A$62:$A$72,Lister!$M$10,J62:J72))*$C$6/100,
IF($G$6=Lister!$D$7,(Z68-SUMIF($A$62:$A$72,Lister!$M$10,J62:J72)-SUMIF($A$62:$A$72,Lister!$M$7,J62:J72))*$C$6/100,
IF($G$6=Lister!$D$8,(Z68+Z70)*$C$6/100,
IF($G$6=Lister!$D$9,Z67*$C$6/100,0)))))))</f>
        <v>0</v>
      </c>
      <c r="AA69" s="21">
        <f>IF($C$12=2,AA66*$C$6/100,
IF($G$6=Lister!$D$4,AA66*$C$6/100,
IF($G$6=Lister!$D$5,AA68*$C$6/100,
IF($G$6=Lister!$D$6,(AA68-SUMIF($A$62:$A$72,Lister!$M$10,K62:K72))*$C$6/100,
IF($G$6=Lister!$D$7,(AA68-SUMIF($A$62:$A$72,Lister!$M$10,K62:K72)-SUMIF($A$62:$A$72,Lister!$M$7,K62:K72))*$C$6/100,
IF($G$6=Lister!$D$8,(AA68+AA70)*$C$6/100,
IF($G$6=Lister!$D$9,AA67*$C$6/100,0)))))))</f>
        <v>0</v>
      </c>
      <c r="AB69" s="21">
        <f>IF($C$12=2,AB66*$C$6/100,
IF($G$6=Lister!$D$4,AB66*$C$6/100,
IF($G$6=Lister!$D$5,AB68*$C$6/100,
IF($G$6=Lister!$D$6,(AB68-SUMIF($A$62:$A$72,Lister!$M$10,L62:L72))*$C$6/100,
IF($G$6=Lister!$D$7,(AB68-SUMIF($A$62:$A$72,Lister!$M$10,L62:L72)-SUMIF($A$62:$A$72,Lister!$M$7,L62:L72))*$C$6/100,
IF($G$6=Lister!$D$8,(AB68+AB70)*$C$6/100,
IF($G$6=Lister!$D$9,AB67*$C$6/100,0)))))))</f>
        <v>0</v>
      </c>
      <c r="AC69" s="138">
        <f t="shared" si="88"/>
        <v>0</v>
      </c>
      <c r="AF69" s="70"/>
      <c r="AG69" s="70"/>
      <c r="AH69" s="70"/>
      <c r="AI69" s="70"/>
      <c r="AJ69" s="70"/>
      <c r="AK69" s="70"/>
      <c r="AL69" s="70"/>
      <c r="AM69" s="70"/>
      <c r="AN69" s="70"/>
      <c r="AO69" s="70"/>
      <c r="AP69" s="70"/>
      <c r="AQ69" s="70"/>
      <c r="AR69" s="70"/>
      <c r="AS69" s="70"/>
      <c r="AT69" s="70"/>
      <c r="AU69" s="70"/>
      <c r="AV69" s="70"/>
      <c r="AW69" s="70"/>
      <c r="AX69" s="70"/>
      <c r="AY69" s="70"/>
      <c r="AZ69" s="70"/>
    </row>
    <row r="70" spans="1:52" ht="14.25" customHeight="1">
      <c r="A70" s="219" t="s">
        <v>114</v>
      </c>
      <c r="B70" s="220"/>
      <c r="C70" s="288"/>
      <c r="D70" s="288"/>
      <c r="E70" s="288"/>
      <c r="F70" s="288"/>
      <c r="G70" s="288"/>
      <c r="H70" s="288"/>
      <c r="I70" s="288"/>
      <c r="J70" s="288"/>
      <c r="K70" s="288"/>
      <c r="L70" s="288"/>
      <c r="M70" s="21">
        <f t="shared" si="83"/>
        <v>0</v>
      </c>
      <c r="N70" s="285"/>
      <c r="O70" s="285" t="s">
        <v>113</v>
      </c>
      <c r="P70" s="119"/>
      <c r="Q70" s="151" t="s">
        <v>103</v>
      </c>
      <c r="R70" s="312">
        <f t="shared" si="85"/>
        <v>0</v>
      </c>
      <c r="S70" s="153">
        <f>+IF($C$8=Lister!$O$5,C$40*Takstblad!C$84,0)</f>
        <v>0</v>
      </c>
      <c r="T70" s="153">
        <f>+IF($C$8=Lister!$O$5,D$40*Takstblad!D$84,0)</f>
        <v>0</v>
      </c>
      <c r="U70" s="153">
        <f>+IF($C$8=Lister!$O$5,E$40*Takstblad!E$84,0)</f>
        <v>0</v>
      </c>
      <c r="V70" s="153">
        <f>+IF($C$8=Lister!$O$5,F$40*Takstblad!F$84,0)</f>
        <v>0</v>
      </c>
      <c r="W70" s="153">
        <f>+IF($C$8=Lister!$O$5,G$40*Takstblad!G$84,0)</f>
        <v>0</v>
      </c>
      <c r="X70" s="300">
        <f>+IF($C$8=Lister!$O$5,H$40*Takstblad!H$84,0)</f>
        <v>0</v>
      </c>
      <c r="Y70" s="297">
        <f>+IF($C$8=Lister!$O$5,I$40*Takstblad!I$84,0)</f>
        <v>0</v>
      </c>
      <c r="Z70" s="21">
        <f>+IF($C$8=Lister!$O$5,J$40*Takstblad!J$84,0)</f>
        <v>0</v>
      </c>
      <c r="AA70" s="21">
        <f>+IF($C$8=Lister!$O$5,K$40*Takstblad!K$84,0)</f>
        <v>0</v>
      </c>
      <c r="AB70" s="21">
        <f>+IF($C$8=Lister!$O$5,L$40*Takstblad!L$84,0)</f>
        <v>0</v>
      </c>
      <c r="AC70" s="138">
        <f t="shared" si="88"/>
        <v>0</v>
      </c>
      <c r="AF70" s="70"/>
      <c r="AG70" s="70"/>
      <c r="AH70" s="70"/>
      <c r="AI70" s="70"/>
      <c r="AJ70" s="70"/>
      <c r="AK70" s="70"/>
      <c r="AL70" s="70"/>
      <c r="AM70" s="70"/>
      <c r="AN70" s="70"/>
      <c r="AO70" s="70"/>
      <c r="AP70" s="70"/>
      <c r="AQ70" s="70"/>
      <c r="AR70" s="70"/>
      <c r="AS70" s="70"/>
      <c r="AT70" s="70"/>
      <c r="AU70" s="70"/>
      <c r="AV70" s="70"/>
      <c r="AW70" s="70"/>
      <c r="AX70" s="70"/>
      <c r="AY70" s="70"/>
      <c r="AZ70" s="70"/>
    </row>
    <row r="71" spans="1:52" ht="14.25" customHeight="1">
      <c r="A71" s="201" t="s">
        <v>114</v>
      </c>
      <c r="B71" s="16"/>
      <c r="C71" s="288"/>
      <c r="D71" s="288"/>
      <c r="E71" s="288"/>
      <c r="F71" s="288"/>
      <c r="G71" s="288"/>
      <c r="H71" s="288"/>
      <c r="I71" s="288"/>
      <c r="J71" s="288"/>
      <c r="K71" s="288"/>
      <c r="L71" s="288"/>
      <c r="M71" s="21">
        <f t="shared" si="83"/>
        <v>0</v>
      </c>
      <c r="N71" s="285"/>
      <c r="O71" s="285" t="s">
        <v>113</v>
      </c>
      <c r="P71" s="119"/>
      <c r="Q71" s="151" t="s">
        <v>108</v>
      </c>
      <c r="R71" s="312">
        <f t="shared" si="85"/>
        <v>0</v>
      </c>
      <c r="S71" s="153">
        <f t="shared" ref="S71:X71" si="92">+S87+S101</f>
        <v>0</v>
      </c>
      <c r="T71" s="153">
        <f t="shared" si="92"/>
        <v>0</v>
      </c>
      <c r="U71" s="153">
        <f t="shared" si="92"/>
        <v>0</v>
      </c>
      <c r="V71" s="153">
        <f t="shared" si="92"/>
        <v>0</v>
      </c>
      <c r="W71" s="153">
        <f t="shared" si="92"/>
        <v>0</v>
      </c>
      <c r="X71" s="300">
        <f t="shared" si="92"/>
        <v>0</v>
      </c>
      <c r="Y71" s="297">
        <f>+IF($C$8="Project-Supplement",((SUMIF($A$20:$A$29,"PhD",I$20:I$29)+SUMIF($A$20:$A$29,"Research Assistant - avr. rate",I$20:I$29)+SUMIF($A$20:$A$29,"Research Assistant - low rate",I$20:I$29)+SUMIF($A$20:$A$29,"Post doc.",I$20:I$29))/12)*Takstblad!I$85,0)</f>
        <v>0</v>
      </c>
      <c r="Z71" s="21">
        <f>+IF($C$8="Project-Supplement",((SUMIF($A$20:$A$29,"PhD",J$20:J$29)+SUMIF($A$20:$A$29,"Research Assistant - avr. rate",J$20:J$29)+SUMIF($A$20:$A$29,"Research Assistant - low rate",J$20:J$29)+SUMIF($A$20:$A$29,"Post doc.",J$20:J$29))/12)*Takstblad!J$85,0)</f>
        <v>0</v>
      </c>
      <c r="AA71" s="21">
        <f>+IF($C$8="Project-Supplement",((SUMIF($A$20:$A$29,"PhD",K$20:K$29)+SUMIF($A$20:$A$29,"Research Assistant - avr. rate",K$20:K$29)+SUMIF($A$20:$A$29,"Research Assistant - low rate",K$20:K$29)+SUMIF($A$20:$A$29,"Post doc.",K$20:K$29))/12)*Takstblad!K$85,0)</f>
        <v>0</v>
      </c>
      <c r="AB71" s="21">
        <f>+IF($C$8="Project-Supplement",((SUMIF($A$20:$A$29,"PhD",L$20:L$29)+SUMIF($A$20:$A$29,"Research Assistant - avr. rate",L$20:L$29)+SUMIF($A$20:$A$29,"Research Assistant - low rate",L$20:L$29)+SUMIF($A$20:$A$29,"Post doc.",L$20:L$29))/12)*Takstblad!L$85,0)</f>
        <v>0</v>
      </c>
      <c r="AC71" s="138">
        <f t="shared" si="88"/>
        <v>0</v>
      </c>
      <c r="AF71" s="70"/>
      <c r="AG71" s="70"/>
      <c r="AH71" s="70"/>
      <c r="AI71" s="70"/>
      <c r="AJ71" s="70"/>
      <c r="AK71" s="70"/>
      <c r="AL71" s="70"/>
      <c r="AM71" s="70"/>
      <c r="AN71" s="70"/>
      <c r="AO71" s="70"/>
      <c r="AP71" s="70"/>
      <c r="AQ71" s="70"/>
      <c r="AR71" s="70"/>
      <c r="AS71" s="70"/>
      <c r="AT71" s="70"/>
      <c r="AU71" s="70"/>
      <c r="AV71" s="70"/>
      <c r="AW71" s="70"/>
      <c r="AX71" s="70"/>
      <c r="AY71" s="70"/>
      <c r="AZ71" s="70"/>
    </row>
    <row r="72" spans="1:52" s="11" customFormat="1" ht="14.25" customHeight="1">
      <c r="A72" s="219" t="s">
        <v>114</v>
      </c>
      <c r="B72" s="220"/>
      <c r="C72" s="288"/>
      <c r="D72" s="288"/>
      <c r="E72" s="288"/>
      <c r="F72" s="288"/>
      <c r="G72" s="288"/>
      <c r="H72" s="288"/>
      <c r="I72" s="288"/>
      <c r="J72" s="288"/>
      <c r="K72" s="288"/>
      <c r="L72" s="288"/>
      <c r="M72" s="21">
        <f t="shared" si="83"/>
        <v>0</v>
      </c>
      <c r="N72" s="285"/>
      <c r="O72" s="285" t="s">
        <v>113</v>
      </c>
      <c r="P72" s="119"/>
      <c r="Q72" s="150" t="s">
        <v>531</v>
      </c>
      <c r="R72" s="312">
        <f t="shared" si="85"/>
        <v>0</v>
      </c>
      <c r="S72" s="153" t="str">
        <f>IF($C$12=2,(SUM(S68:S71)*$C$13)/100,"0")</f>
        <v>0</v>
      </c>
      <c r="T72" s="153" t="str">
        <f t="shared" ref="T72:Z72" si="93">IF($C$12=2,(SUM(T68:T71)*$C$13)/100,"0")</f>
        <v>0</v>
      </c>
      <c r="U72" s="153" t="str">
        <f t="shared" si="93"/>
        <v>0</v>
      </c>
      <c r="V72" s="153" t="str">
        <f t="shared" si="93"/>
        <v>0</v>
      </c>
      <c r="W72" s="153" t="str">
        <f t="shared" si="93"/>
        <v>0</v>
      </c>
      <c r="X72" s="300" t="str">
        <f t="shared" si="93"/>
        <v>0</v>
      </c>
      <c r="Y72" s="298" t="str">
        <f t="shared" si="93"/>
        <v>0</v>
      </c>
      <c r="Z72" s="153" t="str">
        <f t="shared" si="93"/>
        <v>0</v>
      </c>
      <c r="AA72" s="153" t="str">
        <f>IF($C$12=2,(SUM(AA68:AA71)*$C$13)/100,"0")</f>
        <v>0</v>
      </c>
      <c r="AB72" s="153" t="str">
        <f>IF($C$12=2,(SUM(AB68:AB71)*$C$13)/100,"0")</f>
        <v>0</v>
      </c>
      <c r="AC72" s="138">
        <f t="shared" si="88"/>
        <v>0</v>
      </c>
      <c r="AF72" s="70"/>
      <c r="AG72" s="70"/>
      <c r="AH72" s="70"/>
      <c r="AI72" s="70"/>
      <c r="AJ72" s="70"/>
      <c r="AK72" s="70"/>
      <c r="AL72" s="70"/>
      <c r="AM72" s="70"/>
      <c r="AN72" s="70"/>
      <c r="AO72" s="70"/>
      <c r="AP72" s="70"/>
      <c r="AQ72" s="70"/>
      <c r="AR72" s="78"/>
      <c r="AS72" s="78"/>
      <c r="AT72" s="78"/>
      <c r="AU72" s="78"/>
      <c r="AV72" s="78"/>
      <c r="AW72" s="78"/>
      <c r="AX72" s="78"/>
      <c r="AY72" s="78"/>
      <c r="AZ72" s="78"/>
    </row>
    <row r="73" spans="1:52" s="11" customFormat="1" ht="14.25" customHeight="1">
      <c r="A73" s="5" t="s">
        <v>233</v>
      </c>
      <c r="B73" s="16"/>
      <c r="C73" s="28">
        <f>IFERROR(IF($C$12=2,0,IF($C$8="project-supplement",0,IF(OR($G$7="Salary and Operations",$G$7="Operations"),(VLOOKUP($C$2,Takstblad!$B$71:$L$83,2,FALSE)*C$77)))),0)</f>
        <v>0</v>
      </c>
      <c r="D73" s="28">
        <f>IFERROR(IF($C$12=2,0,IF($C$8="project-supplement",0,IF(OR($G$7="Salary and Operations",$G$7="Operations"),(VLOOKUP($C$2,Takstblad!$B$71:$L$83,3,FALSE)*D$77)))),0)</f>
        <v>0</v>
      </c>
      <c r="E73" s="28">
        <f>IFERROR(IF($C$12=2,0,IF($C$8="project-supplement",0,IF(OR($G$7="Salary and Operations",$G$7="Operations"),(VLOOKUP($C$2,Takstblad!$B$71:$L$83,4,FALSE)*E$77)))),0)</f>
        <v>0</v>
      </c>
      <c r="F73" s="28">
        <f>IFERROR(IF($C$12=2,0,IF($C$8="project-supplement",0,IF(OR($G$7="Salary and Operations",$G$7="Operations"),(VLOOKUP($C$2,Takstblad!$B$71:$L$83,5,FALSE)*F$77)))),0)</f>
        <v>0</v>
      </c>
      <c r="G73" s="28">
        <f>IFERROR(IF($C$12=2,0,IF($C$8="project-supplement",0,IF(OR($G$7="Salary and Operations",$G$7="Operations"),(VLOOKUP($C$2,Takstblad!$B$71:$L$83,6,FALSE)*G$77)))),0)</f>
        <v>0</v>
      </c>
      <c r="H73" s="28">
        <f>IFERROR(IF($C$12=2,0,IF($C$8="project-supplement",0,IF(OR($G$7="Salary and Operations",$G$7="Operations"),(VLOOKUP($C$2,Takstblad!$B$71:$L$83,7,FALSE)*H$77)))),0)</f>
        <v>0</v>
      </c>
      <c r="I73" s="28">
        <f>IFERROR(IF($C$12=2,0,IF($C$8="project-supplement",0,IF(OR($G$7="Salary and Operations",$G$7="Operations"),(VLOOKUP($C$2,Takstblad!$B$71:$L$83,8,FALSE)*I$77)))),0)</f>
        <v>0</v>
      </c>
      <c r="J73" s="28">
        <f>IFERROR(IF($C$12=2,0,IF($C$8="project-supplement",0,IF(OR($G$7="Salary and Operations",$G$7="Operations"),(VLOOKUP($C$2,Takstblad!$B$71:$L$83,9,FALSE)*J$77)))),0)</f>
        <v>0</v>
      </c>
      <c r="K73" s="28">
        <f>IFERROR(IF($C$12=2,0,IF($C$8="project-supplement",0,IF(OR($G$7="Salary and Operations",$G$7="Operations"),(VLOOKUP($C$2,Takstblad!$B$71:$L$83,10,FALSE)*K$77)))),0)</f>
        <v>0</v>
      </c>
      <c r="L73" s="28">
        <f>IFERROR(IF($C$12=2,0,IF($C$8="project-supplement",0,IF(OR($G$7="Salary and Operations",$G$7="Operations"),(VLOOKUP($C$2,Takstblad!$B$71:$L$83,11,FALSE)*L$77)))),0)</f>
        <v>0</v>
      </c>
      <c r="M73" s="21">
        <f t="shared" si="83"/>
        <v>0</v>
      </c>
      <c r="N73" s="21"/>
      <c r="O73" s="225" t="s">
        <v>152</v>
      </c>
      <c r="P73" s="118"/>
      <c r="Q73" s="149" t="s">
        <v>101</v>
      </c>
      <c r="R73" s="312">
        <f t="shared" si="85"/>
        <v>0</v>
      </c>
      <c r="S73" s="313">
        <f>+SUM(S68:S72)</f>
        <v>0</v>
      </c>
      <c r="T73" s="313">
        <f t="shared" ref="T73:Z73" si="94">+SUM(T68:T72)</f>
        <v>0</v>
      </c>
      <c r="U73" s="313">
        <f t="shared" si="94"/>
        <v>0</v>
      </c>
      <c r="V73" s="313">
        <f t="shared" si="94"/>
        <v>0</v>
      </c>
      <c r="W73" s="313">
        <f t="shared" si="94"/>
        <v>0</v>
      </c>
      <c r="X73" s="314">
        <f t="shared" si="94"/>
        <v>0</v>
      </c>
      <c r="Y73" s="296">
        <f t="shared" si="94"/>
        <v>0</v>
      </c>
      <c r="Z73" s="137">
        <f t="shared" si="94"/>
        <v>0</v>
      </c>
      <c r="AA73" s="137">
        <f>+SUM(AA68:AA72)</f>
        <v>0</v>
      </c>
      <c r="AB73" s="137">
        <f>+SUM(AB68:AB72)</f>
        <v>0</v>
      </c>
      <c r="AC73" s="138">
        <f t="shared" si="88"/>
        <v>0</v>
      </c>
      <c r="AF73" s="70"/>
      <c r="AG73" s="70"/>
      <c r="AH73" s="70"/>
      <c r="AI73" s="70"/>
      <c r="AJ73" s="70"/>
      <c r="AK73" s="70"/>
      <c r="AL73" s="70"/>
      <c r="AM73" s="70"/>
      <c r="AN73" s="70"/>
      <c r="AO73" s="70"/>
      <c r="AP73" s="70"/>
      <c r="AQ73" s="70"/>
      <c r="AR73" s="78"/>
      <c r="AS73" s="78"/>
      <c r="AT73" s="78"/>
      <c r="AU73" s="78"/>
      <c r="AV73" s="78"/>
      <c r="AW73" s="78"/>
      <c r="AX73" s="78"/>
      <c r="AY73" s="78"/>
      <c r="AZ73" s="78"/>
    </row>
    <row r="74" spans="1:52" ht="14.25" customHeight="1" thickBot="1">
      <c r="A74" s="5" t="s">
        <v>712</v>
      </c>
      <c r="B74" s="16"/>
      <c r="C74" s="28">
        <f>IFERROR(IF($C$12=2,0,IF($C$8="project-supplement",0,IF(OR($G$7="Salary and Operations",$G$7="Operations"),(VLOOKUP($C$2,Takstblad!$B$71:$L$83,2,FALSE)*C$78)))),0)</f>
        <v>0</v>
      </c>
      <c r="D74" s="28">
        <f>IFERROR(IF($C$12=2,0,IF($C$8="project-supplement",0,IF(OR($G$7="Salary and Operations",$G$7="Operations"),(VLOOKUP($C$2,Takstblad!$B$71:$L$83,3,FALSE)*D$78)))),0)</f>
        <v>0</v>
      </c>
      <c r="E74" s="28">
        <f>IFERROR(IF($C$12=2,0,IF($C$8="project-supplement",0,IF(OR($G$7="Salary and Operations",$G$7="Operations"),(VLOOKUP($C$2,Takstblad!$B$71:$L$83,4,FALSE)*E$78)))),0)</f>
        <v>0</v>
      </c>
      <c r="F74" s="28">
        <f>IFERROR(IF($C$12=2,0,IF($C$8="project-supplement",0,IF(OR($G$7="Salary and Operations",$G$7="Operations"),(VLOOKUP($C$2,Takstblad!$B$71:$L$83,5,FALSE)*F$78)))),0)</f>
        <v>0</v>
      </c>
      <c r="G74" s="28">
        <f>IFERROR(IF($C$12=2,0,IF($C$8="project-supplement",0,IF(OR($G$7="Salary and Operations",$G$7="Operations"),(VLOOKUP($C$2,Takstblad!$B$71:$L$83,6,FALSE)*G$78)))),0)</f>
        <v>0</v>
      </c>
      <c r="H74" s="28">
        <f>IFERROR(IF($C$12=2,0,IF($C$8="project-supplement",0,IF(OR($G$7="Salary and Operations",$G$7="Operations"),(VLOOKUP($C$2,Takstblad!$B$71:$L$83,7,FALSE)*H$78)))),0)</f>
        <v>0</v>
      </c>
      <c r="I74" s="28">
        <f>IFERROR(IF($C$12=2,0,IF($C$8="project-supplement",0,IF(OR($G$7="Salary and Operations",$G$7="Operations"),(VLOOKUP($C$2,Takstblad!$B$71:$L$83,8,FALSE)*I$78)))),0)</f>
        <v>0</v>
      </c>
      <c r="J74" s="28">
        <f>IFERROR(IF($C$12=2,0,IF($C$8="project-supplement",0,IF(OR($G$7="Salary and Operations",$G$7="Operations"),(VLOOKUP($C$2,Takstblad!$B$71:$L$83,9,FALSE)*J$78)))),0)</f>
        <v>0</v>
      </c>
      <c r="K74" s="28">
        <f>IFERROR(IF($C$12=2,0,IF($C$8="project-supplement",0,IF(OR($G$7="Salary and Operations",$G$7="Operations"),(VLOOKUP($C$2,Takstblad!$B$71:$L$83,10,FALSE)*K$78)))),0)</f>
        <v>0</v>
      </c>
      <c r="L74" s="28">
        <f>IFERROR(IF($C$12=2,0,IF($C$8="project-supplement",0,IF(OR($G$7="Salary and Operations",$G$7="Operations"),(VLOOKUP($C$2,Takstblad!$B$71:$L$83,11,FALSE)*L$78)))),0)</f>
        <v>0</v>
      </c>
      <c r="M74" s="21">
        <f t="shared" si="83"/>
        <v>0</v>
      </c>
      <c r="N74" s="95"/>
      <c r="O74" s="225" t="s">
        <v>112</v>
      </c>
      <c r="P74" s="118"/>
      <c r="Q74" s="127"/>
      <c r="R74" s="129"/>
      <c r="S74" s="128"/>
      <c r="T74" s="128"/>
      <c r="U74" s="128"/>
      <c r="V74" s="128"/>
      <c r="W74" s="128"/>
      <c r="X74" s="129"/>
      <c r="Y74" s="128"/>
      <c r="Z74" s="128"/>
      <c r="AA74" s="128"/>
      <c r="AB74" s="128"/>
      <c r="AC74" s="129"/>
      <c r="AF74" s="78"/>
      <c r="AG74" s="78"/>
      <c r="AH74" s="78"/>
      <c r="AI74" s="78"/>
      <c r="AJ74" s="78"/>
      <c r="AK74" s="78"/>
      <c r="AL74" s="78"/>
      <c r="AM74" s="78"/>
      <c r="AN74" s="78"/>
      <c r="AO74" s="78"/>
      <c r="AP74" s="78"/>
      <c r="AQ74" s="78"/>
      <c r="AR74" s="70"/>
      <c r="AS74" s="70"/>
      <c r="AT74" s="70"/>
      <c r="AU74" s="70"/>
      <c r="AV74" s="70"/>
      <c r="AW74" s="70"/>
      <c r="AX74" s="70"/>
      <c r="AY74" s="70"/>
      <c r="AZ74" s="70"/>
    </row>
    <row r="75" spans="1:52" ht="14.25" customHeight="1" thickBot="1">
      <c r="A75" s="4" t="s">
        <v>72</v>
      </c>
      <c r="B75" s="16"/>
      <c r="C75" s="22">
        <f>SUM(C62:C74)-SUMIF($A$62:$A$72,Lister!$M$9,C62:C72)-ABS(SUMIF($A$62:$A$72,Lister!$M$9,C62:C72))</f>
        <v>0</v>
      </c>
      <c r="D75" s="22">
        <f>SUM(D62:D74)-SUMIF($A$62:$A$72,Lister!$M$9,D62:D72)-ABS(SUMIF($A$62:$A$72,Lister!$M$9,D62:D72))</f>
        <v>0</v>
      </c>
      <c r="E75" s="22">
        <f>SUM(E62:E74)-SUMIF($A$62:$A$72,Lister!$M$9,E62:E72)-ABS(SUMIF($A$62:$A$72,Lister!$M$9,E62:E72))</f>
        <v>0</v>
      </c>
      <c r="F75" s="22">
        <f>SUM(F62:F74)-SUMIF($A$62:$A$72,Lister!$M$9,F62:F72)-ABS(SUMIF($A$62:$A$72,Lister!$M$9,F62:F72))</f>
        <v>0</v>
      </c>
      <c r="G75" s="22">
        <f>SUM(G62:G74)-SUMIF($A$62:$A$72,Lister!$M$9,G62:G72)-ABS(SUMIF($A$62:$A$72,Lister!$M$9,G62:G72))</f>
        <v>0</v>
      </c>
      <c r="H75" s="22">
        <f>SUM(H62:H74)-SUMIF($A$62:$A$72,Lister!$M$9,H62:H72)-ABS(SUMIF($A$62:$A$72,Lister!$M$9,H62:H72))</f>
        <v>0</v>
      </c>
      <c r="I75" s="51">
        <f>SUM(I62:I74)-SUMIF($A$62:$A$72,Lister!$M$9,I62:I72)-ABS(SUMIF($A$62:$A$72,Lister!$M$9,I62:I72))</f>
        <v>0</v>
      </c>
      <c r="J75" s="51">
        <f>SUM(J62:J74)-SUMIF($A$62:$A$72,Lister!$M$9,J62:J72)-ABS(SUMIF($A$62:$A$72,Lister!$M$9,J62:J72))</f>
        <v>0</v>
      </c>
      <c r="K75" s="51">
        <f>SUM(K62:K74)-SUMIF($A$62:$A$72,Lister!$M$9,K62:K72)-ABS(SUMIF($A$62:$A$72,Lister!$M$9,K62:K72))</f>
        <v>0</v>
      </c>
      <c r="L75" s="51">
        <f>SUM(L62:L74)-SUMIF($A$62:$A$72,Lister!$M$9,L62:L72)-ABS(SUMIF($A$62:$A$72,Lister!$M$9,L62:L72))</f>
        <v>0</v>
      </c>
      <c r="M75" s="13">
        <f t="shared" si="83"/>
        <v>0</v>
      </c>
      <c r="N75" s="13"/>
      <c r="O75" s="16"/>
      <c r="P75" s="16"/>
      <c r="Q75" s="130" t="s">
        <v>587</v>
      </c>
      <c r="R75" s="131"/>
      <c r="S75" s="230"/>
      <c r="T75" s="136"/>
      <c r="U75" s="136"/>
      <c r="V75" s="136"/>
      <c r="W75" s="136"/>
      <c r="X75" s="305"/>
      <c r="Y75" s="136"/>
      <c r="Z75" s="136"/>
      <c r="AA75" s="136"/>
      <c r="AB75" s="136"/>
      <c r="AC75" s="131"/>
      <c r="AF75" s="78"/>
      <c r="AG75" s="78"/>
      <c r="AH75" s="78"/>
      <c r="AI75" s="78"/>
      <c r="AJ75" s="78"/>
      <c r="AK75" s="78"/>
      <c r="AL75" s="78"/>
      <c r="AM75" s="78"/>
      <c r="AN75" s="78"/>
      <c r="AO75" s="78"/>
      <c r="AP75" s="78"/>
      <c r="AQ75" s="78"/>
      <c r="AR75" s="70"/>
      <c r="AS75" s="70"/>
      <c r="AT75" s="70"/>
      <c r="AU75" s="70"/>
      <c r="AV75" s="70"/>
      <c r="AW75" s="70"/>
      <c r="AX75" s="70"/>
      <c r="AY75" s="70"/>
      <c r="AZ75" s="70"/>
    </row>
    <row r="76" spans="1:52" s="9" customFormat="1" ht="14.25" customHeight="1">
      <c r="A76" s="71"/>
      <c r="B76" s="76"/>
      <c r="C76" s="76"/>
      <c r="D76" s="76"/>
      <c r="E76" s="76"/>
      <c r="F76" s="76"/>
      <c r="G76" s="76"/>
      <c r="H76" s="76"/>
      <c r="I76" s="76"/>
      <c r="J76" s="76"/>
      <c r="K76" s="76"/>
      <c r="L76" s="76"/>
      <c r="M76" s="76"/>
      <c r="N76" s="76"/>
      <c r="O76" s="86"/>
      <c r="P76" s="86"/>
      <c r="Q76" s="132"/>
      <c r="R76" s="133"/>
      <c r="S76" s="16"/>
      <c r="T76" s="76"/>
      <c r="U76" s="76"/>
      <c r="V76" s="76"/>
      <c r="W76" s="76"/>
      <c r="X76" s="133"/>
      <c r="Y76" s="76"/>
      <c r="Z76" s="76"/>
      <c r="AA76" s="76"/>
      <c r="AB76" s="76"/>
      <c r="AC76" s="133"/>
      <c r="AF76" s="70"/>
      <c r="AG76" s="70"/>
      <c r="AH76" s="70"/>
      <c r="AI76" s="70"/>
      <c r="AJ76" s="70"/>
      <c r="AK76" s="70"/>
      <c r="AL76" s="70"/>
      <c r="AM76" s="70"/>
      <c r="AN76" s="70"/>
      <c r="AO76" s="70"/>
      <c r="AP76" s="70"/>
      <c r="AQ76" s="70"/>
      <c r="AR76" s="71"/>
      <c r="AS76" s="71"/>
      <c r="AT76" s="71"/>
      <c r="AU76" s="71"/>
      <c r="AV76" s="71"/>
      <c r="AW76" s="71"/>
      <c r="AX76" s="71"/>
      <c r="AY76" s="71"/>
      <c r="AZ76" s="71"/>
    </row>
    <row r="77" spans="1:52" ht="14.25" hidden="1" customHeight="1">
      <c r="A77" s="71" t="s">
        <v>196</v>
      </c>
      <c r="B77" s="70"/>
      <c r="C77" s="100">
        <f>SUMIFS(C43:C52,$O$43:$O$52,Lister!$D$30,$B$43:$B$52,Lister!$A$45)+SUMIFS(C43:C52,$O$43:$O$52,Lister!$D$29,$B$43:$B$52,Lister!$A$45)</f>
        <v>0</v>
      </c>
      <c r="D77" s="100">
        <f>SUMIFS(D43:D52,$O$43:$O$52,Lister!$D$30,$B$43:$B$52,Lister!$A$45)+SUMIFS(D43:D52,$O$43:$O$52,Lister!$D$29,$B$43:$B$52,Lister!$A$45)</f>
        <v>0</v>
      </c>
      <c r="E77" s="100">
        <f>SUMIFS(E43:E52,$O$43:$O$52,Lister!$D$30,$B$43:$B$52,Lister!$A$45)+SUMIFS(E43:E52,$O$43:$O$52,Lister!$D$29,$B$43:$B$52,Lister!$A$45)</f>
        <v>0</v>
      </c>
      <c r="F77" s="100">
        <f>SUMIFS(F43:F52,$O$43:$O$52,Lister!$D$30,$B$43:$B$52,Lister!$A$45)+SUMIFS(F43:F52,$O$43:$O$52,Lister!$D$29,$B$43:$B$52,Lister!$A$45)</f>
        <v>0</v>
      </c>
      <c r="G77" s="100">
        <f>SUMIFS(G43:G52,$O$43:$O$52,Lister!$D$30,$B$43:$B$52,Lister!$A$45)+SUMIFS(G43:G52,$O$43:$O$52,Lister!$D$29,$B$43:$B$52,Lister!$A$45)</f>
        <v>0</v>
      </c>
      <c r="H77" s="100">
        <f>SUMIFS(H43:H52,$O$43:$O$52,Lister!$D$30,$B$43:$B$52,Lister!$A$45)+SUMIFS(H43:H52,$O$43:$O$52,Lister!$D$29,$B$43:$B$52,Lister!$A$45)</f>
        <v>0</v>
      </c>
      <c r="I77" s="100">
        <f>SUMIFS(I43:I52,$O$43:$O$52,Lister!$D$30,$B$43:$B$52,Lister!$A$45)+SUMIFS(I43:I52,$O$43:$O$52,Lister!$D$29,$B$43:$B$52,Lister!$A$45)</f>
        <v>0</v>
      </c>
      <c r="J77" s="100">
        <f>SUMIFS(J43:J52,$O$43:$O$52,Lister!$D$30,$B$43:$B$52,Lister!$A$45)+SUMIFS(J43:J52,$O$43:$O$52,Lister!$D$29,$B$43:$B$52,Lister!$A$45)</f>
        <v>0</v>
      </c>
      <c r="K77" s="100">
        <f>SUMIFS(K43:K52,$O$43:$O$52,Lister!$D$30,$B$43:$B$52,Lister!$A$45)+SUMIFS(K43:K52,$O$43:$O$52,Lister!$D$29,$B$43:$B$52,Lister!$A$45)</f>
        <v>0</v>
      </c>
      <c r="L77" s="100">
        <f>SUMIFS(L43:L52,$O$43:$O$52,Lister!$D$30,$B$43:$B$52,Lister!$A$45)+SUMIFS(L43:L52,$O$43:$O$52,Lister!$D$29,$B$43:$B$52,Lister!$A$45)</f>
        <v>0</v>
      </c>
      <c r="M77" s="70"/>
      <c r="N77" s="70"/>
      <c r="O77" s="85"/>
      <c r="P77" s="85"/>
      <c r="Q77" s="132"/>
      <c r="R77" s="133"/>
      <c r="S77" s="16"/>
      <c r="T77" s="76"/>
      <c r="U77" s="76"/>
      <c r="V77" s="76"/>
      <c r="W77" s="76"/>
      <c r="X77" s="133"/>
      <c r="Y77" s="76"/>
      <c r="Z77" s="76"/>
      <c r="AA77" s="76"/>
      <c r="AB77" s="76"/>
      <c r="AC77" s="133"/>
      <c r="AF77" s="70"/>
      <c r="AG77" s="70"/>
      <c r="AH77" s="70"/>
      <c r="AI77" s="70"/>
      <c r="AJ77" s="70"/>
      <c r="AK77" s="70"/>
      <c r="AL77" s="70"/>
      <c r="AM77" s="70"/>
      <c r="AN77" s="70"/>
      <c r="AO77" s="70"/>
      <c r="AP77" s="70"/>
      <c r="AQ77" s="70"/>
      <c r="AR77" s="70"/>
      <c r="AS77" s="70"/>
      <c r="AT77" s="70"/>
      <c r="AU77" s="70"/>
      <c r="AV77" s="70"/>
      <c r="AW77" s="70"/>
      <c r="AX77" s="70"/>
      <c r="AY77" s="70"/>
      <c r="AZ77" s="70"/>
    </row>
    <row r="78" spans="1:52" ht="14.25" hidden="1" customHeight="1">
      <c r="A78" s="71" t="s">
        <v>197</v>
      </c>
      <c r="B78" s="71"/>
      <c r="C78" s="100">
        <f>SUMIFS(C43:C52,$O$43:$O$52,Lister!$D$31,$B$43:$B$52,Lister!$A$45)</f>
        <v>0</v>
      </c>
      <c r="D78" s="100">
        <f>SUMIFS(D43:D52,$O$43:$O$52,Lister!$D$31,$B$43:$B$52,Lister!$A$45)</f>
        <v>0</v>
      </c>
      <c r="E78" s="100">
        <f>SUMIFS(E43:E52,$O$43:$O$52,Lister!$D$31,$B$43:$B$52,Lister!$A$45)</f>
        <v>0</v>
      </c>
      <c r="F78" s="100">
        <f>SUMIFS(F43:F52,$O$43:$O$52,Lister!$D$31,$B$43:$B$52,Lister!$A$45)</f>
        <v>0</v>
      </c>
      <c r="G78" s="100">
        <f>SUMIFS(G43:G52,$O$43:$O$52,Lister!$D$31,$B$43:$B$52,Lister!$A$45)</f>
        <v>0</v>
      </c>
      <c r="H78" s="100">
        <f>SUMIFS(H43:H52,$O$43:$O$52,Lister!$D$31,$B$43:$B$52,Lister!$A$45)</f>
        <v>0</v>
      </c>
      <c r="I78" s="100">
        <f>SUMIFS(I43:I52,$O$43:$O$52,Lister!$D$31,$B$43:$B$52,Lister!$A$45)</f>
        <v>0</v>
      </c>
      <c r="J78" s="100">
        <f>SUMIFS(J43:J52,$O$43:$O$52,Lister!$D$31,$B$43:$B$52,Lister!$A$45)</f>
        <v>0</v>
      </c>
      <c r="K78" s="100">
        <f>SUMIFS(K43:K52,$O$43:$O$52,Lister!$D$31,$B$43:$B$52,Lister!$A$45)</f>
        <v>0</v>
      </c>
      <c r="L78" s="100">
        <f>SUMIFS(L43:L52,$O$43:$O$52,Lister!$D$31,$B$43:$B$52,Lister!$A$45)</f>
        <v>0</v>
      </c>
      <c r="M78" s="71"/>
      <c r="N78" s="71"/>
      <c r="O78" s="87"/>
      <c r="P78" s="87"/>
      <c r="Q78" s="132"/>
      <c r="R78" s="133"/>
      <c r="S78" s="16"/>
      <c r="T78" s="76"/>
      <c r="U78" s="76"/>
      <c r="V78" s="76"/>
      <c r="W78" s="76"/>
      <c r="X78" s="133"/>
      <c r="Y78" s="76"/>
      <c r="Z78" s="76"/>
      <c r="AA78" s="76"/>
      <c r="AB78" s="76"/>
      <c r="AC78" s="133"/>
      <c r="AF78" s="71"/>
      <c r="AG78" s="71"/>
      <c r="AH78" s="71"/>
      <c r="AI78" s="71"/>
      <c r="AJ78" s="71"/>
      <c r="AK78" s="71"/>
      <c r="AL78" s="71"/>
      <c r="AM78" s="71"/>
      <c r="AN78" s="71"/>
      <c r="AO78" s="71"/>
      <c r="AP78" s="71"/>
      <c r="AQ78" s="71"/>
      <c r="AR78" s="70"/>
      <c r="AS78" s="70"/>
    </row>
    <row r="79" spans="1:52" s="9" customFormat="1" ht="14.25" customHeight="1">
      <c r="A79" s="70"/>
      <c r="B79" s="73"/>
      <c r="C79" s="70"/>
      <c r="D79" s="70"/>
      <c r="E79" s="70"/>
      <c r="F79" s="70"/>
      <c r="G79" s="70"/>
      <c r="H79" s="73"/>
      <c r="I79" s="73"/>
      <c r="J79" s="73"/>
      <c r="K79" s="73"/>
      <c r="L79" s="73"/>
      <c r="M79" s="73"/>
      <c r="N79" s="73"/>
      <c r="O79" s="88"/>
      <c r="P79" s="88"/>
      <c r="Q79" s="152" t="s">
        <v>22</v>
      </c>
      <c r="R79" s="124" t="s">
        <v>34</v>
      </c>
      <c r="S79" s="45">
        <f>+S63</f>
        <v>2026</v>
      </c>
      <c r="T79" s="8">
        <f t="shared" ref="T79:Z79" si="95">+T63</f>
        <v>2027</v>
      </c>
      <c r="U79" s="8">
        <f t="shared" si="95"/>
        <v>2028</v>
      </c>
      <c r="V79" s="8">
        <f t="shared" si="95"/>
        <v>2029</v>
      </c>
      <c r="W79" s="8">
        <f t="shared" si="95"/>
        <v>2030</v>
      </c>
      <c r="X79" s="124">
        <f t="shared" si="95"/>
        <v>2031</v>
      </c>
      <c r="Y79" s="8">
        <f t="shared" si="95"/>
        <v>2032</v>
      </c>
      <c r="Z79" s="8">
        <f t="shared" si="95"/>
        <v>2033</v>
      </c>
      <c r="AA79" s="8">
        <f>+AA63</f>
        <v>2034</v>
      </c>
      <c r="AB79" s="8">
        <f>+AB63</f>
        <v>2035</v>
      </c>
      <c r="AC79" s="124" t="s">
        <v>34</v>
      </c>
      <c r="AF79" s="71"/>
      <c r="AG79" s="71"/>
      <c r="AH79" s="71"/>
      <c r="AI79" s="71"/>
      <c r="AJ79" s="71"/>
      <c r="AK79" s="71"/>
      <c r="AL79" s="71"/>
      <c r="AM79" s="71"/>
      <c r="AN79" s="71"/>
      <c r="AO79" s="71"/>
      <c r="AP79" s="71"/>
      <c r="AQ79" s="71"/>
      <c r="AR79" s="71"/>
      <c r="AS79" s="71"/>
    </row>
    <row r="80" spans="1:52" s="9" customFormat="1" ht="14.25" customHeight="1">
      <c r="A80" s="70"/>
      <c r="B80" s="78"/>
      <c r="C80" s="78"/>
      <c r="D80" s="78"/>
      <c r="E80" s="78"/>
      <c r="F80" s="78"/>
      <c r="G80" s="78"/>
      <c r="H80" s="78"/>
      <c r="I80" s="78"/>
      <c r="J80" s="78"/>
      <c r="K80" s="78"/>
      <c r="L80" s="78"/>
      <c r="M80" s="78"/>
      <c r="N80" s="78"/>
      <c r="O80" s="89"/>
      <c r="P80" s="89"/>
      <c r="Q80" s="147" t="s">
        <v>74</v>
      </c>
      <c r="R80" s="315">
        <f t="shared" ref="R80:R89" si="96">+AC80</f>
        <v>0</v>
      </c>
      <c r="S80" s="316">
        <f>+SUMIF($O$20:$O$39,Lister!$D$29,S20:S39)+SUMIF($O$20:$O$39,Lister!$D$30,S20:S39)</f>
        <v>0</v>
      </c>
      <c r="T80" s="316">
        <f>+SUMIF($O$20:$O$39,Lister!$D$29,T20:T39)+SUMIF($O$20:$O$39,Lister!$D$30,T20:T39)</f>
        <v>0</v>
      </c>
      <c r="U80" s="316">
        <f>+SUMIF($O$20:$O$39,Lister!$D$29,U20:U39)+SUMIF($O$20:$O$39,Lister!$D$30,U20:U39)</f>
        <v>0</v>
      </c>
      <c r="V80" s="316">
        <f>+SUMIF($O$20:$O$39,Lister!$D$29,V20:V39)+SUMIF($O$20:$O$39,Lister!$D$30,V20:V39)</f>
        <v>0</v>
      </c>
      <c r="W80" s="316">
        <f>+SUMIF($O$20:$O$39,Lister!$D$29,W20:W39)+SUMIF($O$20:$O$39,Lister!$D$30,W20:W39)</f>
        <v>0</v>
      </c>
      <c r="X80" s="316">
        <f>+SUMIF($O$20:$O$39,Lister!$D$29,X20:X39)+SUMIF($O$20:$O$39,Lister!$D$30,X20:X39)</f>
        <v>0</v>
      </c>
      <c r="Y80" s="316">
        <f>+SUMIF($O$20:$O$39,Lister!$D$29,Y20:Y39)+SUMIF($O$20:$O$39,Lister!$D$30,Y20:Y39)</f>
        <v>0</v>
      </c>
      <c r="Z80" s="316">
        <f>+SUMIF($O$20:$O$39,Lister!$D$29,Z20:Z39)+SUMIF($O$20:$O$39,Lister!$D$30,Z20:Z39)</f>
        <v>0</v>
      </c>
      <c r="AA80" s="316">
        <f>+SUMIF($O$20:$O$39,Lister!$D$29,AA20:AA39)+SUMIF($O$20:$O$39,Lister!$D$30,AA20:AA39)</f>
        <v>0</v>
      </c>
      <c r="AB80" s="316">
        <f>+SUMIF($O$20:$O$39,Lister!$D$29,AB20:AB39)+SUMIF($O$20:$O$39,Lister!$D$30,AB20:AB39)</f>
        <v>0</v>
      </c>
      <c r="AC80" s="140">
        <f>SUM(S80:AB80)</f>
        <v>0</v>
      </c>
      <c r="AF80" s="71"/>
      <c r="AG80" s="71"/>
      <c r="AH80" s="71"/>
      <c r="AI80" s="71"/>
      <c r="AJ80" s="71"/>
      <c r="AK80" s="71"/>
      <c r="AL80" s="71"/>
      <c r="AM80" s="71"/>
      <c r="AN80" s="71"/>
      <c r="AO80" s="71"/>
      <c r="AP80" s="71"/>
      <c r="AQ80" s="71"/>
      <c r="AR80" s="71"/>
      <c r="AS80" s="71"/>
    </row>
    <row r="81" spans="1:62" ht="14.25" customHeight="1">
      <c r="N81" s="78"/>
      <c r="O81" s="89"/>
      <c r="P81" s="89"/>
      <c r="Q81" s="148" t="s">
        <v>75</v>
      </c>
      <c r="R81" s="309">
        <f t="shared" si="96"/>
        <v>0</v>
      </c>
      <c r="S81" s="310">
        <f>+SUMIF($O$43:$O$55,Lister!$D$29,S43:S55)+SUMIF($O$43:$O$55,Lister!$D$30,S43:S55)</f>
        <v>0</v>
      </c>
      <c r="T81" s="319">
        <f>+SUMIF($O$43:$O$55,Lister!$D$29,T43:T55)+SUMIF($O$43:$O$55,Lister!$D$30,T43:T55)</f>
        <v>0</v>
      </c>
      <c r="U81" s="310">
        <f>+SUMIF($O$43:$O$55,Lister!$D$29,U43:U55)+SUMIF($O$43:$O$55,Lister!$D$30,U43:U55)</f>
        <v>0</v>
      </c>
      <c r="V81" s="319">
        <f>+SUMIF($O$43:$O$55,Lister!$D$29,V43:V55)+SUMIF($O$43:$O$55,Lister!$D$30,V43:V55)</f>
        <v>0</v>
      </c>
      <c r="W81" s="310">
        <f>+SUMIF($O$43:$O$55,Lister!$D$29,W43:W55)+SUMIF($O$43:$O$55,Lister!$D$30,W43:W55)</f>
        <v>0</v>
      </c>
      <c r="X81" s="320">
        <f>+SUMIF($O$43:$O$55,Lister!$D$29,X43:X55)+SUMIF($O$43:$O$55,Lister!$D$30,X43:X55)</f>
        <v>0</v>
      </c>
      <c r="Y81" s="295">
        <f>+SUMIF($O$43:$O$55,Lister!$D$29,Y43:Y55)+SUMIF($O$43:$O$55,Lister!$D$30,Y43:Y55)</f>
        <v>0</v>
      </c>
      <c r="Z81" s="113">
        <f>+SUMIF($O$43:$O$55,Lister!$D$29,Z43:Z55)+SUMIF($O$43:$O$55,Lister!$D$30,Z43:Z55)</f>
        <v>0</v>
      </c>
      <c r="AA81" s="113">
        <f>+SUMIF($O$43:$O$55,Lister!$D$29,AA43:AA55)+SUMIF($O$43:$O$55,Lister!$D$30,AA43:AA55)</f>
        <v>0</v>
      </c>
      <c r="AB81" s="113">
        <f>+SUMIF($O$43:$O$55,Lister!$D$29,AB43:AB55)+SUMIF($O$43:$O$55,Lister!$D$30,AB43:AB55)</f>
        <v>0</v>
      </c>
      <c r="AC81" s="141">
        <f t="shared" ref="AC81:AC89" si="97">SUM(S81:AB81)</f>
        <v>0</v>
      </c>
      <c r="AF81" s="71"/>
      <c r="AG81" s="71"/>
      <c r="AH81" s="71"/>
      <c r="AI81" s="71"/>
      <c r="AJ81" s="71"/>
      <c r="AK81" s="71"/>
      <c r="AL81" s="71"/>
      <c r="AM81" s="71"/>
      <c r="AN81" s="71"/>
      <c r="AO81" s="71"/>
      <c r="AP81" s="71"/>
      <c r="AQ81" s="71"/>
      <c r="AR81" s="70"/>
      <c r="AS81" s="70"/>
    </row>
    <row r="82" spans="1:62" s="14" customFormat="1" ht="14.25" customHeight="1">
      <c r="N82" s="70"/>
      <c r="O82" s="85"/>
      <c r="P82" s="85"/>
      <c r="Q82" s="149" t="s">
        <v>76</v>
      </c>
      <c r="R82" s="312">
        <f t="shared" si="96"/>
        <v>0</v>
      </c>
      <c r="S82" s="313">
        <f t="shared" ref="S82:AB82" si="98">+SUM(S80:S81)</f>
        <v>0</v>
      </c>
      <c r="T82" s="313">
        <f t="shared" si="98"/>
        <v>0</v>
      </c>
      <c r="U82" s="313">
        <f t="shared" si="98"/>
        <v>0</v>
      </c>
      <c r="V82" s="313">
        <f t="shared" si="98"/>
        <v>0</v>
      </c>
      <c r="W82" s="313">
        <f t="shared" si="98"/>
        <v>0</v>
      </c>
      <c r="X82" s="314">
        <f t="shared" si="98"/>
        <v>0</v>
      </c>
      <c r="Y82" s="142">
        <f t="shared" si="98"/>
        <v>0</v>
      </c>
      <c r="Z82" s="137">
        <f t="shared" si="98"/>
        <v>0</v>
      </c>
      <c r="AA82" s="137">
        <f t="shared" si="98"/>
        <v>0</v>
      </c>
      <c r="AB82" s="137">
        <f t="shared" si="98"/>
        <v>0</v>
      </c>
      <c r="AC82" s="138">
        <f t="shared" si="97"/>
        <v>0</v>
      </c>
      <c r="AF82" s="71"/>
      <c r="AG82" s="71"/>
      <c r="AH82" s="71"/>
      <c r="AI82" s="71"/>
      <c r="AJ82" s="71"/>
      <c r="AK82" s="71"/>
      <c r="AL82" s="71"/>
      <c r="AM82" s="71"/>
      <c r="AN82" s="71"/>
      <c r="AO82" s="71"/>
      <c r="AP82" s="71"/>
      <c r="AQ82" s="71"/>
      <c r="AR82" s="79"/>
      <c r="AS82" s="79"/>
    </row>
    <row r="83" spans="1:62" ht="14.25" customHeight="1">
      <c r="N83" s="70"/>
      <c r="O83" s="85"/>
      <c r="P83" s="85"/>
      <c r="Q83" s="149" t="s">
        <v>77</v>
      </c>
      <c r="R83" s="312">
        <f t="shared" si="96"/>
        <v>0</v>
      </c>
      <c r="S83" s="313">
        <f>+SUMIF($O$62:$O$74,Lister!$D$29,C62:C74)+SUMIF($O$62:$O$74,Lister!$D$30,C62:C74)-SUMIFS(C62:C74,$O$62:$O$74,Lister!$D$29,$A$62:$A$74,Lister!$M$9)-SUMIFS(C62:C74,$O$62:$O$74,Lister!$D$30,$A$62:$A$74,Lister!$M$9)</f>
        <v>0</v>
      </c>
      <c r="T83" s="313">
        <f>+SUMIF($O$62:$O$74,Lister!$D$29,D62:D74)+SUMIF($O$62:$O$74,Lister!$D$30,D62:D74)-SUMIFS(D62:D74,$O$62:$O$74,Lister!$D$29,$A$62:$A$74,Lister!$M$9)-SUMIFS(D62:D74,$O$62:$O$74,Lister!$D$30,$A$62:$A$74,Lister!$M$9)</f>
        <v>0</v>
      </c>
      <c r="U83" s="313">
        <f>+SUMIF($O$62:$O$74,Lister!$D$29,E62:E74)+SUMIF($O$62:$O$74,Lister!$D$30,E62:E74)-SUMIFS(E62:E74,$O$62:$O$74,Lister!$D$29,$A$62:$A$74,Lister!$M$9)-SUMIFS(E62:E74,$O$62:$O$74,Lister!$D$30,$A$62:$A$74,Lister!$M$9)</f>
        <v>0</v>
      </c>
      <c r="V83" s="313">
        <f>+SUMIF($O$62:$O$74,Lister!$D$29,F62:F74)+SUMIF($O$62:$O$74,Lister!$D$30,F62:F74)-SUMIFS(F62:F74,$O$62:$O$74,Lister!$D$29,$A$62:$A$74,Lister!$M$9)-SUMIFS(F62:F74,$O$62:$O$74,Lister!$D$30,$A$62:$A$74,Lister!$M$9)</f>
        <v>0</v>
      </c>
      <c r="W83" s="313">
        <f>+SUMIF($O$62:$O$74,Lister!$D$29,G62:G74)+SUMIF($O$62:$O$74,Lister!$D$30,G62:G74)-SUMIFS(G62:G74,$O$62:$O$74,Lister!$D$29,$A$62:$A$74,Lister!$M$9)-SUMIFS(G62:G74,$O$62:$O$74,Lister!$D$30,$A$62:$A$74,Lister!$M$9)</f>
        <v>0</v>
      </c>
      <c r="X83" s="314">
        <f>+SUMIF($O$62:$O$74,Lister!$D$29,H62:H74)+SUMIF($O$62:$O$74,Lister!$D$30,H62:H74)-SUMIFS(H62:H74,$O$62:$O$74,Lister!$D$29,$A$62:$A$74,Lister!$M$9)-SUMIFS(H62:H74,$O$62:$O$74,Lister!$D$30,$A$62:$A$74,Lister!$M$9)</f>
        <v>0</v>
      </c>
      <c r="Y83" s="296">
        <f>+SUMIF($O$62:$O$74,Lister!$D$29,I62:I74)+SUMIF($O$62:$O$74,Lister!$D$30,I62:I74)-SUMIFS(I62:I74,$O$62:$O$74,Lister!$D$29,$A$62:$A$74,Lister!$M$9)-SUMIFS(I62:I74,$O$62:$O$74,Lister!$D$30,$A$62:$A$74,Lister!$M$9)</f>
        <v>0</v>
      </c>
      <c r="Z83" s="137">
        <f>+SUMIF($O$62:$O$74,Lister!$D$29,J62:J74)+SUMIF($O$62:$O$74,Lister!$D$30,J62:J74)-SUMIFS(J62:J74,$O$62:$O$74,Lister!$D$29,$A$62:$A$74,Lister!$M$9)-SUMIFS(J62:J74,$O$62:$O$74,Lister!$D$30,$A$62:$A$74,Lister!$M$9)</f>
        <v>0</v>
      </c>
      <c r="AA83" s="137">
        <f>+SUMIF($O$62:$O$74,Lister!$D$29,K62:K74)+SUMIF($O$62:$O$74,Lister!$D$30,K62:K74)-SUMIFS(K62:K74,$O$62:$O$74,Lister!$D$29,$A$62:$A$74,Lister!$M$9)-SUMIFS(K62:K74,$O$62:$O$74,Lister!$D$30,$A$62:$A$74,Lister!$M$9)</f>
        <v>0</v>
      </c>
      <c r="AB83" s="137">
        <f>+SUMIF($O$62:$O$74,Lister!$D$29,L62:L74)+SUMIF($O$62:$O$74,Lister!$D$30,L62:L74)-SUMIFS(L62:L74,$O$62:$O$74,Lister!$D$29,$A$62:$A$74,Lister!$M$9)-SUMIFS(L62:L74,$O$62:$O$74,Lister!$D$30,$A$62:$A$74,Lister!$M$9)</f>
        <v>0</v>
      </c>
      <c r="AC83" s="138">
        <f t="shared" si="97"/>
        <v>0</v>
      </c>
      <c r="AF83" s="70"/>
      <c r="AG83" s="70"/>
      <c r="AH83" s="70"/>
      <c r="AI83" s="70"/>
      <c r="AJ83" s="70"/>
      <c r="AK83" s="70"/>
      <c r="AL83" s="70"/>
      <c r="AM83" s="70"/>
      <c r="AN83" s="70"/>
      <c r="AO83" s="70"/>
      <c r="AP83" s="70"/>
      <c r="AQ83" s="70"/>
      <c r="AR83" s="70"/>
      <c r="AS83" s="70"/>
    </row>
    <row r="84" spans="1:62" s="9" customFormat="1" ht="14.25" customHeight="1">
      <c r="N84" s="79"/>
      <c r="O84" s="90"/>
      <c r="P84" s="90"/>
      <c r="Q84" s="149" t="s">
        <v>78</v>
      </c>
      <c r="R84" s="312">
        <f t="shared" si="96"/>
        <v>0</v>
      </c>
      <c r="S84" s="313">
        <f t="shared" ref="S84:AB84" si="99">+S82+S83</f>
        <v>0</v>
      </c>
      <c r="T84" s="313">
        <f t="shared" si="99"/>
        <v>0</v>
      </c>
      <c r="U84" s="313">
        <f t="shared" si="99"/>
        <v>0</v>
      </c>
      <c r="V84" s="313">
        <f t="shared" si="99"/>
        <v>0</v>
      </c>
      <c r="W84" s="313">
        <f t="shared" si="99"/>
        <v>0</v>
      </c>
      <c r="X84" s="314">
        <f t="shared" si="99"/>
        <v>0</v>
      </c>
      <c r="Y84" s="296">
        <f t="shared" si="99"/>
        <v>0</v>
      </c>
      <c r="Z84" s="137">
        <f t="shared" si="99"/>
        <v>0</v>
      </c>
      <c r="AA84" s="137">
        <f t="shared" si="99"/>
        <v>0</v>
      </c>
      <c r="AB84" s="137">
        <f t="shared" si="99"/>
        <v>0</v>
      </c>
      <c r="AC84" s="138">
        <f t="shared" si="97"/>
        <v>0</v>
      </c>
      <c r="AF84" s="79"/>
      <c r="AG84" s="79"/>
      <c r="AH84" s="79"/>
      <c r="AI84" s="79"/>
      <c r="AJ84" s="79"/>
      <c r="AK84" s="79"/>
      <c r="AL84" s="79"/>
      <c r="AM84" s="79"/>
      <c r="AN84" s="79"/>
      <c r="AO84" s="79"/>
      <c r="AP84" s="79"/>
      <c r="AQ84" s="79"/>
      <c r="AR84" s="71"/>
      <c r="AS84" s="71"/>
    </row>
    <row r="85" spans="1:62" ht="14.25" customHeight="1">
      <c r="N85" s="70"/>
      <c r="O85" s="85"/>
      <c r="P85" s="85"/>
      <c r="Q85" s="150" t="s">
        <v>0</v>
      </c>
      <c r="R85" s="312">
        <f t="shared" si="96"/>
        <v>0</v>
      </c>
      <c r="S85" s="153">
        <f>IF($C$12=2,S82*$C$6/100,
IF($G$6=Lister!$D$4,S82*$C$6/100,
IF($G$6=Lister!$D$5,S84*$C$6/100,
IF($G$6=Lister!$D$6,(S84-SUMIFS(C62:C74,$O$62:$O$74,Lister!$D$29,$A$62:$A$74,Lister!$M$10)-SUMIFS(C62:C74,$O$62:$O$74,Lister!$D$30,$A$62:$A$74,Lister!$M$10))*$C$6/100,
IF($G$6=Lister!$D$7,(S84-SUMIFS(C62:C74,$O$62:$O$74,Lister!$D$29,$A$62:$A$74,Lister!$M$10)-SUMIFS(C62:C74,$O$62:$O$74,Lister!$D$30,$A$62:$A$74,Lister!$M$10)-SUMIFS(C62:C74,$O$62:$O$74,Lister!$D$29,$A$62:$A$74,Lister!$M$7)-SUMIFS(C62:C74,$O$62:$O$74,Lister!$D$30,$A$62:$A$74,Lister!$M$7))*$C$6/100,
IF($G$6=Lister!$D$8,(S84+S86)*$C$6/100,
IF($G$6=Lister!$D$9,S83*$C$6/100,0)))))))</f>
        <v>0</v>
      </c>
      <c r="T85" s="323">
        <f>IF($C$12=2,T82*$C$6/100,
IF($G$6=Lister!$D$4,T82*$C$6/100,
IF($G$6=Lister!$D$5,T84*$C$6/100,
IF($G$6=Lister!$D$6,(T84-SUMIFS(D62:D74,$O$62:$O$74,Lister!$D$29,$A$62:$A$74,Lister!$M$10)-SUMIFS(D62:D74,$O$62:$O$74,Lister!$D$30,$A$62:$A$74,Lister!$M$10))*$C$6/100,
IF($G$6=Lister!$D$7,(T84-SUMIFS(D62:D74,$O$62:$O$74,Lister!$D$29,$A$62:$A$74,Lister!$M$10)-SUMIFS(D62:D74,$O$62:$O$74,Lister!$D$30,$A$62:$A$74,Lister!$M$10)-SUMIFS(D62:D74,$O$62:$O$74,Lister!$D$29,$A$62:$A$74,Lister!$M$7)-SUMIFS(D62:D74,$O$62:$O$74,Lister!$D$30,$A$62:$A$74,Lister!$M$7))*$C$6/100,
IF($G$6=Lister!$D$8,(T84+T86)*$C$6/100,
IF($G$6=Lister!$D$9,T83*$C$6/100,0)))))))</f>
        <v>0</v>
      </c>
      <c r="U85" s="323">
        <f>IF($C$12=2,U82*$C$6/100,
IF($G$6=Lister!$D$4,U82*$C$6/100,
IF($G$6=Lister!$D$5,U84*$C$6/100,
IF($G$6=Lister!$D$6,(U84-SUMIFS(E62:E74,$O$62:$O$74,Lister!$D$29,$A$62:$A$74,Lister!$M$10)-SUMIFS(E62:E74,$O$62:$O$74,Lister!$D$30,$A$62:$A$74,Lister!$M$10))*$C$6/100,
IF($G$6=Lister!$D$7,(U84-SUMIFS(E62:E74,$O$62:$O$74,Lister!$D$29,$A$62:$A$74,Lister!$M$10)-SUMIFS(E62:E74,$O$62:$O$74,Lister!$D$30,$A$62:$A$74,Lister!$M$10)-SUMIFS(E62:E74,$O$62:$O$74,Lister!$D$29,$A$62:$A$74,Lister!$M$7)-SUMIFS(E62:E74,$O$62:$O$74,Lister!$D$30,$A$62:$A$74,Lister!$M$7))*$C$6/100,
IF($G$6=Lister!$D$8,(U84+U86)*$C$6/100,
IF($G$6=Lister!$D$9,U83*$C$6/100,0)))))))</f>
        <v>0</v>
      </c>
      <c r="V85" s="323">
        <f>IF($C$12=2,V82*$C$6/100,
IF($G$6=Lister!$D$4,V82*$C$6/100,
IF($G$6=Lister!$D$5,V84*$C$6/100,
IF($G$6=Lister!$D$6,(V84-SUMIFS(F62:F74,$O$62:$O$74,Lister!$D$29,$A$62:$A$74,Lister!$M$10)-SUMIFS(F62:F74,$O$62:$O$74,Lister!$D$30,$A$62:$A$74,Lister!$M$10))*$C$6/100,
IF($G$6=Lister!$D$7,(V84-SUMIFS(F62:F74,$O$62:$O$74,Lister!$D$29,$A$62:$A$74,Lister!$M$10)-SUMIFS(F62:F74,$O$62:$O$74,Lister!$D$30,$A$62:$A$74,Lister!$M$10)-SUMIFS(F62:F74,$O$62:$O$74,Lister!$D$29,$A$62:$A$74,Lister!$M$7)-SUMIFS(F62:F74,$O$62:$O$74,Lister!$D$30,$A$62:$A$74,Lister!$M$7))*$C$6/100,
IF($G$6=Lister!$D$8,(V84+V86)*$C$6/100,
IF($G$6=Lister!$D$9,V83*$C$6/100,0)))))))</f>
        <v>0</v>
      </c>
      <c r="W85" s="323">
        <f>IF($C$12=2,W82*$C$6/100,
IF($G$6=Lister!$D$4,W82*$C$6/100,
IF($G$6=Lister!$D$5,W84*$C$6/100,
IF($G$6=Lister!$D$6,(W84-SUMIFS(G62:G74,$O$62:$O$74,Lister!$D$29,$A$62:$A$74,Lister!$M$10)-SUMIFS(G62:G74,$O$62:$O$74,Lister!$D$30,$A$62:$A$74,Lister!$M$10))*$C$6/100,
IF($G$6=Lister!$D$7,(W84-SUMIFS(G62:G74,$O$62:$O$74,Lister!$D$29,$A$62:$A$74,Lister!$M$10)-SUMIFS(G62:G74,$O$62:$O$74,Lister!$D$30,$A$62:$A$74,Lister!$M$10)-SUMIFS(G62:G74,$O$62:$O$74,Lister!$D$29,$A$62:$A$74,Lister!$M$7)-SUMIFS(G62:G74,$O$62:$O$74,Lister!$D$30,$A$62:$A$74,Lister!$M$7))*$C$6/100,
IF($G$6=Lister!$D$8,(W84+W86)*$C$6/100,
IF($G$6=Lister!$D$9,W83*$C$6/100,0)))))))</f>
        <v>0</v>
      </c>
      <c r="X85" s="324">
        <f>IF($C$12=2,X82*$C$6/100,
IF($G$6=Lister!$D$4,X82*$C$6/100,
IF($G$6=Lister!$D$5,X84*$C$6/100,
IF($G$6=Lister!$D$6,(X84-SUMIFS(H62:H74,$O$62:$O$74,Lister!$D$29,$A$62:$A$74,Lister!$M$10)-SUMIFS(H62:H74,$O$62:$O$74,Lister!$D$30,$A$62:$A$74,Lister!$M$10))*$C$6/100,
IF($G$6=Lister!$D$7,(X84-SUMIFS(H62:H74,$O$62:$O$74,Lister!$D$29,$A$62:$A$74,Lister!$M$10)-SUMIFS(H62:H74,$O$62:$O$74,Lister!$D$30,$A$62:$A$74,Lister!$M$10)-SUMIFS(H62:H74,$O$62:$O$74,Lister!$D$29,$A$62:$A$74,Lister!$M$7)-SUMIFS(H62:H74,$O$62:$O$74,Lister!$D$30,$A$62:$A$74,Lister!$M$7))*$C$6/100,
IF($G$6=Lister!$D$8,(X84+X86)*$C$6/100,
IF($G$6=Lister!$D$9,X83*$C$6/100,0)))))))</f>
        <v>0</v>
      </c>
      <c r="Y85" s="205">
        <f>IF($C$12=2,Y82*$C$6/100,
IF($G$6=Lister!$D$4,Y82*$C$6/100,
IF($G$6=Lister!$D$5,Y84*$C$6/100,
IF($G$6=Lister!$D$6,(Y84-SUMIFS(I62:I74,$O$62:$O$74,Lister!$D$29,$A$62:$A$74,Lister!$M$10)-SUMIFS(I62:I74,$O$62:$O$74,Lister!$D$30,$A$62:$A$74,Lister!$M$10))*$C$6/100,
IF($G$6=Lister!$D$7,(Y84-SUMIFS(I62:I74,$O$62:$O$74,Lister!$D$29,$A$62:$A$74,Lister!$M$10)-SUMIFS(I62:I74,$O$62:$O$74,Lister!$D$30,$A$62:$A$74,Lister!$M$10)-SUMIFS(I62:I74,$O$62:$O$74,Lister!$D$29,$A$62:$A$74,Lister!$M$7)-SUMIFS(I62:I74,$O$62:$O$74,Lister!$D$30,$A$62:$A$74,Lister!$M$7))*$C$6/100,
IF($G$6=Lister!$D$8,(Y84+Y86)*$C$6/100,
IF($G$6=Lister!$D$9,Y83*$C$6/100,0)))))))</f>
        <v>0</v>
      </c>
      <c r="Z85" s="204">
        <f>IF($C$12=2,Z82*$C$6/100,
IF($G$6=Lister!$D$4,Z82*$C$6/100,
IF($G$6=Lister!$D$5,Z84*$C$6/100,
IF($G$6=Lister!$D$6,(Z84-SUMIFS(J62:J74,$O$62:$O$74,Lister!$D$29,$A$62:$A$74,Lister!$M$10)-SUMIFS(J62:J74,$O$62:$O$74,Lister!$D$30,$A$62:$A$74,Lister!$M$10))*$C$6/100,
IF($G$6=Lister!$D$7,(Z84-SUMIFS(J62:J74,$O$62:$O$74,Lister!$D$29,$A$62:$A$74,Lister!$M$10)-SUMIFS(J62:J74,$O$62:$O$74,Lister!$D$30,$A$62:$A$74,Lister!$M$10)-SUMIFS(J62:J74,$O$62:$O$74,Lister!$D$29,$A$62:$A$74,Lister!$M$7)-SUMIFS(J62:J74,$O$62:$O$74,Lister!$D$30,$A$62:$A$74,Lister!$M$7))*$C$6/100,
IF($G$6=Lister!$D$8,(Z84+Z86)*$C$6/100,
IF($G$6=Lister!$D$9,Z83*$C$6/100,0)))))))</f>
        <v>0</v>
      </c>
      <c r="AA85" s="204">
        <f>IF($C$12=2,AA82*$C$6/100,
IF($G$6=Lister!$D$4,AA82*$C$6/100,
IF($G$6=Lister!$D$5,AA84*$C$6/100,
IF($G$6=Lister!$D$6,(AA84-SUMIFS(K62:K74,$O$62:$O$74,Lister!$D$29,$A$62:$A$74,Lister!$M$10)-SUMIFS(K62:K74,$O$62:$O$74,Lister!$D$30,$A$62:$A$74,Lister!$M$10))*$C$6/100,
IF($G$6=Lister!$D$7,(AA84-SUMIFS(K62:K74,$O$62:$O$74,Lister!$D$29,$A$62:$A$74,Lister!$M$10)-SUMIFS(K62:K74,$O$62:$O$74,Lister!$D$30,$A$62:$A$74,Lister!$M$10)-SUMIFS(K62:K74,$O$62:$O$74,Lister!$D$29,$A$62:$A$74,Lister!$M$7)-SUMIFS(K62:K74,$O$62:$O$74,Lister!$D$30,$A$62:$A$74,Lister!$M$7))*$C$6/100,
IF($G$6=Lister!$D$8,(AA84+AA86)*$C$6/100,
IF($G$6=Lister!$D$9,AA83*$C$6/100,0)))))))</f>
        <v>0</v>
      </c>
      <c r="AB85" s="204">
        <f>IF($C$12=2,AB82*$C$6/100,
IF($G$6=Lister!$D$4,AB82*$C$6/100,
IF($G$6=Lister!$D$5,AB84*$C$6/100,
IF($G$6=Lister!$D$6,(AB84-SUMIFS(L62:L74,$O$62:$O$74,Lister!$D$29,$A$62:$A$74,Lister!$M$10)-SUMIFS(L62:L74,$O$62:$O$74,Lister!$D$30,$A$62:$A$74,Lister!$M$10))*$C$6/100,
IF($G$6=Lister!$D$7,(AB84-SUMIFS(L62:L74,$O$62:$O$74,Lister!$D$29,$A$62:$A$74,Lister!$M$10)-SUMIFS(L62:L74,$O$62:$O$74,Lister!$D$30,$A$62:$A$74,Lister!$M$10)-SUMIFS(L62:L74,$O$62:$O$74,Lister!$D$29,$A$62:$A$74,Lister!$M$7)-SUMIFS(L62:L74,$O$62:$O$74,Lister!$D$30,$A$62:$A$74,Lister!$M$7))*$C$6/100,
IF($G$6=Lister!$D$8,(AB84+AB86)*$C$6/100,
IF($G$6=Lister!$D$9,AB83*$C$6/100,0)))))))</f>
        <v>0</v>
      </c>
      <c r="AC85" s="138">
        <f t="shared" si="97"/>
        <v>0</v>
      </c>
      <c r="AF85" s="70"/>
      <c r="AG85" s="70"/>
      <c r="AH85" s="70"/>
      <c r="AI85" s="70"/>
      <c r="AJ85" s="70"/>
      <c r="AK85" s="70"/>
      <c r="AL85" s="70"/>
      <c r="AM85" s="70"/>
      <c r="AN85" s="70"/>
      <c r="AO85" s="70"/>
      <c r="AP85" s="70"/>
      <c r="AQ85" s="70"/>
      <c r="AR85" s="70"/>
      <c r="AS85" s="70"/>
    </row>
    <row r="86" spans="1:62" s="9" customFormat="1" ht="14.25" customHeight="1">
      <c r="N86" s="71"/>
      <c r="O86" s="87"/>
      <c r="P86" s="87"/>
      <c r="Q86" s="151" t="s">
        <v>103</v>
      </c>
      <c r="R86" s="312">
        <f t="shared" si="96"/>
        <v>0</v>
      </c>
      <c r="S86" s="153">
        <f>+IF($C$8=Lister!$O$5,(SUMIF($O$20:$O$29,Lister!$D$29,C20:C29)+SUMIF($O$20:$O$29,Lister!$D$30,C20:C29))*Takstblad!C$84,0)</f>
        <v>0</v>
      </c>
      <c r="T86" s="153">
        <f>+IF($C$8=Lister!$O$5,(SUMIF($O$20:$O$29,Lister!$D$29,D20:D29)+SUMIF($O$20:$O$29,Lister!$D$30,D20:D29))*Takstblad!D$84,0)</f>
        <v>0</v>
      </c>
      <c r="U86" s="153">
        <f>+IF($C$8=Lister!$O$5,(SUMIF($O$20:$O$29,Lister!$D$29,E20:E29)+SUMIF($O$20:$O$29,Lister!$D$30,E20:E29))*Takstblad!E$84,0)</f>
        <v>0</v>
      </c>
      <c r="V86" s="153">
        <f>+IF($C$8=Lister!$O$5,(SUMIF($O$20:$O$29,Lister!$D$29,F20:F29)+SUMIF($O$20:$O$29,Lister!$D$30,F20:F29))*Takstblad!F$84,0)</f>
        <v>0</v>
      </c>
      <c r="W86" s="153">
        <f>+IF($C$8=Lister!$O$5,(SUMIF($O$20:$O$29,Lister!$D$29,G20:G29)+SUMIF($O$20:$O$29,Lister!$D$30,G20:G29))*Takstblad!G$84,0)</f>
        <v>0</v>
      </c>
      <c r="X86" s="300">
        <f>+IF($C$8=Lister!$O$5,(SUMIF($O$20:$O$29,Lister!$D$29,H20:H29)+SUMIF($O$20:$O$29,Lister!$D$30,H20:H29))*Takstblad!H$84,0)</f>
        <v>0</v>
      </c>
      <c r="Y86" s="110">
        <f>+IF($C$8=Lister!$O$5,(SUMIF($O$20:$O$29,Lister!$D$29,I20:I29)+SUMIF($O$20:$O$29,Lister!$D$30,I20:I29))*Takstblad!I$84,0)</f>
        <v>0</v>
      </c>
      <c r="Z86" s="21">
        <f>+IF($C$8=Lister!$O$5,(SUMIF($O$20:$O$29,Lister!$D$29,J20:J29)+SUMIF($O$20:$O$29,Lister!$D$30,J20:J29))*Takstblad!J$84,0)</f>
        <v>0</v>
      </c>
      <c r="AA86" s="21">
        <f>+IF($C$8=Lister!$O$5,(SUMIF($O$20:$O$29,Lister!$D$29,K20:K29)+SUMIF($O$20:$O$29,Lister!$D$30,K20:K29))*Takstblad!K$84,0)</f>
        <v>0</v>
      </c>
      <c r="AB86" s="21">
        <f>+IF($C$8=Lister!$O$5,(SUMIF($O$20:$O$29,Lister!$D$29,L20:L29)+SUMIF($O$20:$O$29,Lister!$D$30,L20:L29))*Takstblad!L$84,0)</f>
        <v>0</v>
      </c>
      <c r="AC86" s="138">
        <f t="shared" si="97"/>
        <v>0</v>
      </c>
      <c r="AF86" s="71"/>
      <c r="AG86" s="71"/>
      <c r="AH86" s="71"/>
      <c r="AI86" s="71"/>
      <c r="AJ86" s="71"/>
      <c r="AK86" s="71"/>
      <c r="AL86" s="71"/>
      <c r="AM86" s="71"/>
      <c r="AN86" s="71"/>
      <c r="AO86" s="71"/>
      <c r="AP86" s="71"/>
      <c r="AQ86" s="71"/>
      <c r="AR86" s="71"/>
      <c r="AS86" s="71"/>
    </row>
    <row r="87" spans="1:62" s="9" customFormat="1" ht="14.25" customHeight="1">
      <c r="N87" s="70"/>
      <c r="O87" s="85"/>
      <c r="P87" s="85"/>
      <c r="Q87" s="151" t="s">
        <v>108</v>
      </c>
      <c r="R87" s="312">
        <f t="shared" si="96"/>
        <v>0</v>
      </c>
      <c r="S87" s="153">
        <f>+IF($C$8="Project-Supplement",((
SUMIFS(C20:C39,$O$20:$O$39,Lister!$D$30,$A$20:$A$39,Lister!$A$21)
+SUMIFS(C20:C39,$O$20:$O$39,Lister!$D$30,$A$20:$A$39,Lister!$A$31)
+SUMIFS(C20:C39,$O$20:$O$39,Lister!$D$30,$A$20:$A$39,Lister!$A$32)
+SUMIFS(C20:C39,$O$20:$O$39,Lister!$D$30,$A$20:$A$39,Lister!$A$22)
+SUMIFS(C20:C39,$O$20:$O$39,Lister!$D$30,$A$20:$A$39,Lister!$A$23)
+SUMIFS(C20:C39,$O$20:$O$39,Lister!$D$30,$A$20:$A$39,Lister!$A$20)
+SUMIFS(C20:C39,$O$20:$O$39,Lister!$D$30,$A$20:$A$39,Lister!$A$34)
+SUMIFS(C20:C39,$O$20:$O$39,Lister!$D$30,$A$20:$A$39,Lister!$A$33)
+SUMIFS(C20:C39,$O$20:$O$39,Lister!$D$29,$A$20:$A$39,Lister!$A$21)
+SUMIFS(C20:C39,$O$20:$O$39,Lister!$D$29,$A$20:$A$39,Lister!$A$31)
+SUMIFS(C20:C39,$O$20:$O$39,Lister!$D$29,$A$20:$A$39,Lister!$A$32)
+SUMIFS(C20:C39,$O$20:$O$39,Lister!$D$29,$A$20:$A$39,Lister!$A$22)
+SUMIFS(C20:C39,$O$20:$O$39,Lister!$D$29,$A$20:$A$39,Lister!$A$23)
+SUMIFS(C20:C39,$O$20:$O$39,Lister!$D$29,$A$20:$A$39,Lister!$A$20)
+SUMIFS(C20:C39,$O$20:$O$39,Lister!$D$29,$A$20:$A$39,Lister!$A$34)
+SUMIFS(C20:C39,$O$20:$O$39,Lister!$D$29,$A$20:$A$39,Lister!$A$33))
/12)*Takstblad!C$85,0)</f>
        <v>0</v>
      </c>
      <c r="T87" s="155">
        <f>+IF($C$8="Project-Supplement",((
SUMIFS(D20:D39,$O$20:$O$39,Lister!$D$30,$A$20:$A$39,Lister!$A$21)
+SUMIFS(D20:D39,$O$20:$O$39,Lister!$D$30,$A$20:$A$39,Lister!$A$31)
+SUMIFS(D20:D39,$O$20:$O$39,Lister!$D$30,$A$20:$A$39,Lister!$A$32)
+SUMIFS(D20:D39,$O$20:$O$39,Lister!$D$30,$A$20:$A$39,Lister!$A$22)
+SUMIFS(D20:D39,$O$20:$O$39,Lister!$D$30,$A$20:$A$39,Lister!$A$23)
+SUMIFS(D20:D39,$O$20:$O$39,Lister!$D$30,$A$20:$A$39,Lister!$A$20)
+SUMIFS(D20:D39,$O$20:$O$39,Lister!$D$30,$A$20:$A$39,Lister!$A$34)
+SUMIFS(D20:D39,$O$20:$O$39,Lister!$D$30,$A$20:$A$39,Lister!$A$33)
+SUMIFS(D20:D39,$O$20:$O$39,Lister!$D$29,$A$20:$A$39,Lister!$A$21)
+SUMIFS(D20:D39,$O$20:$O$39,Lister!$D$29,$A$20:$A$39,Lister!$A$31)
+SUMIFS(D20:D39,$O$20:$O$39,Lister!$D$29,$A$20:$A$39,Lister!$A$32)
+SUMIFS(D20:D39,$O$20:$O$39,Lister!$D$29,$A$20:$A$39,Lister!$A$22)
+SUMIFS(D20:D39,$O$20:$O$39,Lister!$D$29,$A$20:$A$39,Lister!$A$23)
+SUMIFS(D20:D39,$O$20:$O$39,Lister!$D$29,$A$20:$A$39,Lister!$A$20)
+SUMIFS(D20:D39,$O$20:$O$39,Lister!$D$29,$A$20:$A$39,Lister!$A$34)
+SUMIFS(D20:D39,$O$20:$O$39,Lister!$D$29,$A$20:$A$39,Lister!$A$33))
/12)*Takstblad!D$85,0)</f>
        <v>0</v>
      </c>
      <c r="U87" s="155">
        <f>+IF($C$8="Project-Supplement",((
SUMIFS(E20:E39,$O$20:$O$39,Lister!$D$30,$A$20:$A$39,Lister!$A$21)
+SUMIFS(E20:E39,$O$20:$O$39,Lister!$D$30,$A$20:$A$39,Lister!$A$31)
+SUMIFS(E20:E39,$O$20:$O$39,Lister!$D$30,$A$20:$A$39,Lister!$A$32)
+SUMIFS(E20:E39,$O$20:$O$39,Lister!$D$30,$A$20:$A$39,Lister!$A$22)
+SUMIFS(E20:E39,$O$20:$O$39,Lister!$D$30,$A$20:$A$39,Lister!$A$23)
+SUMIFS(E20:E39,$O$20:$O$39,Lister!$D$30,$A$20:$A$39,Lister!$A$20)
+SUMIFS(E20:E39,$O$20:$O$39,Lister!$D$30,$A$20:$A$39,Lister!$A$34)
+SUMIFS(E20:E39,$O$20:$O$39,Lister!$D$30,$A$20:$A$39,Lister!$A$33)
+SUMIFS(E20:E39,$O$20:$O$39,Lister!$D$29,$A$20:$A$39,Lister!$A$21)
+SUMIFS(E20:E39,$O$20:$O$39,Lister!$D$29,$A$20:$A$39,Lister!$A$31)
+SUMIFS(E20:E39,$O$20:$O$39,Lister!$D$29,$A$20:$A$39,Lister!$A$32)
+SUMIFS(E20:E39,$O$20:$O$39,Lister!$D$29,$A$20:$A$39,Lister!$A$22)
+SUMIFS(E20:E39,$O$20:$O$39,Lister!$D$29,$A$20:$A$39,Lister!$A$23)
+SUMIFS(E20:E39,$O$20:$O$39,Lister!$D$29,$A$20:$A$39,Lister!$A$20)
+SUMIFS(E20:E39,$O$20:$O$39,Lister!$D$29,$A$20:$A$39,Lister!$A$34)
+SUMIFS(E20:E39,$O$20:$O$39,Lister!$D$29,$A$20:$A$39,Lister!$A$33))
/12)*Takstblad!E$85,0)</f>
        <v>0</v>
      </c>
      <c r="V87" s="155">
        <f>+IF($C$8="Project-Supplement",((
SUMIFS(F20:F39,$O$20:$O$39,Lister!$D$30,$A$20:$A$39,Lister!$A$21)
+SUMIFS(F20:F39,$O$20:$O$39,Lister!$D$30,$A$20:$A$39,Lister!$A$31)
+SUMIFS(F20:F39,$O$20:$O$39,Lister!$D$30,$A$20:$A$39,Lister!$A$32)
+SUMIFS(F20:F39,$O$20:$O$39,Lister!$D$30,$A$20:$A$39,Lister!$A$22)
+SUMIFS(F20:F39,$O$20:$O$39,Lister!$D$30,$A$20:$A$39,Lister!$A$23)
+SUMIFS(F20:F39,$O$20:$O$39,Lister!$D$30,$A$20:$A$39,Lister!$A$20)
+SUMIFS(F20:F39,$O$20:$O$39,Lister!$D$30,$A$20:$A$39,Lister!$A$34)
+SUMIFS(F20:F39,$O$20:$O$39,Lister!$D$30,$A$20:$A$39,Lister!$A$33)
+SUMIFS(F20:F39,$O$20:$O$39,Lister!$D$29,$A$20:$A$39,Lister!$A$21)
+SUMIFS(F20:F39,$O$20:$O$39,Lister!$D$29,$A$20:$A$39,Lister!$A$31)
+SUMIFS(F20:F39,$O$20:$O$39,Lister!$D$29,$A$20:$A$39,Lister!$A$32)
+SUMIFS(F20:F39,$O$20:$O$39,Lister!$D$29,$A$20:$A$39,Lister!$A$22)
+SUMIFS(F20:F39,$O$20:$O$39,Lister!$D$29,$A$20:$A$39,Lister!$A$23)
+SUMIFS(F20:F39,$O$20:$O$39,Lister!$D$29,$A$20:$A$39,Lister!$A$20)
+SUMIFS(F20:F39,$O$20:$O$39,Lister!$D$29,$A$20:$A$39,Lister!$A$34)
+SUMIFS(F20:F39,$O$20:$O$39,Lister!$D$29,$A$20:$A$39,Lister!$A$33))
/12)*Takstblad!F$85,0)</f>
        <v>0</v>
      </c>
      <c r="W87" s="155">
        <f>+IF($C$8="Project-Supplement",((
SUMIFS(G20:G39,$O$20:$O$39,Lister!$D$30,$A$20:$A$39,Lister!$A$21)
+SUMIFS(G20:G39,$O$20:$O$39,Lister!$D$30,$A$20:$A$39,Lister!$A$31)
+SUMIFS(G20:G39,$O$20:$O$39,Lister!$D$30,$A$20:$A$39,Lister!$A$32)
+SUMIFS(G20:G39,$O$20:$O$39,Lister!$D$30,$A$20:$A$39,Lister!$A$22)
+SUMIFS(G20:G39,$O$20:$O$39,Lister!$D$30,$A$20:$A$39,Lister!$A$23)
+SUMIFS(G20:G39,$O$20:$O$39,Lister!$D$30,$A$20:$A$39,Lister!$A$20)
+SUMIFS(G20:G39,$O$20:$O$39,Lister!$D$30,$A$20:$A$39,Lister!$A$34)
+SUMIFS(G20:G39,$O$20:$O$39,Lister!$D$30,$A$20:$A$39,Lister!$A$33)
+SUMIFS(G20:G39,$O$20:$O$39,Lister!$D$29,$A$20:$A$39,Lister!$A$21)
+SUMIFS(G20:G39,$O$20:$O$39,Lister!$D$29,$A$20:$A$39,Lister!$A$31)
+SUMIFS(G20:G39,$O$20:$O$39,Lister!$D$29,$A$20:$A$39,Lister!$A$32)
+SUMIFS(G20:G39,$O$20:$O$39,Lister!$D$29,$A$20:$A$39,Lister!$A$22)
+SUMIFS(G20:G39,$O$20:$O$39,Lister!$D$29,$A$20:$A$39,Lister!$A$23)
+SUMIFS(G20:G39,$O$20:$O$39,Lister!$D$29,$A$20:$A$39,Lister!$A$20)
+SUMIFS(G20:G39,$O$20:$O$39,Lister!$D$29,$A$20:$A$39,Lister!$A$34)
+SUMIFS(G20:G39,$O$20:$O$39,Lister!$D$29,$A$20:$A$39,Lister!$A$33))
/12)*Takstblad!G$85,0)</f>
        <v>0</v>
      </c>
      <c r="X87" s="308">
        <f>+IF($C$8="Project-Supplement",((
SUMIFS(H20:H39,$O$20:$O$39,Lister!$D$30,$A$20:$A$39,Lister!$A$21)
+SUMIFS(H20:H39,$O$20:$O$39,Lister!$D$30,$A$20:$A$39,Lister!$A$31)
+SUMIFS(H20:H39,$O$20:$O$39,Lister!$D$30,$A$20:$A$39,Lister!$A$32)
+SUMIFS(H20:H39,$O$20:$O$39,Lister!$D$30,$A$20:$A$39,Lister!$A$22)
+SUMIFS(H20:H39,$O$20:$O$39,Lister!$D$30,$A$20:$A$39,Lister!$A$23)
+SUMIFS(H20:H39,$O$20:$O$39,Lister!$D$30,$A$20:$A$39,Lister!$A$20)
+SUMIFS(H20:H39,$O$20:$O$39,Lister!$D$30,$A$20:$A$39,Lister!$A$34)
+SUMIFS(H20:H39,$O$20:$O$39,Lister!$D$30,$A$20:$A$39,Lister!$A$33)
+SUMIFS(H20:H39,$O$20:$O$39,Lister!$D$29,$A$20:$A$39,Lister!$A$21)
+SUMIFS(H20:H39,$O$20:$O$39,Lister!$D$29,$A$20:$A$39,Lister!$A$31)
+SUMIFS(H20:H39,$O$20:$O$39,Lister!$D$29,$A$20:$A$39,Lister!$A$32)
+SUMIFS(H20:H39,$O$20:$O$39,Lister!$D$29,$A$20:$A$39,Lister!$A$22)
+SUMIFS(H20:H39,$O$20:$O$39,Lister!$D$29,$A$20:$A$39,Lister!$A$23)
+SUMIFS(H20:H39,$O$20:$O$39,Lister!$D$29,$A$20:$A$39,Lister!$A$20)
+SUMIFS(H20:H39,$O$20:$O$39,Lister!$D$29,$A$20:$A$39,Lister!$A$34)
+SUMIFS(H20:H39,$O$20:$O$39,Lister!$D$29,$A$20:$A$39,Lister!$A$33))
/12)*Takstblad!H$85,0)</f>
        <v>0</v>
      </c>
      <c r="Y87" s="114">
        <f>+IF($C$8="Project-Supplement",((
SUMIFS(I20:I39,$O$20:$O$39,Lister!$D$30,$A$20:$A$39,Lister!$A$21)
+SUMIFS(I20:I39,$O$20:$O$39,Lister!$D$30,$A$20:$A$39,Lister!$A$31)
+SUMIFS(I20:I39,$O$20:$O$39,Lister!$D$30,$A$20:$A$39,Lister!$A$32)
+SUMIFS(I20:I39,$O$20:$O$39,Lister!$D$30,$A$20:$A$39,Lister!$A$22)
+SUMIFS(I20:I39,$O$20:$O$39,Lister!$D$30,$A$20:$A$39,Lister!$A$23)
+SUMIFS(I20:I39,$O$20:$O$39,Lister!$D$30,$A$20:$A$39,Lister!$A$20)
+SUMIFS(I20:I39,$O$20:$O$39,Lister!$D$30,$A$20:$A$39,Lister!$A$34)
+SUMIFS(I20:I39,$O$20:$O$39,Lister!$D$30,$A$20:$A$39,Lister!$A$33)
+SUMIFS(I20:I39,$O$20:$O$39,Lister!$D$29,$A$20:$A$39,Lister!$A$21)
+SUMIFS(I20:I39,$O$20:$O$39,Lister!$D$29,$A$20:$A$39,Lister!$A$31)
+SUMIFS(I20:I39,$O$20:$O$39,Lister!$D$29,$A$20:$A$39,Lister!$A$32)
+SUMIFS(I20:I39,$O$20:$O$39,Lister!$D$29,$A$20:$A$39,Lister!$A$22)
+SUMIFS(I20:I39,$O$20:$O$39,Lister!$D$29,$A$20:$A$39,Lister!$A$23)
+SUMIFS(I20:I39,$O$20:$O$39,Lister!$D$29,$A$20:$A$39,Lister!$A$20)
+SUMIFS(I20:I39,$O$20:$O$39,Lister!$D$29,$A$20:$A$39,Lister!$A$34)
+SUMIFS(I20:I39,$O$20:$O$39,Lister!$D$29,$A$20:$A$39,Lister!$A$33))
/12)*Takstblad!I$85,0)</f>
        <v>0</v>
      </c>
      <c r="Z87" s="115">
        <f>+IF($C$8="Project-Supplement",((
SUMIFS(J20:J39,$O$20:$O$39,Lister!$D$30,$A$20:$A$39,Lister!$A$21)
+SUMIFS(J20:J39,$O$20:$O$39,Lister!$D$30,$A$20:$A$39,Lister!$A$31)
+SUMIFS(J20:J39,$O$20:$O$39,Lister!$D$30,$A$20:$A$39,Lister!$A$32)
+SUMIFS(J20:J39,$O$20:$O$39,Lister!$D$30,$A$20:$A$39,Lister!$A$22)
+SUMIFS(J20:J39,$O$20:$O$39,Lister!$D$30,$A$20:$A$39,Lister!$A$23)
+SUMIFS(J20:J39,$O$20:$O$39,Lister!$D$30,$A$20:$A$39,Lister!$A$20)
+SUMIFS(J20:J39,$O$20:$O$39,Lister!$D$30,$A$20:$A$39,Lister!$A$34)
+SUMIFS(J20:J39,$O$20:$O$39,Lister!$D$30,$A$20:$A$39,Lister!$A$33)
+SUMIFS(J20:J39,$O$20:$O$39,Lister!$D$29,$A$20:$A$39,Lister!$A$21)
+SUMIFS(J20:J39,$O$20:$O$39,Lister!$D$29,$A$20:$A$39,Lister!$A$31)
+SUMIFS(J20:J39,$O$20:$O$39,Lister!$D$29,$A$20:$A$39,Lister!$A$32)
+SUMIFS(J20:J39,$O$20:$O$39,Lister!$D$29,$A$20:$A$39,Lister!$A$22)
+SUMIFS(J20:J39,$O$20:$O$39,Lister!$D$29,$A$20:$A$39,Lister!$A$23)
+SUMIFS(J20:J39,$O$20:$O$39,Lister!$D$29,$A$20:$A$39,Lister!$A$20)
+SUMIFS(J20:J39,$O$20:$O$39,Lister!$D$29,$A$20:$A$39,Lister!$A$34)
+SUMIFS(J20:J39,$O$20:$O$39,Lister!$D$29,$A$20:$A$39,Lister!$A$33))
/12)*Takstblad!J$85,0)</f>
        <v>0</v>
      </c>
      <c r="AA87" s="115">
        <f>+IF($C$8="Project-Supplement",((
SUMIFS(K20:K39,$O$20:$O$39,Lister!$D$30,$A$20:$A$39,Lister!$A$21)
+SUMIFS(K20:K39,$O$20:$O$39,Lister!$D$30,$A$20:$A$39,Lister!$A$31)
+SUMIFS(K20:K39,$O$20:$O$39,Lister!$D$30,$A$20:$A$39,Lister!$A$32)
+SUMIFS(K20:K39,$O$20:$O$39,Lister!$D$30,$A$20:$A$39,Lister!$A$22)
+SUMIFS(K20:K39,$O$20:$O$39,Lister!$D$30,$A$20:$A$39,Lister!$A$23)
+SUMIFS(K20:K39,$O$20:$O$39,Lister!$D$30,$A$20:$A$39,Lister!$A$20)
+SUMIFS(K20:K39,$O$20:$O$39,Lister!$D$30,$A$20:$A$39,Lister!$A$34)
+SUMIFS(K20:K39,$O$20:$O$39,Lister!$D$30,$A$20:$A$39,Lister!$A$33)
+SUMIFS(K20:K39,$O$20:$O$39,Lister!$D$29,$A$20:$A$39,Lister!$A$21)
+SUMIFS(K20:K39,$O$20:$O$39,Lister!$D$29,$A$20:$A$39,Lister!$A$31)
+SUMIFS(K20:K39,$O$20:$O$39,Lister!$D$29,$A$20:$A$39,Lister!$A$32)
+SUMIFS(K20:K39,$O$20:$O$39,Lister!$D$29,$A$20:$A$39,Lister!$A$22)
+SUMIFS(K20:K39,$O$20:$O$39,Lister!$D$29,$A$20:$A$39,Lister!$A$23)
+SUMIFS(K20:K39,$O$20:$O$39,Lister!$D$29,$A$20:$A$39,Lister!$A$20)
+SUMIFS(K20:K39,$O$20:$O$39,Lister!$D$29,$A$20:$A$39,Lister!$A$34)
+SUMIFS(K20:K39,$O$20:$O$39,Lister!$D$29,$A$20:$A$39,Lister!$A$33))
/12)*Takstblad!K$85,0)</f>
        <v>0</v>
      </c>
      <c r="AB87" s="115">
        <f>+IF($C$8="Project-Supplement",((
SUMIFS(L20:L39,$O$20:$O$39,Lister!$D$30,$A$20:$A$39,Lister!$A$21)
+SUMIFS(L20:L39,$O$20:$O$39,Lister!$D$30,$A$20:$A$39,Lister!$A$31)
+SUMIFS(L20:L39,$O$20:$O$39,Lister!$D$30,$A$20:$A$39,Lister!$A$32)
+SUMIFS(L20:L39,$O$20:$O$39,Lister!$D$30,$A$20:$A$39,Lister!$A$22)
+SUMIFS(L20:L39,$O$20:$O$39,Lister!$D$30,$A$20:$A$39,Lister!$A$23)
+SUMIFS(L20:L39,$O$20:$O$39,Lister!$D$30,$A$20:$A$39,Lister!$A$20)
+SUMIFS(L20:L39,$O$20:$O$39,Lister!$D$30,$A$20:$A$39,Lister!$A$34)
+SUMIFS(L20:L39,$O$20:$O$39,Lister!$D$30,$A$20:$A$39,Lister!$A$33)
+SUMIFS(L20:L39,$O$20:$O$39,Lister!$D$29,$A$20:$A$39,Lister!$A$21)
+SUMIFS(L20:L39,$O$20:$O$39,Lister!$D$29,$A$20:$A$39,Lister!$A$31)
+SUMIFS(L20:L39,$O$20:$O$39,Lister!$D$29,$A$20:$A$39,Lister!$A$32)
+SUMIFS(L20:L39,$O$20:$O$39,Lister!$D$29,$A$20:$A$39,Lister!$A$22)
+SUMIFS(L20:L39,$O$20:$O$39,Lister!$D$29,$A$20:$A$39,Lister!$A$23)
+SUMIFS(L20:L39,$O$20:$O$39,Lister!$D$29,$A$20:$A$39,Lister!$A$20)
+SUMIFS(L20:L39,$O$20:$O$39,Lister!$D$29,$A$20:$A$39,Lister!$A$34)
+SUMIFS(L20:L39,$O$20:$O$39,Lister!$D$29,$A$20:$A$39,Lister!$A$33))
/12)*Takstblad!L$85,0)</f>
        <v>0</v>
      </c>
      <c r="AC87" s="138">
        <f t="shared" si="97"/>
        <v>0</v>
      </c>
      <c r="AF87" s="70"/>
      <c r="AG87" s="70"/>
      <c r="AH87" s="70"/>
      <c r="AI87" s="70"/>
      <c r="AJ87" s="70"/>
      <c r="AK87" s="70"/>
      <c r="AL87" s="70"/>
      <c r="AM87" s="70"/>
      <c r="AN87" s="70"/>
      <c r="AO87" s="70"/>
      <c r="AP87" s="70"/>
      <c r="AQ87" s="70"/>
      <c r="AR87" s="71"/>
      <c r="AS87" s="71"/>
    </row>
    <row r="88" spans="1:62" ht="14.25" customHeight="1">
      <c r="N88" s="71"/>
      <c r="O88" s="87"/>
      <c r="P88" s="87"/>
      <c r="Q88" s="150" t="s">
        <v>531</v>
      </c>
      <c r="R88" s="312">
        <f t="shared" si="96"/>
        <v>0</v>
      </c>
      <c r="S88" s="153" t="str">
        <f>IF($C$12=2,(SUM(S84:S87)*$C$13)/100,"0")</f>
        <v>0</v>
      </c>
      <c r="T88" s="223" t="str">
        <f t="shared" ref="T88:Z88" si="100">IF($C$12=2,(SUM(T84:T87)*$C$13)/100,"0")</f>
        <v>0</v>
      </c>
      <c r="U88" s="223" t="str">
        <f t="shared" si="100"/>
        <v>0</v>
      </c>
      <c r="V88" s="223" t="str">
        <f t="shared" si="100"/>
        <v>0</v>
      </c>
      <c r="W88" s="223" t="str">
        <f t="shared" si="100"/>
        <v>0</v>
      </c>
      <c r="X88" s="306" t="str">
        <f t="shared" si="100"/>
        <v>0</v>
      </c>
      <c r="Y88" s="224" t="str">
        <f t="shared" si="100"/>
        <v>0</v>
      </c>
      <c r="Z88" s="223" t="str">
        <f t="shared" si="100"/>
        <v>0</v>
      </c>
      <c r="AA88" s="223" t="str">
        <f>IF($C$12=2,(SUM(AA84:AA87)*$C$13)/100,"0")</f>
        <v>0</v>
      </c>
      <c r="AB88" s="223" t="str">
        <f>IF($C$12=2,(SUM(AB84:AB87)*$C$13)/100,"0")</f>
        <v>0</v>
      </c>
      <c r="AC88" s="138">
        <f t="shared" si="97"/>
        <v>0</v>
      </c>
      <c r="AF88" s="71"/>
      <c r="AG88" s="71"/>
      <c r="AH88" s="71"/>
      <c r="AI88" s="71"/>
      <c r="AJ88" s="71"/>
      <c r="AK88" s="71"/>
      <c r="AL88" s="71"/>
      <c r="AM88" s="71"/>
      <c r="AN88" s="71"/>
      <c r="AO88" s="71"/>
      <c r="AP88" s="71"/>
      <c r="AQ88" s="71"/>
      <c r="AR88" s="71"/>
      <c r="AS88" s="71"/>
      <c r="AT88" s="71"/>
      <c r="AU88" s="71"/>
      <c r="AV88" s="71"/>
      <c r="AW88" s="71"/>
      <c r="AX88" s="71"/>
      <c r="AY88" s="71"/>
      <c r="AZ88" s="71"/>
      <c r="BA88" s="71"/>
      <c r="BB88" s="71"/>
      <c r="BC88" s="71"/>
      <c r="BD88" s="71"/>
      <c r="BE88" s="71"/>
      <c r="BF88" s="71"/>
      <c r="BG88" s="71"/>
      <c r="BH88" s="71"/>
      <c r="BI88" s="71"/>
      <c r="BJ88" s="71"/>
    </row>
    <row r="89" spans="1:62" ht="14.25" customHeight="1">
      <c r="N89" s="80"/>
      <c r="O89" s="91"/>
      <c r="P89" s="91"/>
      <c r="Q89" s="149" t="s">
        <v>101</v>
      </c>
      <c r="R89" s="312">
        <f t="shared" si="96"/>
        <v>0</v>
      </c>
      <c r="S89" s="313">
        <f>+SUM(S84:S88)</f>
        <v>0</v>
      </c>
      <c r="T89" s="313">
        <f t="shared" ref="T89:Z89" si="101">+SUM(T84:T88)</f>
        <v>0</v>
      </c>
      <c r="U89" s="313">
        <f t="shared" si="101"/>
        <v>0</v>
      </c>
      <c r="V89" s="313">
        <f t="shared" si="101"/>
        <v>0</v>
      </c>
      <c r="W89" s="313">
        <f t="shared" si="101"/>
        <v>0</v>
      </c>
      <c r="X89" s="314">
        <f t="shared" si="101"/>
        <v>0</v>
      </c>
      <c r="Y89" s="296">
        <f t="shared" si="101"/>
        <v>0</v>
      </c>
      <c r="Z89" s="137">
        <f t="shared" si="101"/>
        <v>0</v>
      </c>
      <c r="AA89" s="137">
        <f>+SUM(AA84:AA88)</f>
        <v>0</v>
      </c>
      <c r="AB89" s="137">
        <f>+SUM(AB84:AB88)</f>
        <v>0</v>
      </c>
      <c r="AC89" s="138">
        <f t="shared" si="97"/>
        <v>0</v>
      </c>
      <c r="AF89" s="70"/>
      <c r="AG89" s="70"/>
      <c r="AH89" s="70"/>
      <c r="AI89" s="71"/>
      <c r="AJ89" s="71"/>
      <c r="AK89" s="71"/>
      <c r="AL89" s="71"/>
      <c r="AM89" s="71"/>
      <c r="AN89" s="71"/>
      <c r="AO89" s="71"/>
      <c r="AP89" s="71"/>
      <c r="AQ89" s="71"/>
      <c r="AR89" s="71"/>
      <c r="AS89" s="71"/>
      <c r="AT89" s="71"/>
      <c r="AU89" s="71"/>
      <c r="AV89" s="71"/>
      <c r="AW89" s="71"/>
      <c r="AX89" s="71"/>
      <c r="AY89" s="71"/>
      <c r="AZ89" s="71"/>
      <c r="BA89" s="71"/>
      <c r="BB89" s="71"/>
      <c r="BC89" s="71"/>
      <c r="BD89" s="71"/>
      <c r="BE89" s="71"/>
      <c r="BF89" s="71"/>
      <c r="BG89" s="71"/>
      <c r="BH89" s="71"/>
      <c r="BI89" s="71"/>
      <c r="BJ89" s="71"/>
    </row>
    <row r="90" spans="1:62" ht="14.25" customHeight="1">
      <c r="N90" s="81"/>
      <c r="O90" s="92"/>
      <c r="P90" s="92"/>
      <c r="Q90" s="132"/>
      <c r="R90" s="126"/>
      <c r="S90" s="16"/>
      <c r="T90" s="116"/>
      <c r="U90" s="116"/>
      <c r="V90" s="116"/>
      <c r="W90" s="116"/>
      <c r="X90" s="307"/>
      <c r="Y90" s="116"/>
      <c r="Z90" s="116"/>
      <c r="AA90" s="116"/>
      <c r="AB90" s="116"/>
      <c r="AC90" s="126"/>
      <c r="AF90" s="71"/>
      <c r="AG90" s="71"/>
      <c r="AH90" s="71"/>
      <c r="AI90" s="70"/>
      <c r="AJ90" s="70"/>
      <c r="AK90" s="70"/>
      <c r="AL90" s="70"/>
      <c r="AM90" s="70"/>
      <c r="AN90" s="70"/>
      <c r="AO90" s="70"/>
      <c r="AP90" s="70"/>
      <c r="AQ90" s="70"/>
      <c r="AR90" s="70"/>
      <c r="AS90" s="70"/>
      <c r="AT90" s="70"/>
      <c r="AU90" s="70"/>
      <c r="AV90" s="70"/>
      <c r="AW90" s="70"/>
      <c r="AX90" s="70"/>
      <c r="AY90" s="70"/>
      <c r="AZ90" s="70"/>
      <c r="BA90" s="70"/>
      <c r="BB90" s="70"/>
      <c r="BC90" s="70"/>
      <c r="BD90" s="70"/>
      <c r="BE90" s="70"/>
      <c r="BF90" s="70"/>
      <c r="BG90" s="70"/>
      <c r="BH90" s="70"/>
      <c r="BI90" s="70"/>
      <c r="BJ90" s="70"/>
    </row>
    <row r="91" spans="1:62" s="9" customFormat="1" ht="14.25" customHeight="1">
      <c r="N91" s="81"/>
      <c r="O91" s="92"/>
      <c r="P91" s="92"/>
      <c r="Q91" s="130" t="s">
        <v>588</v>
      </c>
      <c r="R91" s="131"/>
      <c r="S91" s="230"/>
      <c r="T91" s="136"/>
      <c r="U91" s="136"/>
      <c r="V91" s="136"/>
      <c r="W91" s="136"/>
      <c r="X91" s="305"/>
      <c r="Y91" s="136"/>
      <c r="Z91" s="136"/>
      <c r="AA91" s="136"/>
      <c r="AB91" s="136"/>
      <c r="AC91" s="131"/>
      <c r="AF91" s="71"/>
      <c r="AG91" s="71"/>
      <c r="AH91" s="71"/>
      <c r="AI91" s="70"/>
      <c r="AJ91" s="70"/>
      <c r="AK91" s="70"/>
      <c r="AL91" s="70"/>
      <c r="AM91" s="70"/>
      <c r="AN91" s="70"/>
      <c r="AO91" s="70"/>
      <c r="AP91" s="70"/>
      <c r="AQ91" s="70"/>
      <c r="AR91" s="70"/>
      <c r="AS91" s="70"/>
      <c r="AT91" s="70"/>
      <c r="AU91" s="70"/>
      <c r="AV91" s="70"/>
      <c r="AW91" s="70"/>
      <c r="AX91" s="70"/>
      <c r="AY91" s="70"/>
      <c r="AZ91" s="70"/>
      <c r="BA91" s="70"/>
      <c r="BB91" s="70"/>
      <c r="BC91" s="70"/>
      <c r="BD91" s="70"/>
      <c r="BE91" s="70"/>
      <c r="BF91" s="70"/>
      <c r="BG91" s="70"/>
      <c r="BH91" s="70"/>
      <c r="BI91" s="70"/>
      <c r="BJ91" s="70"/>
    </row>
    <row r="92" spans="1:62" s="9" customFormat="1" ht="14.25" customHeight="1">
      <c r="N92" s="70"/>
      <c r="O92" s="85"/>
      <c r="P92" s="85"/>
      <c r="Q92" s="134"/>
      <c r="R92" s="133"/>
      <c r="S92" s="16"/>
      <c r="T92" s="76"/>
      <c r="U92" s="76"/>
      <c r="V92" s="76"/>
      <c r="W92" s="76"/>
      <c r="X92" s="133"/>
      <c r="Y92" s="76"/>
      <c r="Z92" s="76"/>
      <c r="AA92" s="76"/>
      <c r="AB92" s="76"/>
      <c r="AC92" s="133"/>
      <c r="AF92" s="70"/>
      <c r="AG92" s="70"/>
      <c r="AH92" s="70"/>
      <c r="AI92" s="70"/>
      <c r="AJ92" s="70"/>
      <c r="AK92" s="70"/>
      <c r="AL92" s="70"/>
      <c r="AM92" s="70"/>
      <c r="AN92" s="70"/>
      <c r="AO92" s="70"/>
      <c r="AP92" s="70"/>
      <c r="AQ92" s="70"/>
      <c r="AR92" s="70"/>
      <c r="AS92" s="70"/>
      <c r="AT92" s="70"/>
      <c r="AU92" s="70"/>
      <c r="AV92" s="70"/>
      <c r="AW92" s="70"/>
      <c r="AX92" s="70"/>
      <c r="AY92" s="70"/>
      <c r="AZ92" s="70"/>
      <c r="BA92" s="70"/>
      <c r="BB92" s="70"/>
      <c r="BC92" s="70"/>
      <c r="BD92" s="70"/>
      <c r="BE92" s="70"/>
      <c r="BF92" s="70"/>
      <c r="BG92" s="70"/>
      <c r="BH92" s="70"/>
      <c r="BI92" s="70"/>
      <c r="BJ92" s="70"/>
    </row>
    <row r="93" spans="1:62" s="9" customFormat="1" ht="14.25" customHeight="1">
      <c r="A93" s="23"/>
      <c r="B93" s="16"/>
      <c r="C93" s="16"/>
      <c r="D93" s="71"/>
      <c r="E93" s="71"/>
      <c r="F93" s="71"/>
      <c r="G93" s="71"/>
      <c r="H93" s="71"/>
      <c r="I93" s="71"/>
      <c r="J93" s="71"/>
      <c r="K93" s="71"/>
      <c r="L93" s="71"/>
      <c r="M93" s="71"/>
      <c r="N93" s="71"/>
      <c r="O93" s="87"/>
      <c r="P93" s="87"/>
      <c r="Q93" s="152" t="s">
        <v>22</v>
      </c>
      <c r="R93" s="124" t="s">
        <v>34</v>
      </c>
      <c r="S93" s="45">
        <f>+S79</f>
        <v>2026</v>
      </c>
      <c r="T93" s="8">
        <f t="shared" ref="T93:Z93" si="102">+T79</f>
        <v>2027</v>
      </c>
      <c r="U93" s="8">
        <f t="shared" si="102"/>
        <v>2028</v>
      </c>
      <c r="V93" s="8">
        <f t="shared" si="102"/>
        <v>2029</v>
      </c>
      <c r="W93" s="8">
        <f t="shared" si="102"/>
        <v>2030</v>
      </c>
      <c r="X93" s="124">
        <f t="shared" si="102"/>
        <v>2031</v>
      </c>
      <c r="Y93" s="8">
        <f t="shared" si="102"/>
        <v>2032</v>
      </c>
      <c r="Z93" s="8">
        <f t="shared" si="102"/>
        <v>2033</v>
      </c>
      <c r="AA93" s="8">
        <f>+AA79</f>
        <v>2034</v>
      </c>
      <c r="AB93" s="8">
        <f>+AB79</f>
        <v>2035</v>
      </c>
      <c r="AC93" s="124" t="s">
        <v>34</v>
      </c>
      <c r="AF93" s="70"/>
      <c r="AG93" s="70"/>
      <c r="AH93" s="70"/>
      <c r="AI93" s="71"/>
      <c r="AJ93" s="71"/>
      <c r="AK93" s="71"/>
      <c r="AL93" s="71"/>
      <c r="AM93" s="71"/>
      <c r="AN93" s="71"/>
      <c r="AO93" s="71"/>
      <c r="AP93" s="71"/>
      <c r="AQ93" s="71"/>
      <c r="AR93" s="71"/>
      <c r="AS93" s="71"/>
      <c r="AT93" s="71"/>
      <c r="AU93" s="71"/>
      <c r="AV93" s="71"/>
      <c r="AW93" s="71"/>
      <c r="AX93" s="71"/>
      <c r="AY93" s="71"/>
      <c r="AZ93" s="71"/>
      <c r="BA93" s="71"/>
      <c r="BB93" s="71"/>
      <c r="BC93" s="71"/>
      <c r="BD93" s="71"/>
      <c r="BE93" s="71"/>
      <c r="BF93" s="71"/>
      <c r="BG93" s="71"/>
      <c r="BH93" s="71"/>
      <c r="BI93" s="71"/>
      <c r="BJ93" s="71"/>
    </row>
    <row r="94" spans="1:62" s="9" customFormat="1" ht="14.25" customHeight="1">
      <c r="N94" s="71"/>
      <c r="O94" s="87"/>
      <c r="P94" s="87"/>
      <c r="Q94" s="147" t="s">
        <v>74</v>
      </c>
      <c r="R94" s="315">
        <f t="shared" ref="R94:R103" si="103">+AC94</f>
        <v>0</v>
      </c>
      <c r="S94" s="316">
        <f>+SUMIF($O$20:$O$39,Lister!$D$31,S20:S39)+SUMIF($O$20:$O$39,Lister!$D$32,S20:S39)</f>
        <v>0</v>
      </c>
      <c r="T94" s="316">
        <f>+SUMIF($O$20:$O$39,Lister!$D$31,T20:T39)+SUMIF($O$20:$O$39,Lister!$D$32,T20:T39)</f>
        <v>0</v>
      </c>
      <c r="U94" s="316">
        <f>+SUMIF($O$20:$O$39,Lister!$D$31,U20:U39)+SUMIF($O$20:$O$39,Lister!$D$32,U20:U39)</f>
        <v>0</v>
      </c>
      <c r="V94" s="316">
        <f>+SUMIF($O$20:$O$39,Lister!$D$31,V20:V39)+SUMIF($O$20:$O$39,Lister!$D$32,V20:V39)</f>
        <v>0</v>
      </c>
      <c r="W94" s="316">
        <f>+SUMIF($O$20:$O$39,Lister!$D$31,W20:W39)+SUMIF($O$20:$O$39,Lister!$D$32,W20:W39)</f>
        <v>0</v>
      </c>
      <c r="X94" s="316">
        <f>+SUMIF($O$20:$O$39,Lister!$D$31,X20:X39)+SUMIF($O$20:$O$39,Lister!$D$32,X20:X39)</f>
        <v>0</v>
      </c>
      <c r="Y94" s="316">
        <f>+SUMIF($O$20:$O$39,Lister!$D$31,Y20:Y39)+SUMIF($O$20:$O$39,Lister!$D$32,Y20:Y39)</f>
        <v>0</v>
      </c>
      <c r="Z94" s="316">
        <f>+SUMIF($O$20:$O$39,Lister!$D$31,Z20:Z39)+SUMIF($O$20:$O$39,Lister!$D$32,Z20:Z39)</f>
        <v>0</v>
      </c>
      <c r="AA94" s="316">
        <f>+SUMIF($O$20:$O$39,Lister!$D$31,AA20:AA39)+SUMIF($O$20:$O$39,Lister!$D$32,AA20:AA39)</f>
        <v>0</v>
      </c>
      <c r="AB94" s="316">
        <f>+SUMIF($O$20:$O$39,Lister!$D$31,AB20:AB39)+SUMIF($O$20:$O$39,Lister!$D$32,AB20:AB39)</f>
        <v>0</v>
      </c>
      <c r="AC94" s="140">
        <f>SUM(S94:AB94)</f>
        <v>0</v>
      </c>
      <c r="AF94" s="70"/>
      <c r="AG94" s="70"/>
      <c r="AH94" s="70"/>
      <c r="AI94" s="71"/>
      <c r="AJ94" s="71"/>
      <c r="AK94" s="71"/>
      <c r="AL94" s="71"/>
      <c r="AM94" s="71"/>
      <c r="AN94" s="71"/>
      <c r="AO94" s="71"/>
      <c r="AP94" s="71"/>
      <c r="AQ94" s="71"/>
      <c r="AR94" s="71"/>
      <c r="AS94" s="71"/>
      <c r="AT94" s="71"/>
      <c r="AU94" s="71"/>
      <c r="AV94" s="71"/>
      <c r="AW94" s="71"/>
      <c r="AX94" s="71"/>
      <c r="AY94" s="71"/>
      <c r="AZ94" s="71"/>
      <c r="BA94" s="71"/>
      <c r="BB94" s="71"/>
      <c r="BC94" s="71"/>
      <c r="BD94" s="71"/>
      <c r="BE94" s="71"/>
      <c r="BF94" s="71"/>
      <c r="BG94" s="71"/>
      <c r="BH94" s="71"/>
      <c r="BI94" s="71"/>
      <c r="BJ94" s="71"/>
    </row>
    <row r="95" spans="1:62" s="9" customFormat="1" ht="14.25" customHeight="1">
      <c r="N95" s="71"/>
      <c r="O95" s="87"/>
      <c r="P95" s="87"/>
      <c r="Q95" s="148" t="s">
        <v>75</v>
      </c>
      <c r="R95" s="309">
        <f t="shared" si="103"/>
        <v>0</v>
      </c>
      <c r="S95" s="310">
        <f>+SUMIF($O$43:$O$55,Lister!$D$31,S43:S55)+SUMIF($O$43:$O$55,Lister!$D$32,S43:S55)</f>
        <v>0</v>
      </c>
      <c r="T95" s="319">
        <f>+SUMIF($O$43:$O$55,Lister!$D$31,T43:T55)+SUMIF($O$43:$O$55,Lister!$D$32,T43:T55)</f>
        <v>0</v>
      </c>
      <c r="U95" s="310">
        <f>+SUMIF($O$43:$O$55,Lister!$D$31,U43:U55)+SUMIF($O$43:$O$55,Lister!$D$32,U43:U55)</f>
        <v>0</v>
      </c>
      <c r="V95" s="319">
        <f>+SUMIF($O$43:$O$55,Lister!$D$31,V43:V55)+SUMIF($O$43:$O$55,Lister!$D$32,V43:V55)</f>
        <v>0</v>
      </c>
      <c r="W95" s="310">
        <f>+SUMIF($O$43:$O$55,Lister!$D$31,W43:W55)+SUMIF($O$43:$O$55,Lister!$D$32,W43:W55)</f>
        <v>0</v>
      </c>
      <c r="X95" s="320">
        <f>+SUMIF($O$43:$O$55,Lister!$D$31,X43:X55)+SUMIF($O$43:$O$55,Lister!$D$32,X43:X55)</f>
        <v>0</v>
      </c>
      <c r="Y95" s="295">
        <f>+SUMIF($O$43:$O$55,Lister!$D$31,Y43:Y55)+SUMIF($O$43:$O$55,Lister!$D$32,Y43:Y55)</f>
        <v>0</v>
      </c>
      <c r="Z95" s="113">
        <f>+SUMIF($O$43:$O$55,Lister!$D$31,Z43:Z55)+SUMIF($O$43:$O$55,Lister!$D$32,Z43:Z55)</f>
        <v>0</v>
      </c>
      <c r="AA95" s="113">
        <f>+SUMIF($O$43:$O$55,Lister!$D$31,AA43:AA55)+SUMIF($O$43:$O$55,Lister!$D$32,AA43:AA55)</f>
        <v>0</v>
      </c>
      <c r="AB95" s="113">
        <f>+SUMIF($O$43:$O$55,Lister!$D$31,AB43:AB55)+SUMIF($O$43:$O$55,Lister!$D$32,AB43:AB55)</f>
        <v>0</v>
      </c>
      <c r="AC95" s="141">
        <f t="shared" ref="AC95:AC103" si="104">SUM(S95:AB95)</f>
        <v>0</v>
      </c>
      <c r="AF95" s="71"/>
      <c r="AG95" s="71"/>
      <c r="AH95" s="71"/>
      <c r="AI95" s="71"/>
      <c r="AJ95" s="71"/>
      <c r="AK95" s="71"/>
      <c r="AL95" s="71"/>
      <c r="AM95" s="71"/>
      <c r="AN95" s="71"/>
      <c r="AO95" s="71"/>
      <c r="AP95" s="71"/>
      <c r="AQ95" s="71"/>
      <c r="AR95" s="71"/>
      <c r="AS95" s="71"/>
      <c r="AT95" s="71"/>
      <c r="AU95" s="71"/>
      <c r="AV95" s="71"/>
      <c r="AW95" s="71"/>
      <c r="AX95" s="71"/>
      <c r="AY95" s="71"/>
      <c r="AZ95" s="71"/>
      <c r="BA95" s="71"/>
      <c r="BB95" s="71"/>
      <c r="BC95" s="71"/>
      <c r="BD95" s="71"/>
      <c r="BE95" s="71"/>
      <c r="BF95" s="71"/>
      <c r="BG95" s="71"/>
      <c r="BH95" s="71"/>
      <c r="BI95" s="71"/>
      <c r="BJ95" s="71"/>
    </row>
    <row r="96" spans="1:62" ht="14.25" customHeight="1">
      <c r="N96" s="71"/>
      <c r="O96" s="87"/>
      <c r="P96" s="87"/>
      <c r="Q96" s="149" t="s">
        <v>76</v>
      </c>
      <c r="R96" s="312">
        <f t="shared" si="103"/>
        <v>0</v>
      </c>
      <c r="S96" s="313">
        <f>+SUM(S94:S95)</f>
        <v>0</v>
      </c>
      <c r="T96" s="313">
        <f>+SUM(T94:T95)</f>
        <v>0</v>
      </c>
      <c r="U96" s="313">
        <f t="shared" ref="U96:Z96" si="105">+SUM(U94:U95)</f>
        <v>0</v>
      </c>
      <c r="V96" s="313">
        <f t="shared" si="105"/>
        <v>0</v>
      </c>
      <c r="W96" s="313">
        <f t="shared" si="105"/>
        <v>0</v>
      </c>
      <c r="X96" s="314">
        <f t="shared" si="105"/>
        <v>0</v>
      </c>
      <c r="Y96" s="142">
        <f t="shared" si="105"/>
        <v>0</v>
      </c>
      <c r="Z96" s="137">
        <f t="shared" si="105"/>
        <v>0</v>
      </c>
      <c r="AA96" s="137">
        <f>+SUM(AA94:AA95)</f>
        <v>0</v>
      </c>
      <c r="AB96" s="137">
        <f>+SUM(AB94:AB95)</f>
        <v>0</v>
      </c>
      <c r="AC96" s="138">
        <f t="shared" si="104"/>
        <v>0</v>
      </c>
      <c r="AF96" s="71"/>
      <c r="AG96" s="71"/>
      <c r="AH96" s="71"/>
      <c r="AI96" s="71"/>
      <c r="AJ96" s="71"/>
      <c r="AK96" s="71"/>
      <c r="AL96" s="71"/>
      <c r="AM96" s="71"/>
      <c r="AN96" s="71"/>
      <c r="AO96" s="71"/>
      <c r="AP96" s="71"/>
      <c r="AQ96" s="71"/>
      <c r="AR96" s="71"/>
      <c r="AS96" s="71"/>
      <c r="AT96" s="71"/>
      <c r="AU96" s="71"/>
      <c r="AV96" s="71"/>
      <c r="AW96" s="71"/>
      <c r="AX96" s="71"/>
      <c r="AY96" s="71"/>
      <c r="AZ96" s="71"/>
      <c r="BA96" s="71"/>
      <c r="BB96" s="71"/>
      <c r="BC96" s="71"/>
      <c r="BD96" s="71"/>
      <c r="BE96" s="71"/>
      <c r="BF96" s="71"/>
      <c r="BG96" s="71"/>
      <c r="BH96" s="71"/>
      <c r="BI96" s="71"/>
      <c r="BJ96" s="71"/>
    </row>
    <row r="97" spans="14:62" s="14" customFormat="1" ht="14.25" customHeight="1">
      <c r="N97" s="71"/>
      <c r="O97" s="87"/>
      <c r="P97" s="87"/>
      <c r="Q97" s="149" t="s">
        <v>77</v>
      </c>
      <c r="R97" s="312">
        <f t="shared" si="103"/>
        <v>0</v>
      </c>
      <c r="S97" s="313">
        <f>+SUMIF($O$62:$O$74,Lister!$D$31,C62:C74)+SUMIF($O$62:$O$74,Lister!$D$32,C62:C74)-SUMIFS(C62:C74,$O$62:$O$74,Lister!$D$31,$A$62:$A$74,Lister!$M$9)-SUMIFS(C62:C74,$O$62:$O$74,Lister!$D$32,$A$62:$A$74,Lister!$M$9)</f>
        <v>0</v>
      </c>
      <c r="T97" s="327">
        <f>+SUMIF($O$62:$O$74,Lister!$D$31,D62:D74)+SUMIF($O$62:$O$74,Lister!$D$32,D62:D74)-SUMIFS(D62:D74,$O$62:$O$74,Lister!$D$31,$A$62:$A$74,Lister!$M$9)-SUMIFS(D62:D74,$O$62:$O$74,Lister!$D$32,$A$62:$A$74,Lister!$M$9)</f>
        <v>0</v>
      </c>
      <c r="U97" s="327">
        <f>+SUMIF($O$62:$O$74,Lister!$D$31,E62:E74)+SUMIF($O$62:$O$74,Lister!$D$32,E62:E74)-SUMIFS(E62:E74,$O$62:$O$74,Lister!$D$31,$A$62:$A$74,Lister!$M$9)-SUMIFS(E62:E74,$O$62:$O$74,Lister!$D$32,$A$62:$A$74,Lister!$M$9)</f>
        <v>0</v>
      </c>
      <c r="V97" s="327">
        <f>+SUMIF($O$62:$O$74,Lister!$D$31,F62:F74)+SUMIF($O$62:$O$74,Lister!$D$32,F62:F74)-SUMIFS(F62:F74,$O$62:$O$74,Lister!$D$31,$A$62:$A$74,Lister!$M$9)-SUMIFS(F62:F74,$O$62:$O$74,Lister!$D$32,$A$62:$A$74,Lister!$M$9)</f>
        <v>0</v>
      </c>
      <c r="W97" s="327">
        <f>+SUMIF($O$62:$O$74,Lister!$D$31,G62:G74)+SUMIF($O$62:$O$74,Lister!$D$32,G62:G74)-SUMIFS(G62:G74,$O$62:$O$74,Lister!$D$31,$A$62:$A$74,Lister!$M$9)-SUMIFS(G62:G74,$O$62:$O$74,Lister!$D$32,$A$62:$A$74,Lister!$M$9)</f>
        <v>0</v>
      </c>
      <c r="X97" s="328">
        <f>+SUMIF($O$62:$O$74,Lister!$D$31,H62:H74)+SUMIF($O$62:$O$74,Lister!$D$32,H62:H74)-SUMIFS(H62:H74,$O$62:$O$74,Lister!$D$31,$A$62:$A$74,Lister!$M$9)-SUMIFS(H62:H74,$O$62:$O$74,Lister!$D$32,$A$62:$A$74,Lister!$M$9)</f>
        <v>0</v>
      </c>
      <c r="Y97" s="209">
        <f>+SUMIF($O$62:$O$74,Lister!$D$31,I62:I74)+SUMIF($O$62:$O$74,Lister!$D$32,I62:I74)-SUMIFS(I62:I74,$O$62:$O$74,Lister!$D$31,$A$62:$A$74,Lister!$M$9)-SUMIFS(I62:I74,$O$62:$O$74,Lister!$D$32,$A$62:$A$74,Lister!$M$9)</f>
        <v>0</v>
      </c>
      <c r="Z97" s="208">
        <f>+SUMIF($O$62:$O$74,Lister!$D$31,J62:J74)+SUMIF($O$62:$O$74,Lister!$D$32,J62:J74)-SUMIFS(J62:J74,$O$62:$O$74,Lister!$D$31,$A$62:$A$74,Lister!$M$9)-SUMIFS(J62:J74,$O$62:$O$74,Lister!$D$32,$A$62:$A$74,Lister!$M$9)</f>
        <v>0</v>
      </c>
      <c r="AA97" s="208">
        <f>+SUMIF($O$62:$O$74,Lister!$D$31,K62:K74)+SUMIF($O$62:$O$74,Lister!$D$32,K62:K74)-SUMIFS(K62:K74,$O$62:$O$74,Lister!$D$31,$A$62:$A$74,Lister!$M$9)-SUMIFS(K62:K74,$O$62:$O$74,Lister!$D$32,$A$62:$A$74,Lister!$M$9)</f>
        <v>0</v>
      </c>
      <c r="AB97" s="208">
        <f>+SUMIF($O$62:$O$74,Lister!$D$31,L62:L74)+SUMIF($O$62:$O$74,Lister!$D$32,L62:L74)-SUMIFS(L62:L74,$O$62:$O$74,Lister!$D$31,$A$62:$A$74,Lister!$M$9)-SUMIFS(L62:L74,$O$62:$O$74,Lister!$D$32,$A$62:$A$74,Lister!$M$9)</f>
        <v>0</v>
      </c>
      <c r="AC97" s="138">
        <f t="shared" si="104"/>
        <v>0</v>
      </c>
      <c r="AF97" s="71"/>
      <c r="AG97" s="71"/>
      <c r="AH97" s="71"/>
      <c r="AI97" s="71"/>
      <c r="AJ97" s="71"/>
      <c r="AK97" s="71"/>
      <c r="AL97" s="71"/>
      <c r="AM97" s="71"/>
      <c r="AN97" s="71"/>
      <c r="AO97" s="71"/>
      <c r="AP97" s="71"/>
      <c r="AQ97" s="71"/>
      <c r="AR97" s="71"/>
      <c r="AS97" s="71"/>
      <c r="AT97" s="71"/>
      <c r="AU97" s="71"/>
      <c r="AV97" s="71"/>
      <c r="AW97" s="71"/>
      <c r="AX97" s="71"/>
      <c r="AY97" s="71"/>
      <c r="AZ97" s="71"/>
      <c r="BA97" s="71"/>
      <c r="BB97" s="71"/>
      <c r="BC97" s="71"/>
      <c r="BD97" s="71"/>
      <c r="BE97" s="71"/>
      <c r="BF97" s="71"/>
      <c r="BG97" s="71"/>
      <c r="BH97" s="71"/>
      <c r="BI97" s="71"/>
      <c r="BJ97" s="71"/>
    </row>
    <row r="98" spans="14:62" s="9" customFormat="1" ht="14.25" customHeight="1">
      <c r="N98" s="70"/>
      <c r="O98" s="85"/>
      <c r="P98" s="85"/>
      <c r="Q98" s="149" t="s">
        <v>78</v>
      </c>
      <c r="R98" s="312">
        <f t="shared" si="103"/>
        <v>0</v>
      </c>
      <c r="S98" s="313">
        <f>+S97+S96</f>
        <v>0</v>
      </c>
      <c r="T98" s="329">
        <f t="shared" ref="T98:Z98" si="106">+T97+T96</f>
        <v>0</v>
      </c>
      <c r="U98" s="329">
        <f t="shared" si="106"/>
        <v>0</v>
      </c>
      <c r="V98" s="329">
        <f t="shared" si="106"/>
        <v>0</v>
      </c>
      <c r="W98" s="329">
        <f t="shared" si="106"/>
        <v>0</v>
      </c>
      <c r="X98" s="330">
        <f t="shared" si="106"/>
        <v>0</v>
      </c>
      <c r="Y98" s="146">
        <f t="shared" si="106"/>
        <v>0</v>
      </c>
      <c r="Z98" s="145">
        <f t="shared" si="106"/>
        <v>0</v>
      </c>
      <c r="AA98" s="145">
        <f>+AA97+AA96</f>
        <v>0</v>
      </c>
      <c r="AB98" s="145">
        <f>+AB97+AB96</f>
        <v>0</v>
      </c>
      <c r="AC98" s="138">
        <f t="shared" si="104"/>
        <v>0</v>
      </c>
      <c r="AF98" s="71"/>
      <c r="AG98" s="71"/>
      <c r="AH98" s="71"/>
      <c r="AI98" s="70"/>
      <c r="AJ98" s="70"/>
      <c r="AK98" s="70"/>
      <c r="AL98" s="70"/>
      <c r="AM98" s="70"/>
      <c r="AN98" s="70"/>
      <c r="AO98" s="70"/>
      <c r="AP98" s="70"/>
      <c r="AQ98" s="70"/>
      <c r="AR98" s="70"/>
      <c r="AS98" s="70"/>
      <c r="AT98" s="70"/>
      <c r="AU98" s="70"/>
      <c r="AV98" s="70"/>
      <c r="AW98" s="70"/>
      <c r="AX98" s="70"/>
      <c r="AY98" s="70"/>
      <c r="AZ98" s="70"/>
      <c r="BA98" s="70"/>
      <c r="BB98" s="70"/>
      <c r="BC98" s="70"/>
      <c r="BD98" s="70"/>
      <c r="BE98" s="70"/>
      <c r="BF98" s="70"/>
      <c r="BG98" s="70"/>
      <c r="BH98" s="70"/>
      <c r="BI98" s="70"/>
      <c r="BJ98" s="70"/>
    </row>
    <row r="99" spans="14:62" s="9" customFormat="1" ht="14.25" customHeight="1">
      <c r="N99" s="79"/>
      <c r="O99" s="90"/>
      <c r="P99" s="90"/>
      <c r="Q99" s="150" t="s">
        <v>0</v>
      </c>
      <c r="R99" s="312">
        <f t="shared" si="103"/>
        <v>0</v>
      </c>
      <c r="S99" s="153">
        <f>IF($C$12=2,S96*$C$6/100,
IF($G$6=Lister!$D$4,S96*$C$6/100,
IF($G$6=Lister!$D$5,S98*$C$6/100,
IF($G$6=Lister!$D$6,(S98-SUMIFS(C62:C74,$O$62:$O$74,Lister!$D$31,$A$62:$A$74,Lister!$M$10)-SUMIFS(C62:C74,$O$62:$O$74,Lister!$D$32,$A$62:$A$74,Lister!$M$10))*$C$6/100,
IF($G$6=Lister!$D$7,(S98-SUMIFS(C62:C74,$O$62:$O$74,Lister!$D$31,$A$62:$A$74,Lister!$M$10)-SUMIFS(C62:C74,$O$62:$O$74,Lister!$D$32,$A$62:$A$74,Lister!$M$10)-SUMIFS(C62:C74,$O$62:$O$74,Lister!$D$31,$A$62:$A$74,Lister!$M$7)-SUMIFS(C62:C74,$O$62:$O$74,Lister!$D$32,$A$62:$A$74,Lister!$M$7))*$C$6/100,
IF($G$6=Lister!$D$8,(S98+S100)*$C$6/100,
IF($G$6=Lister!$D$9,S97*$C$6/100,0)))))))</f>
        <v>0</v>
      </c>
      <c r="T99" s="323">
        <f>IF($C$12=2,T96*$C$6/100,
IF($G$6=Lister!$D$4,T96*$C$6/100,
IF($G$6=Lister!$D$5,T98*$C$6/100,
IF($G$6=Lister!$D$6,(T98-SUMIFS(D62:D74,$O$62:$O$74,Lister!$D$31,$A$62:$A$74,Lister!$M$10)-SUMIFS(D62:D74,$O$62:$O$74,Lister!$D$32,$A$62:$A$74,Lister!$M$10))*$C$6/100,
IF($G$6=Lister!$D$7,(T98-SUMIFS(D62:D74,$O$62:$O$74,Lister!$D$31,$A$62:$A$74,Lister!$M$10)-SUMIFS(D62:D74,$O$62:$O$74,Lister!$D$32,$A$62:$A$74,Lister!$M$10)-SUMIFS(D62:D74,$O$62:$O$74,Lister!$D$31,$A$62:$A$74,Lister!$M$7)-SUMIFS(D62:D74,$O$62:$O$74,Lister!$D$32,$A$62:$A$74,Lister!$M$7))*$C$6/100,
IF($G$6=Lister!$D$8,(T98+T100)*$C$6/100,
IF($G$6=Lister!$D$9,T97*$C$6/100,0)))))))</f>
        <v>0</v>
      </c>
      <c r="U99" s="323">
        <f>IF($C$12=2,U96*$C$6/100,
IF($G$6=Lister!$D$4,U96*$C$6/100,
IF($G$6=Lister!$D$5,U98*$C$6/100,
IF($G$6=Lister!$D$6,(U98-SUMIFS(E62:E74,$O$62:$O$74,Lister!$D$31,$A$62:$A$74,Lister!$M$10)-SUMIFS(E62:E74,$O$62:$O$74,Lister!$D$32,$A$62:$A$74,Lister!$M$10))*$C$6/100,
IF($G$6=Lister!$D$7,(U98-SUMIFS(E62:E74,$O$62:$O$74,Lister!$D$31,$A$62:$A$74,Lister!$M$10)-SUMIFS(E62:E74,$O$62:$O$74,Lister!$D$32,$A$62:$A$74,Lister!$M$10)-SUMIFS(E62:E74,$O$62:$O$74,Lister!$D$31,$A$62:$A$74,Lister!$M$7)-SUMIFS(E62:E74,$O$62:$O$74,Lister!$D$32,$A$62:$A$74,Lister!$M$7))*$C$6/100,
IF($G$6=Lister!$D$8,(U98+U100)*$C$6/100,
IF($G$6=Lister!$D$9,U97*$C$6/100,0)))))))</f>
        <v>0</v>
      </c>
      <c r="V99" s="323">
        <f>IF($C$12=2,V96*$C$6/100,
IF($G$6=Lister!$D$4,V96*$C$6/100,
IF($G$6=Lister!$D$5,V98*$C$6/100,
IF($G$6=Lister!$D$6,(V98-SUMIFS(F62:F74,$O$62:$O$74,Lister!$D$31,$A$62:$A$74,Lister!$M$10)-SUMIFS(F62:F74,$O$62:$O$74,Lister!$D$32,$A$62:$A$74,Lister!$M$10))*$C$6/100,
IF($G$6=Lister!$D$7,(V98-SUMIFS(F62:F74,$O$62:$O$74,Lister!$D$31,$A$62:$A$74,Lister!$M$10)-SUMIFS(F62:F74,$O$62:$O$74,Lister!$D$32,$A$62:$A$74,Lister!$M$10)-SUMIFS(F62:F74,$O$62:$O$74,Lister!$D$31,$A$62:$A$74,Lister!$M$7)-SUMIFS(F62:F74,$O$62:$O$74,Lister!$D$32,$A$62:$A$74,Lister!$M$7))*$C$6/100,
IF($G$6=Lister!$D$8,(V98+V100)*$C$6/100,
IF($G$6=Lister!$D$9,V97*$C$6/100,0)))))))</f>
        <v>0</v>
      </c>
      <c r="W99" s="323">
        <f>IF($C$12=2,W96*$C$6/100,
IF($G$6=Lister!$D$4,W96*$C$6/100,
IF($G$6=Lister!$D$5,W98*$C$6/100,
IF($G$6=Lister!$D$6,(W98-SUMIFS(G62:G74,$O$62:$O$74,Lister!$D$31,$A$62:$A$74,Lister!$M$10)-SUMIFS(G62:G74,$O$62:$O$74,Lister!$D$32,$A$62:$A$74,Lister!$M$10))*$C$6/100,
IF($G$6=Lister!$D$7,(W98-SUMIFS(G62:G74,$O$62:$O$74,Lister!$D$31,$A$62:$A$74,Lister!$M$10)-SUMIFS(G62:G74,$O$62:$O$74,Lister!$D$32,$A$62:$A$74,Lister!$M$10)-SUMIFS(G62:G74,$O$62:$O$74,Lister!$D$31,$A$62:$A$74,Lister!$M$7)-SUMIFS(G62:G74,$O$62:$O$74,Lister!$D$32,$A$62:$A$74,Lister!$M$7))*$C$6/100,
IF($G$6=Lister!$D$8,(W98+W100)*$C$6/100,
IF($G$6=Lister!$D$9,W97*$C$6/100,0)))))))</f>
        <v>0</v>
      </c>
      <c r="X99" s="324">
        <f>IF($C$12=2,X96*$C$6/100,
IF($G$6=Lister!$D$4,X96*$C$6/100,
IF($G$6=Lister!$D$5,X98*$C$6/100,
IF($G$6=Lister!$D$6,(X98-SUMIFS(H62:H74,$O$62:$O$74,Lister!$D$31,$A$62:$A$74,Lister!$M$10)-SUMIFS(H62:H74,$O$62:$O$74,Lister!$D$32,$A$62:$A$74,Lister!$M$10))*$C$6/100,
IF($G$6=Lister!$D$7,(X98-SUMIFS(H62:H74,$O$62:$O$74,Lister!$D$31,$A$62:$A$74,Lister!$M$10)-SUMIFS(H62:H74,$O$62:$O$74,Lister!$D$32,$A$62:$A$74,Lister!$M$10)-SUMIFS(H62:H74,$O$62:$O$74,Lister!$D$31,$A$62:$A$74,Lister!$M$7)-SUMIFS(H62:H74,$O$62:$O$74,Lister!$D$32,$A$62:$A$74,Lister!$M$7))*$C$6/100,
IF($G$6=Lister!$D$8,(X98+X100)*$C$6/100,
IF($G$6=Lister!$D$9,X97*$C$6/100,0)))))))</f>
        <v>0</v>
      </c>
      <c r="Y99" s="205">
        <f>IF($C$12=2,Y96*$C$6/100,
IF($G$6=Lister!$D$4,Y96*$C$6/100,
IF($G$6=Lister!$D$5,Y98*$C$6/100,
IF($G$6=Lister!$D$6,(Y98-SUMIFS(I62:I74,$O$62:$O$74,Lister!$D$31,$A$62:$A$74,Lister!$M$10)-SUMIFS(I62:I74,$O$62:$O$74,Lister!$D$32,$A$62:$A$74,Lister!$M$10))*$C$6/100,
IF($G$6=Lister!$D$7,(Y98-SUMIFS(I62:I74,$O$62:$O$74,Lister!$D$31,$A$62:$A$74,Lister!$M$10)-SUMIFS(I62:I74,$O$62:$O$74,Lister!$D$32,$A$62:$A$74,Lister!$M$10)-SUMIFS(I62:I74,$O$62:$O$74,Lister!$D$31,$A$62:$A$74,Lister!$M$7)-SUMIFS(I62:I74,$O$62:$O$74,Lister!$D$32,$A$62:$A$74,Lister!$M$7))*$C$6/100,
IF($G$6=Lister!$D$8,(Y98+Y100)*$C$6/100,
IF($G$6=Lister!$D$9,Y97*$C$6/100,0)))))))</f>
        <v>0</v>
      </c>
      <c r="Z99" s="204">
        <f>IF($C$12=2,Z96*$C$6/100,
IF($G$6=Lister!$D$4,Z96*$C$6/100,
IF($G$6=Lister!$D$5,Z98*$C$6/100,
IF($G$6=Lister!$D$6,(Z98-SUMIFS(J62:J74,$O$62:$O$74,Lister!$D$31,$A$62:$A$74,Lister!$M$10)-SUMIFS(J62:J74,$O$62:$O$74,Lister!$D$32,$A$62:$A$74,Lister!$M$10))*$C$6/100,
IF($G$6=Lister!$D$7,(Z98-SUMIFS(J62:J74,$O$62:$O$74,Lister!$D$31,$A$62:$A$74,Lister!$M$10)-SUMIFS(J62:J74,$O$62:$O$74,Lister!$D$32,$A$62:$A$74,Lister!$M$10)-SUMIFS(J62:J74,$O$62:$O$74,Lister!$D$31,$A$62:$A$74,Lister!$M$7)-SUMIFS(J62:J74,$O$62:$O$74,Lister!$D$32,$A$62:$A$74,Lister!$M$7))*$C$6/100,
IF($G$6=Lister!$D$8,(Z98+Z100)*$C$6/100,
IF($G$6=Lister!$D$9,Z97*$C$6/100,0)))))))</f>
        <v>0</v>
      </c>
      <c r="AA99" s="204">
        <f>IF($C$12=2,AA96*$C$6/100,
IF($G$6=Lister!$D$4,AA96*$C$6/100,
IF($G$6=Lister!$D$5,AA98*$C$6/100,
IF($G$6=Lister!$D$6,(AA98-SUMIFS(K62:K74,$O$62:$O$74,Lister!$D$31,$A$62:$A$74,Lister!$M$10)-SUMIFS(K62:K74,$O$62:$O$74,Lister!$D$32,$A$62:$A$74,Lister!$M$10))*$C$6/100,
IF($G$6=Lister!$D$7,(AA98-SUMIFS(K62:K74,$O$62:$O$74,Lister!$D$31,$A$62:$A$74,Lister!$M$10)-SUMIFS(K62:K74,$O$62:$O$74,Lister!$D$32,$A$62:$A$74,Lister!$M$10)-SUMIFS(K62:K74,$O$62:$O$74,Lister!$D$31,$A$62:$A$74,Lister!$M$7)-SUMIFS(K62:K74,$O$62:$O$74,Lister!$D$32,$A$62:$A$74,Lister!$M$7))*$C$6/100,
IF($G$6=Lister!$D$8,(AA98+AA100)*$C$6/100,
IF($G$6=Lister!$D$9,AA97*$C$6/100,0)))))))</f>
        <v>0</v>
      </c>
      <c r="AB99" s="204">
        <f>IF($C$12=2,AB96*$C$6/100,
IF($G$6=Lister!$D$4,AB96*$C$6/100,
IF($G$6=Lister!$D$5,AB98*$C$6/100,
IF($G$6=Lister!$D$6,(AB98-SUMIFS(L62:L74,$O$62:$O$74,Lister!$D$31,$A$62:$A$74,Lister!$M$10)-SUMIFS(L62:L74,$O$62:$O$74,Lister!$D$32,$A$62:$A$74,Lister!$M$10))*$C$6/100,
IF($G$6=Lister!$D$7,(AB98-SUMIFS(L62:L74,$O$62:$O$74,Lister!$D$31,$A$62:$A$74,Lister!$M$10)-SUMIFS(L62:L74,$O$62:$O$74,Lister!$D$32,$A$62:$A$74,Lister!$M$10)-SUMIFS(L62:L74,$O$62:$O$74,Lister!$D$31,$A$62:$A$74,Lister!$M$7)-SUMIFS(L62:L74,$O$62:$O$74,Lister!$D$32,$A$62:$A$74,Lister!$M$7))*$C$6/100,
IF($G$6=Lister!$D$8,(AB98+AB100)*$C$6/100,
IF($G$6=Lister!$D$9,AB97*$C$6/100,0)))))))</f>
        <v>0</v>
      </c>
      <c r="AC99" s="138">
        <f t="shared" si="104"/>
        <v>0</v>
      </c>
      <c r="AF99" s="71"/>
      <c r="AG99" s="71"/>
      <c r="AH99" s="71"/>
      <c r="AI99" s="79"/>
      <c r="AJ99" s="79"/>
      <c r="AK99" s="79"/>
      <c r="AL99" s="79"/>
      <c r="AM99" s="79"/>
      <c r="AN99" s="79"/>
      <c r="AO99" s="79"/>
      <c r="AP99" s="79"/>
      <c r="AQ99" s="79"/>
      <c r="AR99" s="79"/>
      <c r="AS99" s="79"/>
      <c r="AT99" s="79"/>
      <c r="AU99" s="79"/>
      <c r="AV99" s="79"/>
      <c r="AW99" s="79"/>
      <c r="AX99" s="79"/>
      <c r="AY99" s="79"/>
      <c r="AZ99" s="79"/>
      <c r="BA99" s="79"/>
      <c r="BB99" s="79"/>
      <c r="BC99" s="79"/>
      <c r="BD99" s="79"/>
      <c r="BE99" s="79"/>
      <c r="BF99" s="79"/>
      <c r="BG99" s="79"/>
      <c r="BH99" s="79"/>
      <c r="BI99" s="79"/>
      <c r="BJ99" s="79"/>
    </row>
    <row r="100" spans="14:62" s="9" customFormat="1" ht="14.25" customHeight="1">
      <c r="N100" s="71"/>
      <c r="O100" s="87"/>
      <c r="P100" s="87"/>
      <c r="Q100" s="151" t="s">
        <v>103</v>
      </c>
      <c r="R100" s="312">
        <f t="shared" si="103"/>
        <v>0</v>
      </c>
      <c r="S100" s="153">
        <f>+IF($C$8=Lister!$O$5,(SUMIF($O$20:$O$29,Lister!$D$31,C20:C29)+SUMIF($O$20:$O$29,Lister!$D$32,C20:C29))*Takstblad!C$84,0)</f>
        <v>0</v>
      </c>
      <c r="T100" s="153">
        <f>+IF($C$8=Lister!$O$5,(SUMIF($O$20:$O$29,Lister!$D$31,D20:D29)+SUMIF($O$20:$O$29,Lister!$D$32,D20:D29))*Takstblad!D$84,0)</f>
        <v>0</v>
      </c>
      <c r="U100" s="153">
        <f>+IF($C$8=Lister!$O$5,(SUMIF($O$20:$O$29,Lister!$D$31,E20:E29)+SUMIF($O$20:$O$29,Lister!$D$32,E20:E29))*Takstblad!E$84,0)</f>
        <v>0</v>
      </c>
      <c r="V100" s="153">
        <f>+IF($C$8=Lister!$O$5,(SUMIF($O$20:$O$29,Lister!$D$31,F20:F29)+SUMIF($O$20:$O$29,Lister!$D$32,F20:F29))*Takstblad!F$84,0)</f>
        <v>0</v>
      </c>
      <c r="W100" s="153">
        <f>+IF($C$8=Lister!$O$5,(SUMIF($O$20:$O$29,Lister!$D$31,G20:G29)+SUMIF($O$20:$O$29,Lister!$D$32,G20:G29))*Takstblad!G$84,0)</f>
        <v>0</v>
      </c>
      <c r="X100" s="300">
        <f>+IF($C$8=Lister!$O$5,(SUMIF($O$20:$O$29,Lister!$D$31,H20:H29)+SUMIF($O$20:$O$29,Lister!$D$32,H20:H29))*Takstblad!H$84,0)</f>
        <v>0</v>
      </c>
      <c r="Y100" s="110">
        <f>+IF($C$8=Lister!$O$5,(SUMIF($O$20:$O$29,Lister!$D$31,I20:I29)+SUMIF($O$20:$O$29,Lister!$D$32,I20:I29))*Takstblad!I$84,0)</f>
        <v>0</v>
      </c>
      <c r="Z100" s="21">
        <f>+IF($C$8=Lister!$O$5,(SUMIF($O$20:$O$29,Lister!$D$31,J20:J29)+SUMIF($O$20:$O$29,Lister!$D$32,J20:J29))*Takstblad!J$84,0)</f>
        <v>0</v>
      </c>
      <c r="AA100" s="21">
        <f>+IF($C$8=Lister!$O$5,(SUMIF($O$20:$O$29,Lister!$D$31,K20:K29)+SUMIF($O$20:$O$29,Lister!$D$32,K20:K29))*Takstblad!K$84,0)</f>
        <v>0</v>
      </c>
      <c r="AB100" s="21">
        <f>+IF($C$8=Lister!$O$5,(SUMIF($O$20:$O$29,Lister!$D$31,L20:L29)+SUMIF($O$20:$O$29,Lister!$D$32,L20:L29))*Takstblad!L$84,0)</f>
        <v>0</v>
      </c>
      <c r="AC100" s="138">
        <f t="shared" si="104"/>
        <v>0</v>
      </c>
      <c r="AF100" s="70"/>
      <c r="AG100" s="70"/>
      <c r="AH100" s="70"/>
      <c r="AI100" s="71"/>
      <c r="AJ100" s="71"/>
      <c r="AK100" s="71"/>
      <c r="AL100" s="71"/>
      <c r="AM100" s="71"/>
      <c r="AN100" s="71"/>
      <c r="AO100" s="71"/>
      <c r="AP100" s="71"/>
      <c r="AQ100" s="71"/>
      <c r="AR100" s="71"/>
      <c r="AS100" s="71"/>
      <c r="AT100" s="71"/>
      <c r="AU100" s="71"/>
      <c r="AV100" s="71"/>
      <c r="AW100" s="71"/>
      <c r="AX100" s="71"/>
      <c r="AY100" s="71"/>
      <c r="AZ100" s="71"/>
      <c r="BA100" s="71"/>
      <c r="BB100" s="71"/>
      <c r="BC100" s="71"/>
      <c r="BD100" s="71"/>
      <c r="BE100" s="71"/>
      <c r="BF100" s="71"/>
      <c r="BG100" s="71"/>
      <c r="BH100" s="71"/>
      <c r="BI100" s="71"/>
      <c r="BJ100" s="71"/>
    </row>
    <row r="101" spans="14:62" s="9" customFormat="1" ht="14.25" customHeight="1">
      <c r="N101" s="71"/>
      <c r="O101" s="87"/>
      <c r="P101" s="87"/>
      <c r="Q101" s="151" t="s">
        <v>108</v>
      </c>
      <c r="R101" s="312">
        <f t="shared" si="103"/>
        <v>0</v>
      </c>
      <c r="S101" s="153"/>
      <c r="T101" s="155"/>
      <c r="U101" s="155"/>
      <c r="V101" s="155"/>
      <c r="W101" s="155"/>
      <c r="X101" s="308"/>
      <c r="Y101" s="114"/>
      <c r="Z101" s="115"/>
      <c r="AA101" s="115"/>
      <c r="AB101" s="115"/>
      <c r="AC101" s="138">
        <f t="shared" si="104"/>
        <v>0</v>
      </c>
      <c r="AF101" s="79"/>
      <c r="AG101" s="79"/>
      <c r="AH101" s="79"/>
      <c r="AI101" s="71"/>
      <c r="AJ101" s="71"/>
      <c r="AK101" s="71"/>
      <c r="AL101" s="71"/>
      <c r="AM101" s="71"/>
      <c r="AN101" s="71"/>
      <c r="AO101" s="71"/>
      <c r="AP101" s="71"/>
      <c r="AQ101" s="71"/>
      <c r="AR101" s="71"/>
      <c r="AS101" s="71"/>
      <c r="AT101" s="71"/>
      <c r="AU101" s="71"/>
      <c r="AV101" s="71"/>
      <c r="AW101" s="71"/>
      <c r="AX101" s="71"/>
      <c r="AY101" s="71"/>
      <c r="AZ101" s="71"/>
      <c r="BA101" s="71"/>
      <c r="BB101" s="71"/>
      <c r="BC101" s="71"/>
      <c r="BD101" s="71"/>
      <c r="BE101" s="71"/>
      <c r="BF101" s="71"/>
      <c r="BG101" s="71"/>
      <c r="BH101" s="71"/>
      <c r="BI101" s="71"/>
      <c r="BJ101" s="71"/>
    </row>
    <row r="102" spans="14:62" s="9" customFormat="1" ht="14.25" customHeight="1">
      <c r="N102" s="71"/>
      <c r="O102" s="87"/>
      <c r="P102" s="87"/>
      <c r="Q102" s="150" t="s">
        <v>531</v>
      </c>
      <c r="R102" s="312">
        <f t="shared" si="103"/>
        <v>0</v>
      </c>
      <c r="S102" s="153" t="str">
        <f>IF($C$12=2,(SUM(S98:S101)*$C$13)/100,"0")</f>
        <v>0</v>
      </c>
      <c r="T102" s="155" t="str">
        <f t="shared" ref="T102:Z102" si="107">IF($C$12=2,(SUM(T98:T101)*$C$13)/100,"0")</f>
        <v>0</v>
      </c>
      <c r="U102" s="155" t="str">
        <f t="shared" si="107"/>
        <v>0</v>
      </c>
      <c r="V102" s="155" t="str">
        <f t="shared" si="107"/>
        <v>0</v>
      </c>
      <c r="W102" s="155" t="str">
        <f t="shared" si="107"/>
        <v>0</v>
      </c>
      <c r="X102" s="308" t="str">
        <f t="shared" si="107"/>
        <v>0</v>
      </c>
      <c r="Y102" s="156" t="str">
        <f t="shared" si="107"/>
        <v>0</v>
      </c>
      <c r="Z102" s="155" t="str">
        <f t="shared" si="107"/>
        <v>0</v>
      </c>
      <c r="AA102" s="155" t="str">
        <f>IF($C$12=2,(SUM(AA98:AA101)*$C$13)/100,"0")</f>
        <v>0</v>
      </c>
      <c r="AB102" s="155" t="str">
        <f>IF($C$12=2,(SUM(AB98:AB101)*$C$13)/100,"0")</f>
        <v>0</v>
      </c>
      <c r="AC102" s="138">
        <f t="shared" si="104"/>
        <v>0</v>
      </c>
      <c r="AF102" s="71"/>
      <c r="AG102" s="71"/>
      <c r="AH102" s="71"/>
      <c r="AI102" s="71"/>
      <c r="AJ102" s="71"/>
      <c r="AK102" s="71"/>
      <c r="AL102" s="71"/>
      <c r="AM102" s="71"/>
      <c r="AN102" s="71"/>
      <c r="AO102" s="71"/>
      <c r="AP102" s="71"/>
      <c r="AQ102" s="71"/>
      <c r="AR102" s="71"/>
      <c r="AS102" s="71"/>
      <c r="AT102" s="71"/>
      <c r="AU102" s="71"/>
      <c r="AV102" s="71"/>
      <c r="AW102" s="71"/>
      <c r="AX102" s="71"/>
      <c r="AY102" s="71"/>
      <c r="AZ102" s="71"/>
      <c r="BA102" s="71"/>
      <c r="BB102" s="71"/>
      <c r="BC102" s="71"/>
      <c r="BD102" s="71"/>
      <c r="BE102" s="71"/>
      <c r="BF102" s="71"/>
      <c r="BG102" s="71"/>
      <c r="BH102" s="71"/>
      <c r="BI102" s="71"/>
      <c r="BJ102" s="71"/>
    </row>
    <row r="103" spans="14:62" s="9" customFormat="1" ht="14.25" customHeight="1">
      <c r="N103" s="71"/>
      <c r="O103" s="87"/>
      <c r="P103" s="87"/>
      <c r="Q103" s="149" t="s">
        <v>101</v>
      </c>
      <c r="R103" s="312">
        <f t="shared" si="103"/>
        <v>0</v>
      </c>
      <c r="S103" s="313">
        <f>+SUM(S98:S102)</f>
        <v>0</v>
      </c>
      <c r="T103" s="313">
        <f t="shared" ref="T103:Z103" si="108">+SUM(T98:T102)</f>
        <v>0</v>
      </c>
      <c r="U103" s="313">
        <f t="shared" si="108"/>
        <v>0</v>
      </c>
      <c r="V103" s="313">
        <f t="shared" si="108"/>
        <v>0</v>
      </c>
      <c r="W103" s="313">
        <f t="shared" si="108"/>
        <v>0</v>
      </c>
      <c r="X103" s="314">
        <f t="shared" si="108"/>
        <v>0</v>
      </c>
      <c r="Y103" s="296">
        <f t="shared" si="108"/>
        <v>0</v>
      </c>
      <c r="Z103" s="137">
        <f t="shared" si="108"/>
        <v>0</v>
      </c>
      <c r="AA103" s="137">
        <f>+SUM(AA98:AA102)</f>
        <v>0</v>
      </c>
      <c r="AB103" s="137">
        <f>+SUM(AB98:AB102)</f>
        <v>0</v>
      </c>
      <c r="AC103" s="138">
        <f t="shared" si="104"/>
        <v>0</v>
      </c>
      <c r="AD103" s="71"/>
      <c r="AE103" s="71"/>
      <c r="AF103" s="71"/>
      <c r="AG103" s="71"/>
      <c r="AH103" s="71"/>
      <c r="AI103" s="71"/>
      <c r="AJ103" s="71"/>
      <c r="AK103" s="71"/>
      <c r="AL103" s="71"/>
      <c r="AM103" s="71"/>
      <c r="AN103" s="71"/>
      <c r="AO103" s="71"/>
      <c r="AP103" s="71"/>
      <c r="AQ103" s="71"/>
      <c r="AR103" s="71"/>
      <c r="AS103" s="71"/>
      <c r="AT103" s="71"/>
      <c r="AU103" s="71"/>
      <c r="AV103" s="71"/>
      <c r="AW103" s="71"/>
      <c r="AX103" s="71"/>
      <c r="AY103" s="71"/>
      <c r="AZ103" s="71"/>
      <c r="BA103" s="71"/>
      <c r="BB103" s="71"/>
      <c r="BC103" s="71"/>
      <c r="BD103" s="71"/>
      <c r="BE103" s="71"/>
      <c r="BF103" s="71"/>
      <c r="BG103" s="71"/>
      <c r="BH103" s="71"/>
      <c r="BI103" s="71"/>
      <c r="BJ103" s="71"/>
    </row>
    <row r="104" spans="14:62" s="9" customFormat="1" ht="14.25" customHeight="1">
      <c r="N104" s="71"/>
      <c r="O104" s="87"/>
      <c r="P104" s="87"/>
      <c r="Q104" s="227"/>
      <c r="R104" s="228"/>
      <c r="S104" s="23"/>
      <c r="X104" s="228"/>
      <c r="AC104" s="228"/>
      <c r="AD104" s="71"/>
      <c r="AE104" s="71"/>
      <c r="AF104" s="71"/>
      <c r="AG104" s="71"/>
      <c r="AH104" s="71"/>
      <c r="AI104" s="71"/>
      <c r="AJ104" s="71"/>
      <c r="AK104" s="71"/>
      <c r="AL104" s="71"/>
      <c r="AM104" s="71"/>
      <c r="AN104" s="71"/>
      <c r="AO104" s="71"/>
      <c r="AP104" s="71"/>
      <c r="AQ104" s="71"/>
      <c r="AR104" s="71"/>
      <c r="AS104" s="71"/>
      <c r="AT104" s="71"/>
      <c r="AU104" s="71"/>
      <c r="AV104" s="71"/>
      <c r="AW104" s="71"/>
      <c r="AX104" s="71"/>
      <c r="AY104" s="71"/>
      <c r="AZ104" s="71"/>
      <c r="BA104" s="71"/>
      <c r="BB104" s="71"/>
      <c r="BC104" s="71"/>
      <c r="BD104" s="71"/>
      <c r="BE104" s="71"/>
      <c r="BF104" s="71"/>
      <c r="BG104" s="71"/>
      <c r="BH104" s="71"/>
      <c r="BI104" s="71"/>
      <c r="BJ104" s="71"/>
    </row>
    <row r="105" spans="14:62" s="9" customFormat="1" ht="14.25" customHeight="1">
      <c r="N105" s="71"/>
      <c r="O105" s="87"/>
      <c r="P105" s="87"/>
      <c r="Q105" s="130" t="s">
        <v>152</v>
      </c>
      <c r="R105" s="131"/>
      <c r="S105" s="230"/>
      <c r="T105" s="136"/>
      <c r="U105" s="136"/>
      <c r="V105" s="136"/>
      <c r="W105" s="136"/>
      <c r="X105" s="305"/>
      <c r="Y105" s="136"/>
      <c r="Z105" s="136"/>
      <c r="AA105" s="136"/>
      <c r="AB105" s="136"/>
      <c r="AC105" s="131"/>
      <c r="AD105" s="71"/>
      <c r="AE105" s="71"/>
      <c r="AF105" s="71"/>
      <c r="AG105" s="71"/>
      <c r="AH105" s="71"/>
      <c r="AI105" s="71"/>
      <c r="AJ105" s="71"/>
      <c r="AK105" s="71"/>
      <c r="AL105" s="71"/>
      <c r="AM105" s="71"/>
      <c r="AN105" s="71"/>
      <c r="AO105" s="71"/>
      <c r="AP105" s="71"/>
      <c r="AQ105" s="71"/>
      <c r="AR105" s="71"/>
      <c r="AS105" s="71"/>
      <c r="AT105" s="71"/>
      <c r="AU105" s="71"/>
      <c r="AV105" s="71"/>
      <c r="AW105" s="71"/>
      <c r="AX105" s="71"/>
      <c r="AY105" s="71"/>
      <c r="AZ105" s="71"/>
      <c r="BA105" s="71"/>
      <c r="BB105" s="71"/>
      <c r="BC105" s="71"/>
      <c r="BD105" s="71"/>
      <c r="BE105" s="71"/>
      <c r="BF105" s="71"/>
      <c r="BG105" s="71"/>
      <c r="BH105" s="71"/>
      <c r="BI105" s="71"/>
      <c r="BJ105" s="71"/>
    </row>
    <row r="106" spans="14:62" s="9" customFormat="1" ht="14.25" customHeight="1">
      <c r="N106" s="71"/>
      <c r="O106" s="87"/>
      <c r="P106" s="87"/>
      <c r="Q106" s="134"/>
      <c r="R106" s="133"/>
      <c r="S106" s="16"/>
      <c r="T106" s="76"/>
      <c r="U106" s="76"/>
      <c r="V106" s="76"/>
      <c r="W106" s="76"/>
      <c r="X106" s="133"/>
      <c r="Y106" s="76"/>
      <c r="Z106" s="76"/>
      <c r="AA106" s="76"/>
      <c r="AB106" s="76"/>
      <c r="AC106" s="133"/>
      <c r="AD106" s="71"/>
      <c r="AE106" s="71"/>
      <c r="AF106" s="71"/>
      <c r="AG106" s="71"/>
      <c r="AH106" s="71"/>
      <c r="AI106" s="71"/>
      <c r="AJ106" s="71"/>
      <c r="AK106" s="71"/>
      <c r="AL106" s="71"/>
      <c r="AM106" s="71"/>
      <c r="AN106" s="71"/>
      <c r="AO106" s="71"/>
      <c r="AP106" s="71"/>
      <c r="AQ106" s="71"/>
      <c r="AR106" s="71"/>
      <c r="AS106" s="71"/>
      <c r="AT106" s="71"/>
      <c r="AU106" s="71"/>
      <c r="AV106" s="71"/>
      <c r="AW106" s="71"/>
      <c r="AX106" s="71"/>
      <c r="AY106" s="71"/>
      <c r="AZ106" s="71"/>
      <c r="BA106" s="71"/>
      <c r="BB106" s="71"/>
      <c r="BC106" s="71"/>
      <c r="BD106" s="71"/>
      <c r="BE106" s="71"/>
      <c r="BF106" s="71"/>
      <c r="BG106" s="71"/>
      <c r="BH106" s="71"/>
      <c r="BI106" s="71"/>
      <c r="BJ106" s="71"/>
    </row>
    <row r="107" spans="14:62" s="9" customFormat="1" ht="14.25" customHeight="1">
      <c r="N107" s="71"/>
      <c r="O107" s="87"/>
      <c r="P107" s="87"/>
      <c r="Q107" s="152" t="s">
        <v>22</v>
      </c>
      <c r="R107" s="124" t="s">
        <v>34</v>
      </c>
      <c r="S107" s="45">
        <f>+S93</f>
        <v>2026</v>
      </c>
      <c r="T107" s="8">
        <f t="shared" ref="T107:Z107" si="109">+T93</f>
        <v>2027</v>
      </c>
      <c r="U107" s="8">
        <f t="shared" si="109"/>
        <v>2028</v>
      </c>
      <c r="V107" s="8">
        <f t="shared" si="109"/>
        <v>2029</v>
      </c>
      <c r="W107" s="8">
        <f t="shared" si="109"/>
        <v>2030</v>
      </c>
      <c r="X107" s="124">
        <f t="shared" si="109"/>
        <v>2031</v>
      </c>
      <c r="Y107" s="8">
        <f t="shared" si="109"/>
        <v>2032</v>
      </c>
      <c r="Z107" s="8">
        <f t="shared" si="109"/>
        <v>2033</v>
      </c>
      <c r="AA107" s="8">
        <f>+AA93</f>
        <v>2034</v>
      </c>
      <c r="AB107" s="8">
        <f>+AB93</f>
        <v>2035</v>
      </c>
      <c r="AC107" s="124" t="s">
        <v>34</v>
      </c>
      <c r="AD107" s="71"/>
      <c r="AE107" s="71"/>
      <c r="AF107" s="71"/>
      <c r="AG107" s="71"/>
      <c r="AH107" s="71"/>
      <c r="AI107" s="71"/>
      <c r="AJ107" s="71"/>
      <c r="AK107" s="71"/>
      <c r="AL107" s="71"/>
      <c r="AM107" s="71"/>
      <c r="AN107" s="71"/>
      <c r="AO107" s="71"/>
      <c r="AP107" s="71"/>
      <c r="AQ107" s="71"/>
      <c r="AR107" s="71"/>
      <c r="AS107" s="71"/>
      <c r="AT107" s="71"/>
      <c r="AU107" s="71"/>
      <c r="AV107" s="71"/>
      <c r="AW107" s="71"/>
      <c r="AX107" s="71"/>
      <c r="AY107" s="71"/>
      <c r="AZ107" s="71"/>
      <c r="BA107" s="71"/>
      <c r="BB107" s="71"/>
      <c r="BC107" s="71"/>
      <c r="BD107" s="71"/>
      <c r="BE107" s="71"/>
      <c r="BF107" s="71"/>
      <c r="BG107" s="71"/>
      <c r="BH107" s="71"/>
      <c r="BI107" s="71"/>
      <c r="BJ107" s="71"/>
    </row>
    <row r="108" spans="14:62" s="9" customFormat="1" ht="14.25" customHeight="1">
      <c r="N108" s="71"/>
      <c r="O108" s="87"/>
      <c r="P108" s="87"/>
      <c r="Q108" s="147" t="s">
        <v>74</v>
      </c>
      <c r="R108" s="315">
        <f t="shared" ref="R108:R117" si="110">+AC108</f>
        <v>0</v>
      </c>
      <c r="S108" s="316">
        <f>+SUMIF($O$20:$O$39,Lister!$D$30,S$20:S$39)</f>
        <v>0</v>
      </c>
      <c r="T108" s="316">
        <f>+SUMIF($O$20:$O$39,Lister!$D$30,T$20:T$39)</f>
        <v>0</v>
      </c>
      <c r="U108" s="316">
        <f>+SUMIF($O$20:$O$39,Lister!$D$30,U$20:U$39)</f>
        <v>0</v>
      </c>
      <c r="V108" s="316">
        <f>+SUMIF($O$20:$O$39,Lister!$D$30,V$20:V$39)</f>
        <v>0</v>
      </c>
      <c r="W108" s="316">
        <f>+SUMIF($O$20:$O$39,Lister!$D$30,W$20:W$39)</f>
        <v>0</v>
      </c>
      <c r="X108" s="316">
        <f>+SUMIF($O$20:$O$39,Lister!$D$30,X$20:X$39)</f>
        <v>0</v>
      </c>
      <c r="Y108" s="316">
        <f>+SUMIF($O$20:$O$39,Lister!$D$30,Y$20:Y$39)</f>
        <v>0</v>
      </c>
      <c r="Z108" s="316">
        <f>+SUMIF($O$20:$O$39,Lister!$D$30,Z$20:Z$39)</f>
        <v>0</v>
      </c>
      <c r="AA108" s="316">
        <f>+SUMIF($O$20:$O$39,Lister!$D$30,AA$20:AA$39)</f>
        <v>0</v>
      </c>
      <c r="AB108" s="316">
        <f>+SUMIF($O$20:$O$39,Lister!$D$30,AB$20:AB$39)</f>
        <v>0</v>
      </c>
      <c r="AC108" s="140">
        <f>SUM(S108:AB108)</f>
        <v>0</v>
      </c>
      <c r="AD108" s="71"/>
      <c r="AE108" s="71"/>
      <c r="AF108" s="71"/>
      <c r="AG108" s="71"/>
      <c r="AH108" s="71"/>
      <c r="AI108" s="71"/>
      <c r="AJ108" s="71"/>
      <c r="AK108" s="71"/>
      <c r="AL108" s="71"/>
      <c r="AM108" s="71"/>
      <c r="AN108" s="71"/>
      <c r="AO108" s="71"/>
      <c r="AP108" s="71"/>
      <c r="AQ108" s="71"/>
      <c r="AR108" s="71"/>
      <c r="AS108" s="71"/>
      <c r="AT108" s="71"/>
      <c r="AU108" s="71"/>
      <c r="AV108" s="71"/>
      <c r="AW108" s="71"/>
      <c r="AX108" s="71"/>
      <c r="AY108" s="71"/>
      <c r="AZ108" s="71"/>
      <c r="BA108" s="71"/>
      <c r="BB108" s="71"/>
      <c r="BC108" s="71"/>
      <c r="BD108" s="71"/>
      <c r="BE108" s="71"/>
      <c r="BF108" s="71"/>
      <c r="BG108" s="71"/>
      <c r="BH108" s="71"/>
      <c r="BI108" s="71"/>
      <c r="BJ108" s="71"/>
    </row>
    <row r="109" spans="14:62" s="9" customFormat="1" ht="14.25" customHeight="1">
      <c r="N109" s="71"/>
      <c r="O109" s="87"/>
      <c r="P109" s="87"/>
      <c r="Q109" s="148" t="s">
        <v>75</v>
      </c>
      <c r="R109" s="309">
        <f t="shared" si="110"/>
        <v>0</v>
      </c>
      <c r="S109" s="310">
        <f>+SUMIF($O$43:$O$55,Lister!$D$30,S$43:S$55)</f>
        <v>0</v>
      </c>
      <c r="T109" s="319">
        <f>+SUMIF($O$43:$O$55,Lister!$D$30,T$43:T$55)</f>
        <v>0</v>
      </c>
      <c r="U109" s="310">
        <f>+SUMIF($O$43:$O$55,Lister!$D$30,U$43:U$55)</f>
        <v>0</v>
      </c>
      <c r="V109" s="319">
        <f>+SUMIF($O$43:$O$55,Lister!$D$30,V$43:V$55)</f>
        <v>0</v>
      </c>
      <c r="W109" s="310">
        <f>+SUMIF($O$43:$O$55,Lister!$D$30,W$43:W$55)</f>
        <v>0</v>
      </c>
      <c r="X109" s="320">
        <f>+SUMIF($O$43:$O$55,Lister!$D$30,X$43:X$55)</f>
        <v>0</v>
      </c>
      <c r="Y109" s="295">
        <f>+SUMIF($O$43:$O$55,Lister!$D$30,Y$43:Y$55)</f>
        <v>0</v>
      </c>
      <c r="Z109" s="113">
        <f>+SUMIF($O$43:$O$55,Lister!$D$30,Z$43:Z$55)</f>
        <v>0</v>
      </c>
      <c r="AA109" s="113">
        <f>+SUMIF($O$43:$O$55,Lister!$D$30,AA$43:AA$55)</f>
        <v>0</v>
      </c>
      <c r="AB109" s="113">
        <f>+SUMIF($O$43:$O$55,Lister!$D$30,AB$43:AB$55)</f>
        <v>0</v>
      </c>
      <c r="AC109" s="141">
        <f t="shared" ref="AC109:AC117" si="111">SUM(S109:AB109)</f>
        <v>0</v>
      </c>
      <c r="AD109" s="71"/>
      <c r="AE109" s="71"/>
      <c r="AF109" s="71"/>
      <c r="AG109" s="71"/>
      <c r="AH109" s="71"/>
      <c r="AI109" s="71"/>
      <c r="AJ109" s="71"/>
      <c r="AK109" s="71"/>
      <c r="AL109" s="71"/>
      <c r="AM109" s="71"/>
      <c r="AN109" s="71"/>
      <c r="AO109" s="71"/>
      <c r="AP109" s="71"/>
      <c r="AQ109" s="71"/>
      <c r="AR109" s="71"/>
      <c r="AS109" s="71"/>
      <c r="AT109" s="71"/>
      <c r="AU109" s="71"/>
      <c r="AV109" s="71"/>
      <c r="AW109" s="71"/>
      <c r="AX109" s="71"/>
      <c r="AY109" s="71"/>
      <c r="AZ109" s="71"/>
      <c r="BA109" s="71"/>
      <c r="BB109" s="71"/>
      <c r="BC109" s="71"/>
      <c r="BD109" s="71"/>
      <c r="BE109" s="71"/>
      <c r="BF109" s="71"/>
      <c r="BG109" s="71"/>
      <c r="BH109" s="71"/>
      <c r="BI109" s="71"/>
      <c r="BJ109" s="71"/>
    </row>
    <row r="110" spans="14:62" s="9" customFormat="1" ht="14.25" customHeight="1">
      <c r="N110" s="71"/>
      <c r="O110" s="87"/>
      <c r="P110" s="87"/>
      <c r="Q110" s="149" t="s">
        <v>76</v>
      </c>
      <c r="R110" s="312">
        <f t="shared" si="110"/>
        <v>0</v>
      </c>
      <c r="S110" s="313">
        <f>+SUM(S108:S109)</f>
        <v>0</v>
      </c>
      <c r="T110" s="313">
        <f t="shared" ref="T110:Z110" si="112">+SUM(T108:T109)</f>
        <v>0</v>
      </c>
      <c r="U110" s="313">
        <f t="shared" si="112"/>
        <v>0</v>
      </c>
      <c r="V110" s="313">
        <f t="shared" si="112"/>
        <v>0</v>
      </c>
      <c r="W110" s="313">
        <f t="shared" si="112"/>
        <v>0</v>
      </c>
      <c r="X110" s="314">
        <f t="shared" si="112"/>
        <v>0</v>
      </c>
      <c r="Y110" s="142">
        <f t="shared" si="112"/>
        <v>0</v>
      </c>
      <c r="Z110" s="137">
        <f t="shared" si="112"/>
        <v>0</v>
      </c>
      <c r="AA110" s="137">
        <f>+SUM(AA108:AA109)</f>
        <v>0</v>
      </c>
      <c r="AB110" s="137">
        <f>+SUM(AB108:AB109)</f>
        <v>0</v>
      </c>
      <c r="AC110" s="138">
        <f t="shared" si="111"/>
        <v>0</v>
      </c>
      <c r="AD110" s="71"/>
      <c r="AE110" s="71"/>
      <c r="AF110" s="71"/>
      <c r="AG110" s="71"/>
      <c r="AH110" s="71"/>
      <c r="AI110" s="71"/>
      <c r="AJ110" s="71"/>
      <c r="AK110" s="71"/>
      <c r="AL110" s="71"/>
      <c r="AM110" s="71"/>
      <c r="AN110" s="71"/>
      <c r="AO110" s="71"/>
      <c r="AP110" s="71"/>
      <c r="AQ110" s="71"/>
      <c r="AR110" s="71"/>
      <c r="AS110" s="71"/>
      <c r="AT110" s="71"/>
      <c r="AU110" s="71"/>
      <c r="AV110" s="71"/>
      <c r="AW110" s="71"/>
      <c r="AX110" s="71"/>
      <c r="AY110" s="71"/>
      <c r="AZ110" s="71"/>
      <c r="BA110" s="71"/>
      <c r="BB110" s="71"/>
      <c r="BC110" s="71"/>
      <c r="BD110" s="71"/>
      <c r="BE110" s="71"/>
      <c r="BF110" s="71"/>
      <c r="BG110" s="71"/>
      <c r="BH110" s="71"/>
      <c r="BI110" s="71"/>
      <c r="BJ110" s="71"/>
    </row>
    <row r="111" spans="14:62" s="9" customFormat="1" ht="14.25" customHeight="1">
      <c r="N111" s="71"/>
      <c r="O111" s="87"/>
      <c r="P111" s="87"/>
      <c r="Q111" s="149" t="s">
        <v>77</v>
      </c>
      <c r="R111" s="312">
        <f t="shared" si="110"/>
        <v>0</v>
      </c>
      <c r="S111" s="313">
        <f>+SUMIF($O$62:$O$74,Lister!$D$30,C$62:C$74)</f>
        <v>0</v>
      </c>
      <c r="T111" s="327">
        <f>+SUMIF($O$62:$O$74,Lister!$D$30,D$62:D$74)</f>
        <v>0</v>
      </c>
      <c r="U111" s="327">
        <f>+SUMIF($O$62:$O$74,Lister!$D$30,E$62:E$74)</f>
        <v>0</v>
      </c>
      <c r="V111" s="327">
        <f>+SUMIF($O$62:$O$74,Lister!$D$30,F$62:F$74)</f>
        <v>0</v>
      </c>
      <c r="W111" s="327">
        <f>+SUMIF($O$62:$O$74,Lister!$D$30,G$62:G$74)</f>
        <v>0</v>
      </c>
      <c r="X111" s="328">
        <f>+SUMIF($O$62:$O$74,Lister!$D$30,H$62:H$74)</f>
        <v>0</v>
      </c>
      <c r="Y111" s="209">
        <f>+SUMIF($O$62:$O$74,Lister!$D$30,I$62:I$74)</f>
        <v>0</v>
      </c>
      <c r="Z111" s="208">
        <f>+SUMIF($O$62:$O$74,Lister!$D$30,J$62:J$74)</f>
        <v>0</v>
      </c>
      <c r="AA111" s="208">
        <f>+SUMIF($O$62:$O$74,Lister!$D$30,K$62:K$74)</f>
        <v>0</v>
      </c>
      <c r="AB111" s="208">
        <f>+SUMIF($O$62:$O$74,Lister!$D$30,L$62:L$74)</f>
        <v>0</v>
      </c>
      <c r="AC111" s="138">
        <f t="shared" si="111"/>
        <v>0</v>
      </c>
      <c r="AD111" s="71"/>
      <c r="AE111" s="71"/>
      <c r="AF111" s="71"/>
      <c r="AG111" s="71"/>
      <c r="AH111" s="71"/>
      <c r="AI111" s="71"/>
      <c r="AJ111" s="71"/>
      <c r="AK111" s="71"/>
      <c r="AL111" s="71"/>
      <c r="AM111" s="71"/>
      <c r="AN111" s="71"/>
      <c r="AO111" s="71"/>
      <c r="AP111" s="71"/>
      <c r="AQ111" s="71"/>
      <c r="AR111" s="71"/>
      <c r="AS111" s="71"/>
      <c r="AT111" s="71"/>
      <c r="AU111" s="71"/>
      <c r="AV111" s="71"/>
      <c r="AW111" s="71"/>
      <c r="AX111" s="71"/>
      <c r="AY111" s="71"/>
      <c r="AZ111" s="71"/>
      <c r="BA111" s="71"/>
      <c r="BB111" s="71"/>
      <c r="BC111" s="71"/>
      <c r="BD111" s="71"/>
      <c r="BE111" s="71"/>
      <c r="BF111" s="71"/>
      <c r="BG111" s="71"/>
      <c r="BH111" s="71"/>
      <c r="BI111" s="71"/>
      <c r="BJ111" s="71"/>
    </row>
    <row r="112" spans="14:62" s="9" customFormat="1" ht="14.25" customHeight="1">
      <c r="N112" s="71"/>
      <c r="O112" s="87"/>
      <c r="P112" s="87"/>
      <c r="Q112" s="149" t="s">
        <v>78</v>
      </c>
      <c r="R112" s="312">
        <f t="shared" si="110"/>
        <v>0</v>
      </c>
      <c r="S112" s="313">
        <f>+S111+S110</f>
        <v>0</v>
      </c>
      <c r="T112" s="329">
        <f t="shared" ref="T112:Z112" si="113">+T111+T110</f>
        <v>0</v>
      </c>
      <c r="U112" s="329">
        <f t="shared" si="113"/>
        <v>0</v>
      </c>
      <c r="V112" s="329">
        <f t="shared" si="113"/>
        <v>0</v>
      </c>
      <c r="W112" s="329">
        <f t="shared" si="113"/>
        <v>0</v>
      </c>
      <c r="X112" s="330">
        <f t="shared" si="113"/>
        <v>0</v>
      </c>
      <c r="Y112" s="146">
        <f t="shared" si="113"/>
        <v>0</v>
      </c>
      <c r="Z112" s="145">
        <f t="shared" si="113"/>
        <v>0</v>
      </c>
      <c r="AA112" s="145">
        <f>+AA111+AA110</f>
        <v>0</v>
      </c>
      <c r="AB112" s="145">
        <f>+AB111+AB110</f>
        <v>0</v>
      </c>
      <c r="AC112" s="138">
        <f t="shared" si="111"/>
        <v>0</v>
      </c>
      <c r="AD112" s="71"/>
      <c r="AE112" s="71"/>
      <c r="AF112" s="71"/>
      <c r="AG112" s="71"/>
      <c r="AH112" s="71"/>
      <c r="AI112" s="71"/>
      <c r="AJ112" s="71"/>
      <c r="AK112" s="71"/>
      <c r="AL112" s="71"/>
      <c r="AM112" s="71"/>
      <c r="AN112" s="71"/>
      <c r="AO112" s="71"/>
      <c r="AP112" s="71"/>
      <c r="AQ112" s="71"/>
      <c r="AR112" s="71"/>
      <c r="AS112" s="71"/>
      <c r="AT112" s="71"/>
      <c r="AU112" s="71"/>
      <c r="AV112" s="71"/>
      <c r="AW112" s="71"/>
      <c r="AX112" s="71"/>
      <c r="AY112" s="71"/>
      <c r="AZ112" s="71"/>
      <c r="BA112" s="71"/>
      <c r="BB112" s="71"/>
      <c r="BC112" s="71"/>
      <c r="BD112" s="71"/>
      <c r="BE112" s="71"/>
      <c r="BF112" s="71"/>
      <c r="BG112" s="71"/>
      <c r="BH112" s="71"/>
      <c r="BI112" s="71"/>
      <c r="BJ112" s="71"/>
    </row>
    <row r="113" spans="14:62" s="15" customFormat="1" ht="14.25" customHeight="1">
      <c r="N113" s="71"/>
      <c r="O113" s="87"/>
      <c r="P113" s="87"/>
      <c r="Q113" s="150" t="s">
        <v>0</v>
      </c>
      <c r="R113" s="312">
        <f t="shared" si="110"/>
        <v>0</v>
      </c>
      <c r="S113" s="153">
        <f>IF($C$12=2,S110*$C$6/100,
IF($G$6=Lister!$D$4,S110*$C$6/100,
IF($G$6=Lister!$D$5,S112*$C$6/100,
IF($G$6=Lister!$D$6,(S112-SUMIFS(C62:C74,$O$62:$O$74,Lister!$D$30,$A$62:$A$74,Lister!$M$10))*$C$6/100,
IF($G$6=Lister!$D$7,(S112-SUMIFS(C62:C74,$O$62:$O$74,Lister!$D$30,$A$62:$A$74,Lister!$M$10)-SUMIFS(C62:C74,$O$62:$O$74,Lister!$D$30,$A$62:$A$74,Lister!$M$7))*$C$6/100,
IF($G$6=Lister!$D$8,(S112+S114)*$C$6/100,
IF($G$6=Lister!$D$9,S111*$C$6/100,0)))))))</f>
        <v>0</v>
      </c>
      <c r="T113" s="323">
        <f>IF($C$12=2,T110*$C$6/100,
IF($G$6=Lister!$D$4,T110*$C$6/100,
IF($G$6=Lister!$D$5,T112*$C$6/100,
IF($G$6=Lister!$D$6,(T112-SUMIFS(D62:D74,$O$62:$O$74,Lister!$D$30,$A$62:$A$74,Lister!$M$10))*$C$6/100,
IF($G$6=Lister!$D$7,(T112-SUMIFS(D62:D74,$O$62:$O$74,Lister!$D$30,$A$62:$A$74,Lister!$M$10)-SUMIFS(D62:D74,$O$62:$O$74,Lister!$D$30,$A$62:$A$74,Lister!$M$7))*$C$6/100,
IF($G$6=Lister!$D$8,(T112+T114)*$C$6/100,
IF($G$6=Lister!$D$9,T111*$C$6/100,0)))))))</f>
        <v>0</v>
      </c>
      <c r="U113" s="323">
        <f>IF($C$12=2,U110*$C$6/100,
IF($G$6=Lister!$D$4,U110*$C$6/100,
IF($G$6=Lister!$D$5,U112*$C$6/100,
IF($G$6=Lister!$D$6,(U112-SUMIFS(E62:E74,$O$62:$O$74,Lister!$D$30,$A$62:$A$74,Lister!$M$10))*$C$6/100,
IF($G$6=Lister!$D$7,(U112-SUMIFS(E62:E74,$O$62:$O$74,Lister!$D$30,$A$62:$A$74,Lister!$M$10)-SUMIFS(E62:E74,$O$62:$O$74,Lister!$D$30,$A$62:$A$74,Lister!$M$7))*$C$6/100,
IF($G$6=Lister!$D$8,(U112+U114)*$C$6/100,
IF($G$6=Lister!$D$9,U111*$C$6/100,0)))))))</f>
        <v>0</v>
      </c>
      <c r="V113" s="323">
        <f>IF($C$12=2,V110*$C$6/100,
IF($G$6=Lister!$D$4,V110*$C$6/100,
IF($G$6=Lister!$D$5,V112*$C$6/100,
IF($G$6=Lister!$D$6,(V112-SUMIFS(F62:F74,$O$62:$O$74,Lister!$D$30,$A$62:$A$74,Lister!$M$10))*$C$6/100,
IF($G$6=Lister!$D$7,(V112-SUMIFS(F62:F74,$O$62:$O$74,Lister!$D$30,$A$62:$A$74,Lister!$M$10)-SUMIFS(F62:F74,$O$62:$O$74,Lister!$D$30,$A$62:$A$74,Lister!$M$7))*$C$6/100,
IF($G$6=Lister!$D$8,(V112+V114)*$C$6/100,
IF($G$6=Lister!$D$9,V111*$C$6/100,0)))))))</f>
        <v>0</v>
      </c>
      <c r="W113" s="323">
        <f>IF($C$12=2,W110*$C$6/100,
IF($G$6=Lister!$D$4,W110*$C$6/100,
IF($G$6=Lister!$D$5,W112*$C$6/100,
IF($G$6=Lister!$D$6,(W112-SUMIFS(G62:G74,$O$62:$O$74,Lister!$D$30,$A$62:$A$74,Lister!$M$10))*$C$6/100,
IF($G$6=Lister!$D$7,(W112-SUMIFS(G62:G74,$O$62:$O$74,Lister!$D$30,$A$62:$A$74,Lister!$M$10)-SUMIFS(G62:G74,$O$62:$O$74,Lister!$D$30,$A$62:$A$74,Lister!$M$7))*$C$6/100,
IF($G$6=Lister!$D$8,(W112+W114)*$C$6/100,
IF($G$6=Lister!$D$9,W111*$C$6/100,0)))))))</f>
        <v>0</v>
      </c>
      <c r="X113" s="324">
        <f>IF($C$12=2,X110*$C$6/100,
IF($G$6=Lister!$D$4,X110*$C$6/100,
IF($G$6=Lister!$D$5,X112*$C$6/100,
IF($G$6=Lister!$D$6,(X112-SUMIFS(H62:H74,$O$62:$O$74,Lister!$D$30,$A$62:$A$74,Lister!$M$10))*$C$6/100,
IF($G$6=Lister!$D$7,(X112-SUMIFS(H62:H74,$O$62:$O$74,Lister!$D$30,$A$62:$A$74,Lister!$M$10)-SUMIFS(H62:H74,$O$62:$O$74,Lister!$D$30,$A$62:$A$74,Lister!$M$7))*$C$6/100,
IF($G$6=Lister!$D$8,(X112+X114)*$C$6/100,
IF($G$6=Lister!$D$9,X111*$C$6/100,0)))))))</f>
        <v>0</v>
      </c>
      <c r="Y113" s="205">
        <f>IF($C$12=2,Y110*$C$6/100,
IF($G$6=Lister!$D$4,Y110*$C$6/100,
IF($G$6=Lister!$D$5,Y112*$C$6/100,
IF($G$6=Lister!$D$6,(Y112-SUMIFS(I62:I74,$O$62:$O$74,Lister!$D$30,$A$62:$A$74,Lister!$M$10))*$C$6/100,
IF($G$6=Lister!$D$7,(Y112-SUMIFS(I62:I74,$O$62:$O$74,Lister!$D$30,$A$62:$A$74,Lister!$M$10)-SUMIFS(I62:I74,$O$62:$O$74,Lister!$D$30,$A$62:$A$74,Lister!$M$7))*$C$6/100,
IF($G$6=Lister!$D$8,(Y112+Y114)*$C$6/100,
IF($G$6=Lister!$D$9,Y111*$C$6/100,0)))))))</f>
        <v>0</v>
      </c>
      <c r="Z113" s="204">
        <f>IF($C$12=2,Z110*$C$6/100,
IF($G$6=Lister!$D$4,Z110*$C$6/100,
IF($G$6=Lister!$D$5,Z112*$C$6/100,
IF($G$6=Lister!$D$6,(Z112-SUMIFS(J62:J74,$O$62:$O$74,Lister!$D$30,$A$62:$A$74,Lister!$M$10))*$C$6/100,
IF($G$6=Lister!$D$7,(Z112-SUMIFS(J62:J74,$O$62:$O$74,Lister!$D$30,$A$62:$A$74,Lister!$M$10)-SUMIFS(J62:J74,$O$62:$O$74,Lister!$D$30,$A$62:$A$74,Lister!$M$7))*$C$6/100,
IF($G$6=Lister!$D$8,(Z112+Z114)*$C$6/100,
IF($G$6=Lister!$D$9,Z111*$C$6/100,0)))))))</f>
        <v>0</v>
      </c>
      <c r="AA113" s="204">
        <f>IF($C$12=2,AA110*$C$6/100,
IF($G$6=Lister!$D$4,AA110*$C$6/100,
IF($G$6=Lister!$D$5,AA112*$C$6/100,
IF($G$6=Lister!$D$6,(AA112-SUMIFS(K62:K74,$O$62:$O$74,Lister!$D$30,$A$62:$A$74,Lister!$M$10))*$C$6/100,
IF($G$6=Lister!$D$7,(AA112-SUMIFS(K62:K74,$O$62:$O$74,Lister!$D$30,$A$62:$A$74,Lister!$M$10)-SUMIFS(K62:K74,$O$62:$O$74,Lister!$D$30,$A$62:$A$74,Lister!$M$7))*$C$6/100,
IF($G$6=Lister!$D$8,(AA112+AA114)*$C$6/100,
IF($G$6=Lister!$D$9,AA111*$C$6/100,0)))))))</f>
        <v>0</v>
      </c>
      <c r="AB113" s="204">
        <f>IF($C$12=2,AB110*$C$6/100,
IF($G$6=Lister!$D$4,AB110*$C$6/100,
IF($G$6=Lister!$D$5,AB112*$C$6/100,
IF($G$6=Lister!$D$6,(AB112-SUMIFS(L62:L74,$O$62:$O$74,Lister!$D$30,$A$62:$A$74,Lister!$M$10))*$C$6/100,
IF($G$6=Lister!$D$7,(AB112-SUMIFS(L62:L74,$O$62:$O$74,Lister!$D$30,$A$62:$A$74,Lister!$M$10)-SUMIFS(L62:L74,$O$62:$O$74,Lister!$D$30,$A$62:$A$74,Lister!$M$7))*$C$6/100,
IF($G$6=Lister!$D$8,(AB112+AB114)*$C$6/100,
IF($G$6=Lister!$D$9,AB111*$C$6/100,0)))))))</f>
        <v>0</v>
      </c>
      <c r="AC113" s="138">
        <f t="shared" si="111"/>
        <v>0</v>
      </c>
      <c r="AD113" s="71"/>
      <c r="AE113" s="71"/>
      <c r="AF113" s="71"/>
      <c r="AG113" s="71"/>
      <c r="AH113" s="71"/>
      <c r="AI113" s="71"/>
      <c r="AJ113" s="71"/>
      <c r="AK113" s="71"/>
      <c r="AL113" s="71"/>
      <c r="AM113" s="71"/>
      <c r="AN113" s="71"/>
      <c r="AO113" s="71"/>
      <c r="AP113" s="71"/>
      <c r="AQ113" s="71"/>
      <c r="AR113" s="71"/>
      <c r="AS113" s="71"/>
      <c r="AT113" s="71"/>
      <c r="AU113" s="71"/>
      <c r="AV113" s="71"/>
      <c r="AW113" s="71"/>
      <c r="AX113" s="71"/>
      <c r="AY113" s="71"/>
      <c r="AZ113" s="71"/>
      <c r="BA113" s="71"/>
      <c r="BB113" s="71"/>
      <c r="BC113" s="71"/>
      <c r="BD113" s="71"/>
      <c r="BE113" s="71"/>
      <c r="BF113" s="71"/>
      <c r="BG113" s="71"/>
      <c r="BH113" s="71"/>
      <c r="BI113" s="71"/>
      <c r="BJ113" s="71"/>
    </row>
    <row r="114" spans="14:62" s="9" customFormat="1" ht="14.25" customHeight="1">
      <c r="N114" s="71"/>
      <c r="O114" s="87"/>
      <c r="P114" s="87"/>
      <c r="Q114" s="151" t="s">
        <v>103</v>
      </c>
      <c r="R114" s="312">
        <f t="shared" si="110"/>
        <v>0</v>
      </c>
      <c r="S114" s="153">
        <f>+IF($C$8=Lister!$O$5,(SUMIF($O$20:$O$29,Lister!$D$30,C20:C29))*Takstblad!C$84,0)</f>
        <v>0</v>
      </c>
      <c r="T114" s="153">
        <f>+IF($C$8=Lister!$O$5,(SUMIF($O$20:$O$29,Lister!$D$30,D20:D29))*Takstblad!D$84,0)</f>
        <v>0</v>
      </c>
      <c r="U114" s="153">
        <f>+IF($C$8=Lister!$O$5,(SUMIF($O$20:$O$29,Lister!$D$30,E20:E29))*Takstblad!E$84,0)</f>
        <v>0</v>
      </c>
      <c r="V114" s="153">
        <f>+IF($C$8=Lister!$O$5,(SUMIF($O$20:$O$29,Lister!$D$30,F20:F29))*Takstblad!F$84,0)</f>
        <v>0</v>
      </c>
      <c r="W114" s="153">
        <f>+IF($C$8=Lister!$O$5,(SUMIF($O$20:$O$29,Lister!$D$30,G20:G29))*Takstblad!G$84,0)</f>
        <v>0</v>
      </c>
      <c r="X114" s="300">
        <f>+IF($C$8=Lister!$O$5,(SUMIF($O$20:$O$29,Lister!$D$30,H20:H29))*Takstblad!H$84,0)</f>
        <v>0</v>
      </c>
      <c r="Y114" s="297">
        <f>+IF($C$8=Lister!$O$5,(SUMIF($O$20:$O$29,Lister!$D$30,I20:I29))*Takstblad!I$84,0)</f>
        <v>0</v>
      </c>
      <c r="Z114" s="21">
        <f>+IF($C$8=Lister!$O$5,(SUMIF($O$20:$O$29,Lister!$D$30,J20:J29))*Takstblad!J$84,0)</f>
        <v>0</v>
      </c>
      <c r="AA114" s="21">
        <f>+IF($C$8=Lister!$O$5,(SUMIF($O$20:$O$29,Lister!$D$30,K20:K29))*Takstblad!K$84,0)</f>
        <v>0</v>
      </c>
      <c r="AB114" s="21">
        <f>+IF($C$8=Lister!$O$5,(SUMIF($O$20:$O$29,Lister!$D$30,L20:L29))*Takstblad!L$84,0)</f>
        <v>0</v>
      </c>
      <c r="AC114" s="138">
        <f t="shared" si="111"/>
        <v>0</v>
      </c>
      <c r="AD114" s="71"/>
      <c r="AE114" s="71"/>
      <c r="AF114" s="71"/>
      <c r="AG114" s="71"/>
      <c r="AH114" s="71"/>
      <c r="AI114" s="71"/>
      <c r="AJ114" s="71"/>
      <c r="AK114" s="71"/>
      <c r="AL114" s="71"/>
      <c r="AM114" s="71"/>
      <c r="AN114" s="71"/>
      <c r="AO114" s="71"/>
      <c r="AP114" s="71"/>
      <c r="AQ114" s="71"/>
      <c r="AR114" s="71"/>
      <c r="AS114" s="71"/>
      <c r="AT114" s="71"/>
      <c r="AU114" s="71"/>
      <c r="AV114" s="71"/>
      <c r="AW114" s="71"/>
      <c r="AX114" s="71"/>
      <c r="AY114" s="71"/>
      <c r="AZ114" s="71"/>
      <c r="BA114" s="71"/>
      <c r="BB114" s="71"/>
      <c r="BC114" s="71"/>
      <c r="BD114" s="71"/>
      <c r="BE114" s="71"/>
      <c r="BF114" s="71"/>
      <c r="BG114" s="71"/>
      <c r="BH114" s="71"/>
      <c r="BI114" s="71"/>
      <c r="BJ114" s="71"/>
    </row>
    <row r="115" spans="14:62" ht="14.25" customHeight="1">
      <c r="N115" s="82"/>
      <c r="O115" s="93"/>
      <c r="P115" s="93"/>
      <c r="Q115" s="151" t="s">
        <v>108</v>
      </c>
      <c r="R115" s="312">
        <f t="shared" si="110"/>
        <v>0</v>
      </c>
      <c r="S115" s="153">
        <f>+IF($C$8="Project-Supplement",((
SUMIFS(C20:C39,$O$20:$O$39,Lister!$D$30,$A$20:$A$39,Lister!$A$21)
+SUMIFS(C20:C39,$O$20:$O$39,Lister!$D$30,$A$20:$A$39,Lister!$A$31)
+SUMIFS(C20:C39,$O$20:$O$39,Lister!$D$30,$A$20:$A$39,Lister!$A$32)
+SUMIFS(C20:C39,$O$20:$O$39,Lister!$D$30,$A$20:$A$39,Lister!$A$22)
+SUMIFS(C20:C39,$O$20:$O$39,Lister!$D$30,$A$20:$A$39,Lister!$A$23)
+SUMIFS(C20:C39,$O$20:$O$39,Lister!$D$30,$A$20:$A$39,Lister!$A$20)
+SUMIFS(C20:C39,$O$20:$O$39,Lister!$D$30,$A$20:$A$39,Lister!$A$33)
+SUMIFS(C20:C39,$O$20:$O$39,Lister!$D$30,$A$20:$A$39,Lister!$A$34))
/12)*Takstblad!C$85,0)</f>
        <v>0</v>
      </c>
      <c r="T115" s="155">
        <f>+IF($C$8="Project-Supplement",((
SUMIFS(D20:D39,$O$20:$O$39,Lister!$D$30,$A$20:$A$39,Lister!$A$21)
+SUMIFS(D20:D39,$O$20:$O$39,Lister!$D$30,$A$20:$A$39,Lister!$A$31)
+SUMIFS(D20:D39,$O$20:$O$39,Lister!$D$30,$A$20:$A$39,Lister!$A$32)
+SUMIFS(D20:D39,$O$20:$O$39,Lister!$D$30,$A$20:$A$39,Lister!$A$22)
+SUMIFS(D20:D39,$O$20:$O$39,Lister!$D$30,$A$20:$A$39,Lister!$A$23)
+SUMIFS(D20:D39,$O$20:$O$39,Lister!$D$30,$A$20:$A$39,Lister!$A$20)
+SUMIFS(D20:D39,$O$20:$O$39,Lister!$D$30,$A$20:$A$39,Lister!$A$33)
+SUMIFS(D20:D39,$O$20:$O$39,Lister!$D$30,$A$20:$A$39,Lister!$A$34))
/12)*Takstblad!D$85,0)</f>
        <v>0</v>
      </c>
      <c r="U115" s="155">
        <f>+IF($C$8="Project-Supplement",((
SUMIFS(E20:E39,$O$20:$O$39,Lister!$D$30,$A$20:$A$39,Lister!$A$21)
+SUMIFS(E20:E39,$O$20:$O$39,Lister!$D$30,$A$20:$A$39,Lister!$A$31)
+SUMIFS(E20:E39,$O$20:$O$39,Lister!$D$30,$A$20:$A$39,Lister!$A$32)
+SUMIFS(E20:E39,$O$20:$O$39,Lister!$D$30,$A$20:$A$39,Lister!$A$22)
+SUMIFS(E20:E39,$O$20:$O$39,Lister!$D$30,$A$20:$A$39,Lister!$A$23)
+SUMIFS(E20:E39,$O$20:$O$39,Lister!$D$30,$A$20:$A$39,Lister!$A$20)
+SUMIFS(E20:E39,$O$20:$O$39,Lister!$D$30,$A$20:$A$39,Lister!$A$33)
+SUMIFS(E20:E39,$O$20:$O$39,Lister!$D$30,$A$20:$A$39,Lister!$A$34))
/12)*Takstblad!E$85,0)</f>
        <v>0</v>
      </c>
      <c r="V115" s="155">
        <f>+IF($C$8="Project-Supplement",((
SUMIFS(F20:F39,$O$20:$O$39,Lister!$D$30,$A$20:$A$39,Lister!$A$21)
+SUMIFS(F20:F39,$O$20:$O$39,Lister!$D$30,$A$20:$A$39,Lister!$A$31)
+SUMIFS(F20:F39,$O$20:$O$39,Lister!$D$30,$A$20:$A$39,Lister!$A$32)
+SUMIFS(F20:F39,$O$20:$O$39,Lister!$D$30,$A$20:$A$39,Lister!$A$22)
+SUMIFS(F20:F39,$O$20:$O$39,Lister!$D$30,$A$20:$A$39,Lister!$A$23)
+SUMIFS(F20:F39,$O$20:$O$39,Lister!$D$30,$A$20:$A$39,Lister!$A$20)
+SUMIFS(F20:F39,$O$20:$O$39,Lister!$D$30,$A$20:$A$39,Lister!$A$33)
+SUMIFS(F20:F39,$O$20:$O$39,Lister!$D$30,$A$20:$A$39,Lister!$A$34))
/12)*Takstblad!F$85,0)</f>
        <v>0</v>
      </c>
      <c r="W115" s="155">
        <f>+IF($C$8="Project-Supplement",((
SUMIFS(G20:G39,$O$20:$O$39,Lister!$D$30,$A$20:$A$39,Lister!$A$21)
+SUMIFS(G20:G39,$O$20:$O$39,Lister!$D$30,$A$20:$A$39,Lister!$A$31)
+SUMIFS(G20:G39,$O$20:$O$39,Lister!$D$30,$A$20:$A$39,Lister!$A$32)
+SUMIFS(G20:G39,$O$20:$O$39,Lister!$D$30,$A$20:$A$39,Lister!$A$22)
+SUMIFS(G20:G39,$O$20:$O$39,Lister!$D$30,$A$20:$A$39,Lister!$A$23)
+SUMIFS(G20:G39,$O$20:$O$39,Lister!$D$30,$A$20:$A$39,Lister!$A$20)
+SUMIFS(G20:G39,$O$20:$O$39,Lister!$D$30,$A$20:$A$39,Lister!$A$33)
+SUMIFS(G20:G39,$O$20:$O$39,Lister!$D$30,$A$20:$A$39,Lister!$A$34))
/12)*Takstblad!G$85,0)</f>
        <v>0</v>
      </c>
      <c r="X115" s="308">
        <f>+IF($C$8="Project-Supplement",((
SUMIFS(H20:H39,$O$20:$O$39,Lister!$D$30,$A$20:$A$39,Lister!$A$21)
+SUMIFS(H20:H39,$O$20:$O$39,Lister!$D$30,$A$20:$A$39,Lister!$A$31)
+SUMIFS(H20:H39,$O$20:$O$39,Lister!$D$30,$A$20:$A$39,Lister!$A$32)
+SUMIFS(H20:H39,$O$20:$O$39,Lister!$D$30,$A$20:$A$39,Lister!$A$22)
+SUMIFS(H20:H39,$O$20:$O$39,Lister!$D$30,$A$20:$A$39,Lister!$A$23)
+SUMIFS(H20:H39,$O$20:$O$39,Lister!$D$30,$A$20:$A$39,Lister!$A$20)
+SUMIFS(H20:H39,$O$20:$O$39,Lister!$D$30,$A$20:$A$39,Lister!$A$33)
+SUMIFS(H20:H39,$O$20:$O$39,Lister!$D$30,$A$20:$A$39,Lister!$A$34))
/12)*Takstblad!H$85,0)</f>
        <v>0</v>
      </c>
      <c r="Y115" s="114">
        <f>+IF($C$8="Project-Supplement",((
SUMIFS(I20:I39,$O$20:$O$39,Lister!$D$30,$A$20:$A$39,Lister!$A$21)
+SUMIFS(I20:I39,$O$20:$O$39,Lister!$D$30,$A$20:$A$39,Lister!$A$31)
+SUMIFS(I20:I39,$O$20:$O$39,Lister!$D$30,$A$20:$A$39,Lister!$A$32)
+SUMIFS(I20:I39,$O$20:$O$39,Lister!$D$30,$A$20:$A$39,Lister!$A$22)
+SUMIFS(I20:I39,$O$20:$O$39,Lister!$D$30,$A$20:$A$39,Lister!$A$23)
+SUMIFS(I20:I39,$O$20:$O$39,Lister!$D$30,$A$20:$A$39,Lister!$A$20)
+SUMIFS(I20:I39,$O$20:$O$39,Lister!$D$30,$A$20:$A$39,Lister!$A$33)
+SUMIFS(I20:I39,$O$20:$O$39,Lister!$D$30,$A$20:$A$39,Lister!$A$34))
/12)*Takstblad!I$85,0)</f>
        <v>0</v>
      </c>
      <c r="Z115" s="115">
        <f>+IF($C$8="Project-Supplement",((
SUMIFS(J20:J39,$O$20:$O$39,Lister!$D$30,$A$20:$A$39,Lister!$A$21)
+SUMIFS(J20:J39,$O$20:$O$39,Lister!$D$30,$A$20:$A$39,Lister!$A$31)
+SUMIFS(J20:J39,$O$20:$O$39,Lister!$D$30,$A$20:$A$39,Lister!$A$32)
+SUMIFS(J20:J39,$O$20:$O$39,Lister!$D$30,$A$20:$A$39,Lister!$A$22)
+SUMIFS(J20:J39,$O$20:$O$39,Lister!$D$30,$A$20:$A$39,Lister!$A$23)
+SUMIFS(J20:J39,$O$20:$O$39,Lister!$D$30,$A$20:$A$39,Lister!$A$20)
+SUMIFS(J20:J39,$O$20:$O$39,Lister!$D$30,$A$20:$A$39,Lister!$A$33)
+SUMIFS(J20:J39,$O$20:$O$39,Lister!$D$30,$A$20:$A$39,Lister!$A$34))
/12)*Takstblad!J$85,0)</f>
        <v>0</v>
      </c>
      <c r="AA115" s="115">
        <f>+IF($C$8="Project-Supplement",((
SUMIFS(K20:K39,$O$20:$O$39,Lister!$D$30,$A$20:$A$39,Lister!$A$21)
+SUMIFS(K20:K39,$O$20:$O$39,Lister!$D$30,$A$20:$A$39,Lister!$A$31)
+SUMIFS(K20:K39,$O$20:$O$39,Lister!$D$30,$A$20:$A$39,Lister!$A$32)
+SUMIFS(K20:K39,$O$20:$O$39,Lister!$D$30,$A$20:$A$39,Lister!$A$22)
+SUMIFS(K20:K39,$O$20:$O$39,Lister!$D$30,$A$20:$A$39,Lister!$A$23)
+SUMIFS(K20:K39,$O$20:$O$39,Lister!$D$30,$A$20:$A$39,Lister!$A$20)
+SUMIFS(K20:K39,$O$20:$O$39,Lister!$D$30,$A$20:$A$39,Lister!$A$33)
+SUMIFS(K20:K39,$O$20:$O$39,Lister!$D$30,$A$20:$A$39,Lister!$A$34))
/12)*Takstblad!K$85,0)</f>
        <v>0</v>
      </c>
      <c r="AB115" s="115">
        <f>+IF($C$8="Project-Supplement",((
SUMIFS(L20:L39,$O$20:$O$39,Lister!$D$30,$A$20:$A$39,Lister!$A$21)
+SUMIFS(L20:L39,$O$20:$O$39,Lister!$D$30,$A$20:$A$39,Lister!$A$31)
+SUMIFS(L20:L39,$O$20:$O$39,Lister!$D$30,$A$20:$A$39,Lister!$A$32)
+SUMIFS(L20:L39,$O$20:$O$39,Lister!$D$30,$A$20:$A$39,Lister!$A$22)
+SUMIFS(L20:L39,$O$20:$O$39,Lister!$D$30,$A$20:$A$39,Lister!$A$23)
+SUMIFS(L20:L39,$O$20:$O$39,Lister!$D$30,$A$20:$A$39,Lister!$A$20)
+SUMIFS(L20:L39,$O$20:$O$39,Lister!$D$30,$A$20:$A$39,Lister!$A$33)
+SUMIFS(L20:L39,$O$20:$O$39,Lister!$D$30,$A$20:$A$39,Lister!$A$34))
/12)*Takstblad!L$85,0)</f>
        <v>0</v>
      </c>
      <c r="AC115" s="138">
        <f t="shared" si="111"/>
        <v>0</v>
      </c>
      <c r="AD115" s="71"/>
      <c r="AE115" s="71"/>
      <c r="AF115" s="71"/>
      <c r="AG115" s="71"/>
      <c r="AH115" s="71"/>
      <c r="AI115" s="82"/>
      <c r="AJ115" s="82"/>
      <c r="AK115" s="82"/>
      <c r="AL115" s="82"/>
      <c r="AM115" s="82"/>
      <c r="AN115" s="82"/>
      <c r="AO115" s="82"/>
      <c r="AP115" s="82"/>
      <c r="AQ115" s="82"/>
      <c r="AR115" s="82"/>
      <c r="AS115" s="82"/>
      <c r="AT115" s="82"/>
      <c r="AU115" s="82"/>
      <c r="AV115" s="82"/>
      <c r="AW115" s="82"/>
      <c r="AX115" s="82"/>
      <c r="AY115" s="82"/>
      <c r="AZ115" s="82"/>
      <c r="BA115" s="82"/>
      <c r="BB115" s="82"/>
      <c r="BC115" s="82"/>
      <c r="BD115" s="82"/>
      <c r="BE115" s="82"/>
      <c r="BF115" s="82"/>
      <c r="BG115" s="82"/>
      <c r="BH115" s="82"/>
      <c r="BI115" s="82"/>
      <c r="BJ115" s="82"/>
    </row>
    <row r="116" spans="14:62" ht="14.25" customHeight="1">
      <c r="N116" s="71"/>
      <c r="O116" s="87"/>
      <c r="P116" s="87"/>
      <c r="Q116" s="150" t="s">
        <v>531</v>
      </c>
      <c r="R116" s="312">
        <f t="shared" si="110"/>
        <v>0</v>
      </c>
      <c r="S116" s="153" t="str">
        <f>IF($C$12=2,(SUM(S112:S115)*$C$13)/100,"0")</f>
        <v>0</v>
      </c>
      <c r="T116" s="155" t="str">
        <f>IF($C$12=2,(SUM(T112:T115)*$C$13)/100,"0")</f>
        <v>0</v>
      </c>
      <c r="U116" s="155" t="str">
        <f t="shared" ref="U116:Z116" si="114">IF($C$12=2,(SUM(U112:U115)*$C$13)/100,"0")</f>
        <v>0</v>
      </c>
      <c r="V116" s="155" t="str">
        <f t="shared" si="114"/>
        <v>0</v>
      </c>
      <c r="W116" s="155" t="str">
        <f t="shared" si="114"/>
        <v>0</v>
      </c>
      <c r="X116" s="308" t="str">
        <f t="shared" si="114"/>
        <v>0</v>
      </c>
      <c r="Y116" s="156" t="str">
        <f t="shared" si="114"/>
        <v>0</v>
      </c>
      <c r="Z116" s="155" t="str">
        <f t="shared" si="114"/>
        <v>0</v>
      </c>
      <c r="AA116" s="155" t="str">
        <f>IF($C$12=2,(SUM(AA112:AA115)*$C$13)/100,"0")</f>
        <v>0</v>
      </c>
      <c r="AB116" s="155" t="str">
        <f>IF($C$12=2,(SUM(AB112:AB115)*$C$13)/100,"0")</f>
        <v>0</v>
      </c>
      <c r="AC116" s="138">
        <f t="shared" si="111"/>
        <v>0</v>
      </c>
      <c r="AD116" s="71"/>
      <c r="AE116" s="71"/>
      <c r="AF116" s="71"/>
      <c r="AG116" s="71"/>
      <c r="AH116" s="71"/>
      <c r="AI116" s="71"/>
      <c r="AJ116" s="71"/>
      <c r="AK116" s="71"/>
      <c r="AL116" s="71"/>
      <c r="AM116" s="71"/>
      <c r="AN116" s="71"/>
      <c r="AO116" s="71"/>
      <c r="AP116" s="71"/>
      <c r="AQ116" s="71"/>
      <c r="AR116" s="71"/>
      <c r="AS116" s="71"/>
      <c r="AT116" s="71"/>
      <c r="AU116" s="71"/>
      <c r="AV116" s="71"/>
      <c r="AW116" s="71"/>
      <c r="AX116" s="71"/>
      <c r="AY116" s="71"/>
      <c r="AZ116" s="71"/>
      <c r="BA116" s="71"/>
      <c r="BB116" s="71"/>
      <c r="BC116" s="71"/>
      <c r="BD116" s="71"/>
      <c r="BE116" s="71"/>
      <c r="BF116" s="71"/>
      <c r="BG116" s="71"/>
      <c r="BH116" s="71"/>
      <c r="BI116" s="71"/>
      <c r="BJ116" s="71"/>
    </row>
    <row r="117" spans="14:62" ht="14.25" customHeight="1">
      <c r="N117" s="70"/>
      <c r="O117" s="85"/>
      <c r="P117" s="85"/>
      <c r="Q117" s="149" t="s">
        <v>101</v>
      </c>
      <c r="R117" s="312">
        <f t="shared" si="110"/>
        <v>0</v>
      </c>
      <c r="S117" s="313">
        <f>+SUM(S112:S116)</f>
        <v>0</v>
      </c>
      <c r="T117" s="313">
        <f t="shared" ref="T117:Z117" si="115">+SUM(T112:T116)</f>
        <v>0</v>
      </c>
      <c r="U117" s="313">
        <f t="shared" si="115"/>
        <v>0</v>
      </c>
      <c r="V117" s="313">
        <f t="shared" si="115"/>
        <v>0</v>
      </c>
      <c r="W117" s="313">
        <f t="shared" si="115"/>
        <v>0</v>
      </c>
      <c r="X117" s="314">
        <f t="shared" si="115"/>
        <v>0</v>
      </c>
      <c r="Y117" s="296">
        <f t="shared" si="115"/>
        <v>0</v>
      </c>
      <c r="Z117" s="137">
        <f t="shared" si="115"/>
        <v>0</v>
      </c>
      <c r="AA117" s="137">
        <f>+SUM(AA112:AA116)</f>
        <v>0</v>
      </c>
      <c r="AB117" s="137">
        <f>+SUM(AB112:AB116)</f>
        <v>0</v>
      </c>
      <c r="AC117" s="138">
        <f t="shared" si="111"/>
        <v>0</v>
      </c>
      <c r="AD117" s="71"/>
      <c r="AE117" s="82"/>
      <c r="AF117" s="82"/>
      <c r="AG117" s="82"/>
      <c r="AH117" s="82"/>
      <c r="AI117" s="70"/>
      <c r="AJ117" s="70"/>
      <c r="AK117" s="70"/>
      <c r="AL117" s="70"/>
      <c r="AM117" s="70"/>
      <c r="AN117" s="70"/>
      <c r="AO117" s="70"/>
      <c r="AP117" s="70"/>
      <c r="AQ117" s="70"/>
      <c r="AR117" s="70"/>
      <c r="AS117" s="70"/>
      <c r="AT117" s="70"/>
      <c r="AU117" s="70"/>
      <c r="AV117" s="70"/>
      <c r="AW117" s="70"/>
      <c r="AX117" s="70"/>
      <c r="AY117" s="70"/>
      <c r="AZ117" s="70"/>
      <c r="BA117" s="70"/>
      <c r="BB117" s="70"/>
      <c r="BC117" s="70"/>
      <c r="BD117" s="70"/>
      <c r="BE117" s="70"/>
      <c r="BF117" s="70"/>
      <c r="BG117" s="70"/>
      <c r="BH117" s="70"/>
      <c r="BI117" s="70"/>
      <c r="BJ117" s="70"/>
    </row>
    <row r="118" spans="14:62" s="9" customFormat="1" ht="14.25" customHeight="1">
      <c r="N118" s="70"/>
      <c r="O118" s="85"/>
      <c r="P118" s="85"/>
      <c r="Q118" s="227"/>
      <c r="R118" s="133"/>
      <c r="S118" s="76"/>
      <c r="T118" s="76"/>
      <c r="U118" s="76"/>
      <c r="V118" s="76"/>
      <c r="W118" s="76"/>
      <c r="X118" s="133"/>
      <c r="Y118" s="76"/>
      <c r="Z118" s="76"/>
      <c r="AA118" s="76"/>
      <c r="AB118" s="76"/>
      <c r="AC118" s="133"/>
      <c r="AD118" s="82"/>
      <c r="AE118" s="71"/>
      <c r="AF118" s="71"/>
      <c r="AG118" s="71"/>
      <c r="AH118" s="71"/>
      <c r="AI118" s="70"/>
      <c r="AJ118" s="70"/>
      <c r="AK118" s="70"/>
      <c r="AL118" s="70"/>
      <c r="AM118" s="70"/>
      <c r="AN118" s="70"/>
      <c r="AO118" s="70"/>
      <c r="AP118" s="70"/>
      <c r="AQ118" s="70"/>
      <c r="AR118" s="70"/>
      <c r="AS118" s="70"/>
      <c r="AT118" s="70"/>
      <c r="AU118" s="70"/>
      <c r="AV118" s="70"/>
      <c r="AW118" s="70"/>
      <c r="AX118" s="70"/>
      <c r="AY118" s="70"/>
      <c r="AZ118" s="70"/>
      <c r="BA118" s="70"/>
      <c r="BB118" s="70"/>
      <c r="BC118" s="70"/>
      <c r="BD118" s="70"/>
      <c r="BE118" s="70"/>
      <c r="BF118" s="70"/>
      <c r="BG118" s="70"/>
      <c r="BH118" s="70"/>
      <c r="BI118" s="70"/>
      <c r="BJ118" s="70"/>
    </row>
    <row r="119" spans="14:62" ht="14.25" customHeight="1">
      <c r="N119" s="70"/>
      <c r="O119" s="85"/>
      <c r="P119" s="85"/>
      <c r="Q119" s="130" t="s">
        <v>606</v>
      </c>
      <c r="R119" s="131"/>
      <c r="S119" s="230"/>
      <c r="T119" s="136"/>
      <c r="U119" s="136"/>
      <c r="V119" s="136"/>
      <c r="W119" s="136"/>
      <c r="X119" s="305"/>
      <c r="Y119" s="136"/>
      <c r="Z119" s="136"/>
      <c r="AA119" s="136"/>
      <c r="AB119" s="136"/>
      <c r="AC119" s="131"/>
      <c r="AD119" s="71"/>
      <c r="AE119" s="70"/>
      <c r="AF119" s="70"/>
      <c r="AG119" s="70"/>
      <c r="AH119" s="70"/>
      <c r="AI119" s="70"/>
      <c r="AJ119" s="70"/>
      <c r="AK119" s="70"/>
      <c r="AL119" s="70"/>
      <c r="AM119" s="70"/>
      <c r="AN119" s="70"/>
      <c r="AO119" s="70"/>
      <c r="AP119" s="70"/>
      <c r="AQ119" s="70"/>
      <c r="AR119" s="70"/>
      <c r="AS119" s="70"/>
      <c r="AT119" s="70"/>
      <c r="AU119" s="70"/>
      <c r="AV119" s="70"/>
      <c r="AW119" s="70"/>
      <c r="AX119" s="70"/>
      <c r="AY119" s="70"/>
      <c r="AZ119" s="70"/>
      <c r="BA119" s="70"/>
      <c r="BB119" s="70"/>
      <c r="BC119" s="70"/>
      <c r="BD119" s="70"/>
      <c r="BE119" s="70"/>
      <c r="BF119" s="70"/>
      <c r="BG119" s="70"/>
      <c r="BH119" s="70"/>
      <c r="BI119" s="70"/>
      <c r="BJ119" s="70"/>
    </row>
    <row r="120" spans="14:62" ht="14.25" customHeight="1">
      <c r="N120" s="9"/>
      <c r="O120" s="9"/>
      <c r="P120" s="9"/>
      <c r="Q120" s="134"/>
      <c r="R120" s="133"/>
      <c r="S120" s="16"/>
      <c r="T120" s="76"/>
      <c r="U120" s="76"/>
      <c r="V120" s="76"/>
      <c r="W120" s="76"/>
      <c r="X120" s="133"/>
      <c r="Y120" s="76"/>
      <c r="Z120" s="76"/>
      <c r="AA120" s="76"/>
      <c r="AB120" s="76"/>
      <c r="AC120" s="133"/>
      <c r="AD120" s="70"/>
      <c r="AE120" s="70"/>
      <c r="AF120" s="70"/>
      <c r="AG120" s="70"/>
      <c r="AH120" s="70"/>
      <c r="AI120" s="71"/>
      <c r="AJ120" s="71"/>
      <c r="AK120" s="71"/>
      <c r="AL120" s="71"/>
      <c r="AM120" s="71"/>
      <c r="AN120" s="71"/>
      <c r="AO120" s="71"/>
      <c r="AP120" s="71"/>
      <c r="AQ120" s="71"/>
      <c r="AR120" s="71"/>
      <c r="AS120" s="71"/>
      <c r="AT120" s="71"/>
      <c r="AU120" s="71"/>
      <c r="AV120" s="71"/>
      <c r="AW120" s="71"/>
      <c r="AX120" s="71"/>
      <c r="AY120" s="71"/>
      <c r="AZ120" s="71"/>
      <c r="BA120" s="71"/>
      <c r="BB120" s="71"/>
      <c r="BC120" s="71"/>
      <c r="BD120" s="71"/>
      <c r="BE120" s="71"/>
      <c r="BF120" s="71"/>
      <c r="BG120" s="71"/>
      <c r="BH120" s="71"/>
      <c r="BI120" s="71"/>
      <c r="BJ120" s="71"/>
    </row>
    <row r="121" spans="14:62" ht="14.25" customHeight="1">
      <c r="Q121" s="152" t="s">
        <v>22</v>
      </c>
      <c r="R121" s="124" t="s">
        <v>34</v>
      </c>
      <c r="S121" s="45">
        <f>+S107</f>
        <v>2026</v>
      </c>
      <c r="T121" s="8">
        <f t="shared" ref="T121:Z121" si="116">+T107</f>
        <v>2027</v>
      </c>
      <c r="U121" s="8">
        <f t="shared" si="116"/>
        <v>2028</v>
      </c>
      <c r="V121" s="8">
        <f t="shared" si="116"/>
        <v>2029</v>
      </c>
      <c r="W121" s="8">
        <f t="shared" si="116"/>
        <v>2030</v>
      </c>
      <c r="X121" s="124">
        <f t="shared" si="116"/>
        <v>2031</v>
      </c>
      <c r="Y121" s="8">
        <f t="shared" si="116"/>
        <v>2032</v>
      </c>
      <c r="Z121" s="8">
        <f t="shared" si="116"/>
        <v>2033</v>
      </c>
      <c r="AA121" s="8">
        <f>+AA107</f>
        <v>2034</v>
      </c>
      <c r="AB121" s="8">
        <f>+AB107</f>
        <v>2035</v>
      </c>
      <c r="AC121" s="124" t="s">
        <v>34</v>
      </c>
      <c r="AD121" s="70"/>
      <c r="AE121" s="70"/>
      <c r="AF121" s="70"/>
      <c r="AG121" s="70"/>
      <c r="AH121" s="70"/>
    </row>
    <row r="122" spans="14:62" ht="14.25" customHeight="1">
      <c r="Q122" s="147" t="s">
        <v>74</v>
      </c>
      <c r="R122" s="315">
        <f t="shared" ref="R122:R131" si="117">+AC122</f>
        <v>0</v>
      </c>
      <c r="S122" s="316">
        <f>+SUMIF($O$20:$O$39,Lister!$D$31,S$20:S$39)</f>
        <v>0</v>
      </c>
      <c r="T122" s="316">
        <f>+SUMIF($O$20:$O$39,Lister!$D$31,T$20:T$39)</f>
        <v>0</v>
      </c>
      <c r="U122" s="316">
        <f>+SUMIF($O$20:$O$39,Lister!$D$31,U$20:U$39)</f>
        <v>0</v>
      </c>
      <c r="V122" s="316">
        <f>+SUMIF($O$20:$O$39,Lister!$D$31,V$20:V$39)</f>
        <v>0</v>
      </c>
      <c r="W122" s="316">
        <f>+SUMIF($O$20:$O$39,Lister!$D$31,W$20:W$39)</f>
        <v>0</v>
      </c>
      <c r="X122" s="316">
        <f>+SUMIF($O$20:$O$39,Lister!$D$31,X$20:X$39)</f>
        <v>0</v>
      </c>
      <c r="Y122" s="316">
        <f>+SUMIF($O$20:$O$39,Lister!$D$31,Y$20:Y$39)</f>
        <v>0</v>
      </c>
      <c r="Z122" s="316">
        <f>+SUMIF($O$20:$O$39,Lister!$D$31,Z$20:Z$39)</f>
        <v>0</v>
      </c>
      <c r="AA122" s="316">
        <f>+SUMIF($O$20:$O$39,Lister!$D$31,AA$20:AA$39)</f>
        <v>0</v>
      </c>
      <c r="AB122" s="316">
        <f>+SUMIF($O$20:$O$39,Lister!$D$31,AB$20:AB$39)</f>
        <v>0</v>
      </c>
      <c r="AC122" s="140">
        <f t="shared" ref="AC122:AC131" si="118">SUM(S122:Z122)</f>
        <v>0</v>
      </c>
      <c r="AD122" s="70"/>
      <c r="AE122" s="71"/>
      <c r="AF122" s="71"/>
      <c r="AG122" s="71"/>
      <c r="AH122" s="71"/>
    </row>
    <row r="123" spans="14:62" ht="14.25" customHeight="1">
      <c r="Q123" s="148" t="s">
        <v>75</v>
      </c>
      <c r="R123" s="309">
        <f t="shared" si="117"/>
        <v>0</v>
      </c>
      <c r="S123" s="310">
        <f>+SUMIF($O$43:$O$55,Lister!$D$31,S$43:S$55)</f>
        <v>0</v>
      </c>
      <c r="T123" s="319">
        <f>+SUMIF($O$43:$O$55,Lister!$D$31,T$43:T$55)</f>
        <v>0</v>
      </c>
      <c r="U123" s="310">
        <f>+SUMIF($O$43:$O$55,Lister!$D$31,U$43:U$55)</f>
        <v>0</v>
      </c>
      <c r="V123" s="319">
        <f>+SUMIF($O$43:$O$55,Lister!$D$31,V$43:V$55)</f>
        <v>0</v>
      </c>
      <c r="W123" s="310">
        <f>+SUMIF($O$43:$O$55,Lister!$D$31,W$43:W$55)</f>
        <v>0</v>
      </c>
      <c r="X123" s="320">
        <f>+SUMIF($O$43:$O$55,Lister!$D$31,X$43:X$55)</f>
        <v>0</v>
      </c>
      <c r="Y123" s="295">
        <f>+SUMIF($O$43:$O$55,Lister!$D$31,Y$43:Y$55)</f>
        <v>0</v>
      </c>
      <c r="Z123" s="113">
        <f>+SUMIF($O$43:$O$55,Lister!$D$31,Z$43:Z$55)</f>
        <v>0</v>
      </c>
      <c r="AA123" s="113">
        <f>+SUMIF($O$43:$O$55,Lister!$D$31,AA$43:AA$55)</f>
        <v>0</v>
      </c>
      <c r="AB123" s="113">
        <f>+SUMIF($O$43:$O$55,Lister!$D$31,AB$43:AB$55)</f>
        <v>0</v>
      </c>
      <c r="AC123" s="141">
        <f t="shared" si="118"/>
        <v>0</v>
      </c>
      <c r="AD123" s="71"/>
    </row>
    <row r="124" spans="14:62" ht="14.25" customHeight="1">
      <c r="Q124" s="149" t="s">
        <v>76</v>
      </c>
      <c r="R124" s="312">
        <f t="shared" si="117"/>
        <v>0</v>
      </c>
      <c r="S124" s="313">
        <f>+S123+S122</f>
        <v>0</v>
      </c>
      <c r="T124" s="313">
        <f t="shared" ref="T124:Z124" si="119">+T123+T122</f>
        <v>0</v>
      </c>
      <c r="U124" s="313">
        <f t="shared" si="119"/>
        <v>0</v>
      </c>
      <c r="V124" s="313">
        <f t="shared" si="119"/>
        <v>0</v>
      </c>
      <c r="W124" s="313">
        <f t="shared" si="119"/>
        <v>0</v>
      </c>
      <c r="X124" s="314">
        <f t="shared" si="119"/>
        <v>0</v>
      </c>
      <c r="Y124" s="296">
        <f t="shared" si="119"/>
        <v>0</v>
      </c>
      <c r="Z124" s="137">
        <f t="shared" si="119"/>
        <v>0</v>
      </c>
      <c r="AA124" s="137">
        <f>+AA123+AA122</f>
        <v>0</v>
      </c>
      <c r="AB124" s="137">
        <f>+AB123+AB122</f>
        <v>0</v>
      </c>
      <c r="AC124" s="138">
        <f t="shared" si="118"/>
        <v>0</v>
      </c>
    </row>
    <row r="125" spans="14:62" ht="14.25" customHeight="1">
      <c r="Q125" s="149" t="s">
        <v>77</v>
      </c>
      <c r="R125" s="312">
        <f t="shared" si="117"/>
        <v>0</v>
      </c>
      <c r="S125" s="313">
        <f>+SUMIF($O$62:$O$74,Lister!$D$31,C$62:C$74)</f>
        <v>0</v>
      </c>
      <c r="T125" s="327">
        <f>+SUMIF($O$62:$O$74,Lister!$D$31,D$62:D$74)</f>
        <v>0</v>
      </c>
      <c r="U125" s="327">
        <f>+SUMIF($O$62:$O$74,Lister!$D$31,E$62:E$74)</f>
        <v>0</v>
      </c>
      <c r="V125" s="327">
        <f>+SUMIF($O$62:$O$74,Lister!$D$31,F$62:F$74)</f>
        <v>0</v>
      </c>
      <c r="W125" s="327">
        <f>+SUMIF($O$62:$O$74,Lister!$D$31,G$62:G$74)</f>
        <v>0</v>
      </c>
      <c r="X125" s="328">
        <f>+SUMIF($O$62:$O$74,Lister!$D$31,H$62:H$74)</f>
        <v>0</v>
      </c>
      <c r="Y125" s="209">
        <f>+SUMIF($O$62:$O$74,Lister!$D$31,I$62:I$74)</f>
        <v>0</v>
      </c>
      <c r="Z125" s="208">
        <f>+SUMIF($O$62:$O$74,Lister!$D$31,J$62:J$74)</f>
        <v>0</v>
      </c>
      <c r="AA125" s="208">
        <f>+SUMIF($O$62:$O$74,Lister!$D$31,K$62:K$74)</f>
        <v>0</v>
      </c>
      <c r="AB125" s="208">
        <f>+SUMIF($O$62:$O$74,Lister!$D$31,L$62:L$74)</f>
        <v>0</v>
      </c>
      <c r="AC125" s="138">
        <f t="shared" si="118"/>
        <v>0</v>
      </c>
    </row>
    <row r="126" spans="14:62" ht="14.25" customHeight="1">
      <c r="Q126" s="149" t="s">
        <v>78</v>
      </c>
      <c r="R126" s="312">
        <f t="shared" si="117"/>
        <v>0</v>
      </c>
      <c r="S126" s="313">
        <f>+S125+S124</f>
        <v>0</v>
      </c>
      <c r="T126" s="329">
        <f t="shared" ref="T126:Z126" si="120">+T125+T124</f>
        <v>0</v>
      </c>
      <c r="U126" s="329">
        <f t="shared" si="120"/>
        <v>0</v>
      </c>
      <c r="V126" s="329">
        <f t="shared" si="120"/>
        <v>0</v>
      </c>
      <c r="W126" s="329">
        <f t="shared" si="120"/>
        <v>0</v>
      </c>
      <c r="X126" s="330">
        <f t="shared" si="120"/>
        <v>0</v>
      </c>
      <c r="Y126" s="146">
        <f t="shared" si="120"/>
        <v>0</v>
      </c>
      <c r="Z126" s="145">
        <f t="shared" si="120"/>
        <v>0</v>
      </c>
      <c r="AA126" s="145">
        <f>+AA125+AA124</f>
        <v>0</v>
      </c>
      <c r="AB126" s="145">
        <f>+AB125+AB124</f>
        <v>0</v>
      </c>
      <c r="AC126" s="138">
        <f t="shared" si="118"/>
        <v>0</v>
      </c>
    </row>
    <row r="127" spans="14:62" ht="14.25" customHeight="1">
      <c r="Q127" s="150" t="s">
        <v>0</v>
      </c>
      <c r="R127" s="312">
        <f t="shared" si="117"/>
        <v>0</v>
      </c>
      <c r="S127" s="153">
        <f>IF($C$12=2,S124*$C$6/100,
IF($G$6=Lister!$D$4,S124*$C$6/100,
IF($G$6=Lister!$D$5,S126*$C$6/100,
IF($G$6=Lister!$D$6,(S126-SUMIFS(C62:C74,$O$62:$O$74,Lister!$D$31,$A$62:$A$74,Lister!$M$10))*$C$6/100,
IF($G$6=Lister!$D$7,(S126-SUMIFS(C62:C74,$O$62:$O$74,Lister!$D$31,$A$62:$A$74,Lister!$M$10)-SUMIFS(C62:C74,$O$62:$O$74,Lister!$D$31,$A$62:$A$74,Lister!$M$7))*$C$6/100,
IF($G$6=Lister!$D$8,(S126+S128)*$C$6/100,
IF($G$6=Lister!$D$9,S125*$C$6/100,0)))))))</f>
        <v>0</v>
      </c>
      <c r="T127" s="323">
        <f>IF($C$12=2,T124*$C$6/100,
IF($G$6=Lister!$D$4,T124*$C$6/100,
IF($G$6=Lister!$D$5,T126*$C$6/100,
IF($G$6=Lister!$D$6,(T126-SUMIFS(D62:D74,$O$62:$O$74,Lister!$D$31,$A$62:$A$74,Lister!$M$10))*$C$6/100,
IF($G$6=Lister!$D$7,(T126-SUMIFS(D62:D74,$O$62:$O$74,Lister!$D$31,$A$62:$A$74,Lister!$M$10)-SUMIFS(D62:D74,$O$62:$O$74,Lister!$D$31,$A$62:$A$74,Lister!$M$7))*$C$6/100,
IF($G$6=Lister!$D$8,(T126+T128)*$C$6/100,
IF($G$6=Lister!$D$9,T125*$C$6/100,0)))))))</f>
        <v>0</v>
      </c>
      <c r="U127" s="323">
        <f>IF($C$12=2,U124*$C$6/100,
IF($G$6=Lister!$D$4,U124*$C$6/100,
IF($G$6=Lister!$D$5,U126*$C$6/100,
IF($G$6=Lister!$D$6,(U126-SUMIFS(E62:E74,$O$62:$O$74,Lister!$D$31,$A$62:$A$74,Lister!$M$10))*$C$6/100,
IF($G$6=Lister!$D$7,(U126-SUMIFS(E62:E74,$O$62:$O$74,Lister!$D$31,$A$62:$A$74,Lister!$M$10)-SUMIFS(E62:E74,$O$62:$O$74,Lister!$D$31,$A$62:$A$74,Lister!$M$7))*$C$6/100,
IF($G$6=Lister!$D$8,(U126+U128)*$C$6/100,
IF($G$6=Lister!$D$9,U125*$C$6/100,0)))))))</f>
        <v>0</v>
      </c>
      <c r="V127" s="323">
        <f>IF($C$12=2,V124*$C$6/100,
IF($G$6=Lister!$D$4,V124*$C$6/100,
IF($G$6=Lister!$D$5,V126*$C$6/100,
IF($G$6=Lister!$D$6,(V126-SUMIFS(F62:F74,$O$62:$O$74,Lister!$D$31,$A$62:$A$74,Lister!$M$10))*$C$6/100,
IF($G$6=Lister!$D$7,(V126-SUMIFS(F62:F74,$O$62:$O$74,Lister!$D$31,$A$62:$A$74,Lister!$M$10)-SUMIFS(F62:F74,$O$62:$O$74,Lister!$D$31,$A$62:$A$74,Lister!$M$7))*$C$6/100,
IF($G$6=Lister!$D$8,(V126+V128)*$C$6/100,
IF($G$6=Lister!$D$9,V125*$C$6/100,0)))))))</f>
        <v>0</v>
      </c>
      <c r="W127" s="323">
        <f>IF($C$12=2,W124*$C$6/100,
IF($G$6=Lister!$D$4,W124*$C$6/100,
IF($G$6=Lister!$D$5,W126*$C$6/100,
IF($G$6=Lister!$D$6,(W126-SUMIFS(G62:G74,$O$62:$O$74,Lister!$D$31,$A$62:$A$74,Lister!$M$10))*$C$6/100,
IF($G$6=Lister!$D$7,(W126-SUMIFS(G62:G74,$O$62:$O$74,Lister!$D$31,$A$62:$A$74,Lister!$M$10)-SUMIFS(G62:G74,$O$62:$O$74,Lister!$D$31,$A$62:$A$74,Lister!$M$7))*$C$6/100,
IF($G$6=Lister!$D$8,(W126+W128)*$C$6/100,
IF($G$6=Lister!$D$9,W125*$C$6/100,0)))))))</f>
        <v>0</v>
      </c>
      <c r="X127" s="324">
        <f>IF($C$12=2,X124*$C$6/100,
IF($G$6=Lister!$D$4,X124*$C$6/100,
IF($G$6=Lister!$D$5,X126*$C$6/100,
IF($G$6=Lister!$D$6,(X126-SUMIFS(H62:H74,$O$62:$O$74,Lister!$D$31,$A$62:$A$74,Lister!$M$10))*$C$6/100,
IF($G$6=Lister!$D$7,(X126-SUMIFS(H62:H74,$O$62:$O$74,Lister!$D$31,$A$62:$A$74,Lister!$M$10)-SUMIFS(H62:H74,$O$62:$O$74,Lister!$D$31,$A$62:$A$74,Lister!$M$7))*$C$6/100,
IF($G$6=Lister!$D$8,(X126+X128)*$C$6/100,
IF($G$6=Lister!$D$9,X125*$C$6/100,0)))))))</f>
        <v>0</v>
      </c>
      <c r="Y127" s="205">
        <f>IF($C$12=2,Y124*$C$6/100,
IF($G$6=Lister!$D$4,Y124*$C$6/100,
IF($G$6=Lister!$D$5,Y126*$C$6/100,
IF($G$6=Lister!$D$6,(Y126-SUMIFS(I62:I74,$O$62:$O$74,Lister!$D$31,$A$62:$A$74,Lister!$M$10))*$C$6/100,
IF($G$6=Lister!$D$7,(Y126-SUMIFS(I62:I74,$O$62:$O$74,Lister!$D$31,$A$62:$A$74,Lister!$M$10)-SUMIFS(I62:I74,$O$62:$O$74,Lister!$D$31,$A$62:$A$74,Lister!$M$7))*$C$6/100,
IF($G$6=Lister!$D$8,(Y126+Y128)*$C$6/100,
IF($G$6=Lister!$D$9,Y125*$C$6/100,0)))))))</f>
        <v>0</v>
      </c>
      <c r="Z127" s="204">
        <f>IF($C$12=2,Z124*$C$6/100,
IF($G$6=Lister!$D$4,Z124*$C$6/100,
IF($G$6=Lister!$D$5,Z126*$C$6/100,
IF($G$6=Lister!$D$6,(Z126-SUMIFS(J62:J74,$O$62:$O$74,Lister!$D$31,$A$62:$A$74,Lister!$M$10))*$C$6/100,
IF($G$6=Lister!$D$7,(Z126-SUMIFS(J62:J74,$O$62:$O$74,Lister!$D$31,$A$62:$A$74,Lister!$M$10)-SUMIFS(J62:J74,$O$62:$O$74,Lister!$D$31,$A$62:$A$74,Lister!$M$7))*$C$6/100,
IF($G$6=Lister!$D$8,(Z126+Z128)*$C$6/100,
IF($G$6=Lister!$D$9,Z125*$C$6/100,0)))))))</f>
        <v>0</v>
      </c>
      <c r="AA127" s="204">
        <f>IF($C$12=2,AA124*$C$6/100,
IF($G$6=Lister!$D$4,AA124*$C$6/100,
IF($G$6=Lister!$D$5,AA126*$C$6/100,
IF($G$6=Lister!$D$6,(AA126-SUMIFS(K62:K74,$O$62:$O$74,Lister!$D$31,$A$62:$A$74,Lister!$M$10))*$C$6/100,
IF($G$6=Lister!$D$7,(AA126-SUMIFS(K62:K74,$O$62:$O$74,Lister!$D$31,$A$62:$A$74,Lister!$M$10)-SUMIFS(K62:K74,$O$62:$O$74,Lister!$D$31,$A$62:$A$74,Lister!$M$7))*$C$6/100,
IF($G$6=Lister!$D$8,(AA126+AA128)*$C$6/100,
IF($G$6=Lister!$D$9,AA125*$C$6/100,0)))))))</f>
        <v>0</v>
      </c>
      <c r="AB127" s="204">
        <f>IF($C$12=2,AB124*$C$6/100,
IF($G$6=Lister!$D$4,AB124*$C$6/100,
IF($G$6=Lister!$D$5,AB126*$C$6/100,
IF($G$6=Lister!$D$6,(AB126-SUMIFS(L62:L74,$O$62:$O$74,Lister!$D$31,$A$62:$A$74,Lister!$M$10))*$C$6/100,
IF($G$6=Lister!$D$7,(AB126-SUMIFS(L62:L74,$O$62:$O$74,Lister!$D$31,$A$62:$A$74,Lister!$M$10)-SUMIFS(L62:L74,$O$62:$O$74,Lister!$D$31,$A$62:$A$74,Lister!$M$7))*$C$6/100,
IF($G$6=Lister!$D$8,(AB126+AB128)*$C$6/100,
IF($G$6=Lister!$D$9,AB125*$C$6/100,0)))))))</f>
        <v>0</v>
      </c>
      <c r="AC127" s="138">
        <f t="shared" si="118"/>
        <v>0</v>
      </c>
    </row>
    <row r="128" spans="14:62" ht="14.25" customHeight="1">
      <c r="Q128" s="151" t="s">
        <v>103</v>
      </c>
      <c r="R128" s="312">
        <f t="shared" si="117"/>
        <v>0</v>
      </c>
      <c r="S128" s="153">
        <f>+IF($C$8=Lister!$O$5,(SUMIF($O$20:$O$29,Lister!$D$31,C20:C29))*Takstblad!C$84,0)</f>
        <v>0</v>
      </c>
      <c r="T128" s="153">
        <f>+IF($C$8=Lister!$O$5,(SUMIF($O$20:$O$29,Lister!$D$31,D20:D29))*Takstblad!D$84,0)</f>
        <v>0</v>
      </c>
      <c r="U128" s="153">
        <f>+IF($C$8=Lister!$O$5,(SUMIF($O$20:$O$29,Lister!$D$31,E20:E29))*Takstblad!E$84,0)</f>
        <v>0</v>
      </c>
      <c r="V128" s="153">
        <f>+IF($C$8=Lister!$O$5,(SUMIF($O$20:$O$29,Lister!$D$31,F20:F29))*Takstblad!F$84,0)</f>
        <v>0</v>
      </c>
      <c r="W128" s="153">
        <f>+IF($C$8=Lister!$O$5,(SUMIF($O$20:$O$29,Lister!$D$31,G20:G29))*Takstblad!G$84,0)</f>
        <v>0</v>
      </c>
      <c r="X128" s="300">
        <f>+IF($C$8=Lister!$O$5,(SUMIF($O$20:$O$29,Lister!$D$31,H20:H29))*Takstblad!H$84,0)</f>
        <v>0</v>
      </c>
      <c r="Y128" s="297">
        <f>+IF($C$8=Lister!$O$5,(SUMIF($O$20:$O$29,Lister!$D$31,I20:I29))*Takstblad!I$84,0)</f>
        <v>0</v>
      </c>
      <c r="Z128" s="21">
        <f>+IF($C$8=Lister!$O$5,(SUMIF($O$20:$O$29,Lister!$D$31,J20:J29))*Takstblad!J$84,0)</f>
        <v>0</v>
      </c>
      <c r="AA128" s="21">
        <f>+IF($C$8=Lister!$O$5,(SUMIF($O$20:$O$29,Lister!$D$31,K20:K29))*Takstblad!K$84,0)</f>
        <v>0</v>
      </c>
      <c r="AB128" s="21">
        <f>+IF($C$8=Lister!$O$5,(SUMIF($O$20:$O$29,Lister!$D$31,L20:L29))*Takstblad!L$84,0)</f>
        <v>0</v>
      </c>
      <c r="AC128" s="138">
        <f t="shared" si="118"/>
        <v>0</v>
      </c>
    </row>
    <row r="129" spans="17:29" ht="14.25" customHeight="1">
      <c r="Q129" s="151" t="s">
        <v>108</v>
      </c>
      <c r="R129" s="312">
        <f t="shared" si="117"/>
        <v>0</v>
      </c>
      <c r="S129" s="153"/>
      <c r="T129" s="155"/>
      <c r="U129" s="155"/>
      <c r="V129" s="155"/>
      <c r="W129" s="155"/>
      <c r="X129" s="308"/>
      <c r="Y129" s="114"/>
      <c r="Z129" s="115"/>
      <c r="AA129" s="115"/>
      <c r="AB129" s="115"/>
      <c r="AC129" s="138">
        <f t="shared" si="118"/>
        <v>0</v>
      </c>
    </row>
    <row r="130" spans="17:29" ht="14.25" customHeight="1">
      <c r="Q130" s="150" t="s">
        <v>531</v>
      </c>
      <c r="R130" s="312">
        <f t="shared" si="117"/>
        <v>0</v>
      </c>
      <c r="S130" s="153" t="str">
        <f>IF($C$12=2,(SUM(S126:S129)*$C$13)/100,"0")</f>
        <v>0</v>
      </c>
      <c r="T130" s="155" t="str">
        <f t="shared" ref="T130:Z130" si="121">IF($C$12=2,(SUM(T126:T129)*$C$13)/100,"0")</f>
        <v>0</v>
      </c>
      <c r="U130" s="155" t="str">
        <f t="shared" si="121"/>
        <v>0</v>
      </c>
      <c r="V130" s="155" t="str">
        <f t="shared" si="121"/>
        <v>0</v>
      </c>
      <c r="W130" s="155" t="str">
        <f t="shared" si="121"/>
        <v>0</v>
      </c>
      <c r="X130" s="308" t="str">
        <f t="shared" si="121"/>
        <v>0</v>
      </c>
      <c r="Y130" s="156" t="str">
        <f t="shared" si="121"/>
        <v>0</v>
      </c>
      <c r="Z130" s="155" t="str">
        <f t="shared" si="121"/>
        <v>0</v>
      </c>
      <c r="AA130" s="155" t="str">
        <f>IF($C$12=2,(SUM(AA126:AA129)*$C$13)/100,"0")</f>
        <v>0</v>
      </c>
      <c r="AB130" s="155" t="str">
        <f>IF($C$12=2,(SUM(AB126:AB129)*$C$13)/100,"0")</f>
        <v>0</v>
      </c>
      <c r="AC130" s="138">
        <f t="shared" si="118"/>
        <v>0</v>
      </c>
    </row>
    <row r="131" spans="17:29" ht="14.25" customHeight="1" thickBot="1">
      <c r="Q131" s="303" t="s">
        <v>101</v>
      </c>
      <c r="R131" s="331">
        <f t="shared" si="117"/>
        <v>0</v>
      </c>
      <c r="S131" s="332">
        <f>+SUM(S126:S130)</f>
        <v>0</v>
      </c>
      <c r="T131" s="332">
        <f t="shared" ref="T131:Z131" si="122">+SUM(T126:T130)</f>
        <v>0</v>
      </c>
      <c r="U131" s="332">
        <f t="shared" si="122"/>
        <v>0</v>
      </c>
      <c r="V131" s="332">
        <f t="shared" si="122"/>
        <v>0</v>
      </c>
      <c r="W131" s="332">
        <f t="shared" si="122"/>
        <v>0</v>
      </c>
      <c r="X131" s="333">
        <f t="shared" si="122"/>
        <v>0</v>
      </c>
      <c r="Y131" s="299">
        <f t="shared" si="122"/>
        <v>0</v>
      </c>
      <c r="Z131" s="143">
        <f t="shared" si="122"/>
        <v>0</v>
      </c>
      <c r="AA131" s="143">
        <f>+SUM(AA126:AA130)</f>
        <v>0</v>
      </c>
      <c r="AB131" s="143">
        <f>+SUM(AB126:AB130)</f>
        <v>0</v>
      </c>
      <c r="AC131" s="144">
        <f t="shared" si="118"/>
        <v>0</v>
      </c>
    </row>
    <row r="132" spans="17:29" ht="12.5">
      <c r="Q132" s="7"/>
      <c r="R132" s="7"/>
    </row>
    <row r="133" spans="17:29" ht="12.5">
      <c r="Q133" s="7"/>
      <c r="R133" s="7"/>
    </row>
    <row r="134" spans="17:29" ht="12.5">
      <c r="Q134" s="7"/>
      <c r="R134" s="7"/>
    </row>
    <row r="142" spans="17:29" ht="12.5">
      <c r="Q142" s="7"/>
      <c r="R142" s="7"/>
    </row>
    <row r="143" spans="17:29" ht="12.5">
      <c r="Q143" s="7"/>
      <c r="R143" s="7"/>
    </row>
    <row r="144" spans="17:29" ht="12.5">
      <c r="Q144" s="7"/>
      <c r="R144" s="7"/>
    </row>
    <row r="145" s="7" customFormat="1" ht="12.5"/>
    <row r="146" s="7" customFormat="1" ht="12.5"/>
    <row r="147" s="7" customFormat="1" ht="12.5"/>
    <row r="148" s="7" customFormat="1" ht="12.5"/>
    <row r="149" s="7" customFormat="1" ht="12.5"/>
    <row r="150" s="7" customFormat="1" ht="12.5"/>
    <row r="151" s="7" customFormat="1" ht="12.5"/>
    <row r="152" s="7" customFormat="1" ht="12.5"/>
  </sheetData>
  <sheetProtection algorithmName="SHA-512" hashValue="51oA0JJ9fayH9nG9RmzD6u4QVBS9n0lCNrYHqvglW3F5i9EVFV4dwHOmiXX23FG4PLBaazr7/MWr7XWZ86iN6w==" saltValue="FuZTqwZBl14eMY2wuWcjeQ==" spinCount="100000" sheet="1" objects="1" scenarios="1"/>
  <mergeCells count="35">
    <mergeCell ref="BF19:BG19"/>
    <mergeCell ref="BF42:BG42"/>
    <mergeCell ref="BI19:BJ19"/>
    <mergeCell ref="BI42:BJ42"/>
    <mergeCell ref="AE42:AF42"/>
    <mergeCell ref="AH42:AI42"/>
    <mergeCell ref="AK42:AL42"/>
    <mergeCell ref="AN42:AO42"/>
    <mergeCell ref="AQ42:AR42"/>
    <mergeCell ref="AZ19:BA19"/>
    <mergeCell ref="AZ42:BA42"/>
    <mergeCell ref="BC19:BD19"/>
    <mergeCell ref="BC42:BD42"/>
    <mergeCell ref="AT19:AU19"/>
    <mergeCell ref="AW19:AX19"/>
    <mergeCell ref="AT42:AU42"/>
    <mergeCell ref="AW42:AX42"/>
    <mergeCell ref="AN19:AO19"/>
    <mergeCell ref="AQ19:AR19"/>
    <mergeCell ref="D6:F6"/>
    <mergeCell ref="G6:H6"/>
    <mergeCell ref="G7:H7"/>
    <mergeCell ref="D12:G12"/>
    <mergeCell ref="D13:G13"/>
    <mergeCell ref="J12:O12"/>
    <mergeCell ref="C8:D8"/>
    <mergeCell ref="C3:H3"/>
    <mergeCell ref="C4:H4"/>
    <mergeCell ref="C5:H5"/>
    <mergeCell ref="AH19:AI19"/>
    <mergeCell ref="AK19:AL19"/>
    <mergeCell ref="AE19:AF19"/>
    <mergeCell ref="D7:F7"/>
    <mergeCell ref="D14:H14"/>
    <mergeCell ref="D16:H16"/>
  </mergeCells>
  <dataValidations count="2">
    <dataValidation type="decimal" operator="lessThan" allowBlank="1" showInputMessage="1" showErrorMessage="1" errorTitle="Too high value" error="Value can't exceed 12 months" sqref="C43:L52 C20:L39" xr:uid="{74AC7A4E-C6C9-41D1-B475-02F8F1C55AA4}">
      <formula1>13</formula1>
    </dataValidation>
    <dataValidation type="date" allowBlank="1" showInputMessage="1" showErrorMessage="1" sqref="C9 D9:D10 I9:I10 H9" xr:uid="{64015D32-90C1-4CA4-A7EF-2CB62D2CE598}">
      <formula1>45292</formula1>
      <formula2>73050</formula2>
    </dataValidation>
  </dataValidations>
  <pageMargins left="0.15748031496062992" right="0.23622047244094491" top="0.27559055118110237" bottom="0.19685039370078741" header="0" footer="0"/>
  <pageSetup paperSize="9" scale="32" fitToWidth="2" orientation="landscape" r:id="rId1"/>
  <headerFooter alignWithMargins="0">
    <oddFooter>&amp;R&amp;A
&amp;D</oddFooter>
  </headerFooter>
  <colBreaks count="1" manualBreakCount="1">
    <brk id="15" max="119" man="1"/>
  </colBreaks>
  <legacyDrawing r:id="rId2"/>
  <extLst>
    <ext xmlns:x14="http://schemas.microsoft.com/office/spreadsheetml/2009/9/main" uri="{CCE6A557-97BC-4b89-ADB6-D9C93CAAB3DF}">
      <x14:dataValidations xmlns:xm="http://schemas.microsoft.com/office/excel/2006/main" count="19">
        <x14:dataValidation type="list" allowBlank="1" showInputMessage="1" showErrorMessage="1" xr:uid="{00000000-0002-0000-0800-000000000000}">
          <x14:formula1>
            <xm:f>Takstblad!$A$5:$A$30</xm:f>
          </x14:formula1>
          <xm:sqref>A20:A39</xm:sqref>
        </x14:dataValidation>
        <x14:dataValidation type="list" allowBlank="1" showInputMessage="1" xr:uid="{D67023E8-BD93-498F-A62B-0BCE3DC90D84}">
          <x14:formula1>
            <xm:f>Lister!$O$4:$O$5</xm:f>
          </x14:formula1>
          <xm:sqref>C11</xm:sqref>
        </x14:dataValidation>
        <x14:dataValidation type="list" allowBlank="1" showInputMessage="1" showErrorMessage="1" errorTitle="STOP" error="You can only select a value from the list." xr:uid="{1BF59217-1E03-4F2D-9AAC-0E7EAE296A39}">
          <x14:formula1>
            <xm:f>Lister!$I$4:$I$7</xm:f>
          </x14:formula1>
          <xm:sqref>G7:H7</xm:sqref>
        </x14:dataValidation>
        <x14:dataValidation type="list" errorStyle="information" allowBlank="1" showErrorMessage="1" errorTitle="Information" error="Please choose a department from the list" xr:uid="{00000000-0002-0000-0800-000004000000}">
          <x14:formula1>
            <xm:f>Lister!$A$4:$A$16</xm:f>
          </x14:formula1>
          <xm:sqref>C2</xm:sqref>
        </x14:dataValidation>
        <x14:dataValidation type="list" errorStyle="warning" allowBlank="1" showInputMessage="1" showErrorMessage="1" errorTitle="Are you sure" error="You are about to select a number of hours that is not on the list. Are you sure you want to continue?" xr:uid="{7A3B6FB7-F5C6-4C7C-B879-9D872E102265}">
          <x14:formula1>
            <xm:f>Lister!$F$4:$F$10</xm:f>
          </x14:formula1>
          <xm:sqref>C7</xm:sqref>
        </x14:dataValidation>
        <x14:dataValidation type="list" allowBlank="1" showInputMessage="1" showErrorMessage="1" errorTitle="STOP" error="You can only select a value from the list." xr:uid="{39DD1EBD-6A8F-4BA3-AE4C-262F468F6EC1}">
          <x14:formula1>
            <xm:f>Lister!$A$40:$A$41</xm:f>
          </x14:formula1>
          <xm:sqref>H8 H15</xm:sqref>
        </x14:dataValidation>
        <x14:dataValidation type="list" allowBlank="1" showInputMessage="1" showErrorMessage="1" errorTitle="STOP" error="You can only select a value from the list." xr:uid="{110B3F26-C9AA-4C6C-88A4-752AF05D4E97}">
          <x14:formula1>
            <xm:f>Lister!$A$49:$A$50</xm:f>
          </x14:formula1>
          <xm:sqref>C12</xm:sqref>
        </x14:dataValidation>
        <x14:dataValidation type="list" errorStyle="warning" allowBlank="1" showErrorMessage="1" errorTitle="Are you sure" error="You are about to select an EBIT that is different from 10. Are you sure you want to continue?" xr:uid="{62B4FA47-CFF3-46BF-9EFA-8DC03032529F}">
          <x14:formula1>
            <xm:f>Lister!$A$53:$A$53</xm:f>
          </x14:formula1>
          <xm:sqref>C13</xm:sqref>
        </x14:dataValidation>
        <x14:dataValidation type="list" errorStyle="information" allowBlank="1" showInputMessage="1" xr:uid="{6A705A4D-7B59-4463-89A0-FDFCC25C4BEF}">
          <x14:formula1>
            <xm:f>Lister!$I$20:$I$45</xm:f>
          </x14:formula1>
          <xm:sqref>C5:H5</xm:sqref>
        </x14:dataValidation>
        <x14:dataValidation type="list" errorStyle="warning" allowBlank="1" showInputMessage="1" showErrorMessage="1" errorTitle="Are you sure" error="You are about to select an EBIT that is different from 10. Are you sure you want to continue?" xr:uid="{16273B8B-3480-484D-B674-E1BC18EE20D7}">
          <x14:formula1>
            <xm:f>Lister!$A$40:$A$41</xm:f>
          </x14:formula1>
          <xm:sqref>C14:C16</xm:sqref>
        </x14:dataValidation>
        <x14:dataValidation type="list" allowBlank="1" showInputMessage="1" xr:uid="{D8085336-FC60-4764-B5D3-172E6B89172A}">
          <x14:formula1>
            <xm:f>Lister!$O$4:$O$6</xm:f>
          </x14:formula1>
          <xm:sqref>C8:D8</xm:sqref>
        </x14:dataValidation>
        <x14:dataValidation type="list" allowBlank="1" showInputMessage="1" showErrorMessage="1" xr:uid="{0F074F6D-BD91-486B-9AA5-050E9147AF0E}">
          <x14:formula1>
            <xm:f>Lister!$I$4:$I$7</xm:f>
          </x14:formula1>
          <xm:sqref>M9:M10</xm:sqref>
        </x14:dataValidation>
        <x14:dataValidation type="list" allowBlank="1" showInputMessage="1" showErrorMessage="1" errorTitle="STOP" error="You can only select a value from the list." xr:uid="{98475C38-D6A8-4995-8B3A-6BA9C51F4915}">
          <x14:formula1>
            <xm:f>Lister!$D$29:$D$32</xm:f>
          </x14:formula1>
          <xm:sqref>O62:P72 O43:P52 O20:P39</xm:sqref>
        </x14:dataValidation>
        <x14:dataValidation type="list" allowBlank="1" showInputMessage="1" showErrorMessage="1" xr:uid="{61532F72-87B8-4229-A2A8-218BFDFBA459}">
          <x14:formula1>
            <xm:f>Takstblad!$A$33:$A$47</xm:f>
          </x14:formula1>
          <xm:sqref>A43:A52</xm:sqref>
        </x14:dataValidation>
        <x14:dataValidation type="list" allowBlank="1" showInputMessage="1" xr:uid="{3B59E89A-B5E5-4CEC-B39F-C2314FFAFA76}">
          <x14:formula1>
            <xm:f>Lister!$A$61:$A$62</xm:f>
          </x14:formula1>
          <xm:sqref>C10</xm:sqref>
        </x14:dataValidation>
        <x14:dataValidation type="list" allowBlank="1" showInputMessage="1" showErrorMessage="1" xr:uid="{996856C2-C6A9-4D70-AAC5-9006479EE599}">
          <x14:formula1>
            <xm:f>Lister!$A$65:$A$66</xm:f>
          </x14:formula1>
          <xm:sqref>H10</xm:sqref>
        </x14:dataValidation>
        <x14:dataValidation type="list" allowBlank="1" showInputMessage="1" showErrorMessage="1" xr:uid="{D49200E3-1992-42A8-B07F-ED2C1E870D37}">
          <x14:formula1>
            <xm:f>Lister!$M$4:$M$17</xm:f>
          </x14:formula1>
          <xm:sqref>A62:A72</xm:sqref>
        </x14:dataValidation>
        <x14:dataValidation type="list" errorStyle="warning" allowBlank="1" showInputMessage="1" showErrorMessage="1" errorTitle="Are you sure" error="You are about to select an overhead rate that is not on the list. Are you sure you want to continue?" xr:uid="{05E70EEE-5759-45E0-8EDE-6DEFC1D51E17}">
          <x14:formula1>
            <xm:f>Lister!$D$37:$D$44</xm:f>
          </x14:formula1>
          <xm:sqref>C6</xm:sqref>
        </x14:dataValidation>
        <x14:dataValidation type="list" allowBlank="1" showInputMessage="1" showErrorMessage="1" errorTitle="STOP" error="You can only select a value from the list." xr:uid="{E50991F3-6BFB-4924-A6EF-50C5AEC06C39}">
          <x14:formula1>
            <xm:f>Lister!$D$4:$D$9</xm:f>
          </x14:formula1>
          <xm:sqref>G6:H6</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Ark7">
    <tabColor theme="8" tint="0.59999389629810485"/>
  </sheetPr>
  <dimension ref="A1:BN152"/>
  <sheetViews>
    <sheetView showGridLines="0" showZeros="0" zoomScale="80" zoomScaleNormal="80" workbookViewId="0">
      <pane xSplit="2" ySplit="17" topLeftCell="C18" activePane="bottomRight" state="frozen"/>
      <selection activeCell="C6" sqref="C6"/>
      <selection pane="topRight" activeCell="C6" sqref="C6"/>
      <selection pane="bottomLeft" activeCell="C6" sqref="C6"/>
      <selection pane="bottomRight" activeCell="C2" sqref="C2"/>
    </sheetView>
  </sheetViews>
  <sheetFormatPr defaultColWidth="16.75" defaultRowHeight="13" outlineLevelRow="1" outlineLevelCol="1"/>
  <cols>
    <col min="1" max="1" width="53.58203125" style="7" customWidth="1"/>
    <col min="2" max="2" width="11.58203125" style="7" hidden="1" customWidth="1"/>
    <col min="3" max="8" width="11.58203125" style="7" customWidth="1"/>
    <col min="9" max="12" width="11.58203125" style="7" hidden="1" customWidth="1" outlineLevel="1"/>
    <col min="13" max="13" width="11.58203125" style="7" customWidth="1" collapsed="1"/>
    <col min="14" max="14" width="35.25" style="7" customWidth="1"/>
    <col min="15" max="15" width="27.08203125" style="7" customWidth="1"/>
    <col min="16" max="16" width="6" style="7" customWidth="1"/>
    <col min="17" max="18" width="25.08203125" style="6" customWidth="1"/>
    <col min="19" max="24" width="12.58203125" style="7" customWidth="1"/>
    <col min="25" max="29" width="12.58203125" style="7" hidden="1" customWidth="1" outlineLevel="1"/>
    <col min="30" max="30" width="4.08203125" style="7" customWidth="1" collapsed="1"/>
    <col min="31" max="31" width="10.75" style="7" bestFit="1" customWidth="1"/>
    <col min="32" max="32" width="14.75" style="7" bestFit="1" customWidth="1"/>
    <col min="33" max="33" width="1.58203125" style="7" customWidth="1"/>
    <col min="34" max="34" width="10.75" style="7" bestFit="1" customWidth="1"/>
    <col min="35" max="35" width="14.75" style="7" bestFit="1" customWidth="1"/>
    <col min="36" max="36" width="1.58203125" style="7" customWidth="1"/>
    <col min="37" max="37" width="10.75" style="7" bestFit="1" customWidth="1"/>
    <col min="38" max="38" width="14.75" style="7" bestFit="1" customWidth="1"/>
    <col min="39" max="39" width="1.58203125" style="7" customWidth="1"/>
    <col min="40" max="40" width="10.75" style="7" bestFit="1" customWidth="1"/>
    <col min="41" max="41" width="14.75" style="7" bestFit="1" customWidth="1"/>
    <col min="42" max="42" width="1.58203125" style="7" customWidth="1"/>
    <col min="43" max="43" width="10.75" style="7" bestFit="1" customWidth="1"/>
    <col min="44" max="44" width="14.75" style="7" bestFit="1" customWidth="1"/>
    <col min="45" max="45" width="1.58203125" style="7" customWidth="1"/>
    <col min="46" max="46" width="10.75" style="7" bestFit="1" customWidth="1"/>
    <col min="47" max="47" width="14.75" style="7" bestFit="1" customWidth="1"/>
    <col min="48" max="48" width="1.58203125" style="7" customWidth="1"/>
    <col min="49" max="49" width="10.75" style="7" bestFit="1" customWidth="1"/>
    <col min="50" max="50" width="14.75" style="7" bestFit="1" customWidth="1"/>
    <col min="51" max="51" width="1.58203125" style="7" customWidth="1"/>
    <col min="52" max="52" width="10.75" style="7" hidden="1" customWidth="1" outlineLevel="1"/>
    <col min="53" max="53" width="14.75" style="7" hidden="1" customWidth="1" outlineLevel="1"/>
    <col min="54" max="54" width="1.58203125" style="7" hidden="1" customWidth="1" outlineLevel="1"/>
    <col min="55" max="55" width="10.75" style="7" hidden="1" customWidth="1" outlineLevel="1"/>
    <col min="56" max="56" width="14.75" style="7" hidden="1" customWidth="1" outlineLevel="1"/>
    <col min="57" max="57" width="1.58203125" style="7" hidden="1" customWidth="1" outlineLevel="1"/>
    <col min="58" max="58" width="10.75" style="7" hidden="1" customWidth="1" outlineLevel="1"/>
    <col min="59" max="59" width="14.75" style="7" hidden="1" customWidth="1" outlineLevel="1"/>
    <col min="60" max="60" width="1.58203125" style="7" hidden="1" customWidth="1" outlineLevel="1"/>
    <col min="61" max="61" width="10.75" style="7" hidden="1" customWidth="1" outlineLevel="1"/>
    <col min="62" max="62" width="14.75" style="7" hidden="1" customWidth="1" outlineLevel="1"/>
    <col min="63" max="63" width="16.75" style="7" collapsed="1"/>
    <col min="64" max="16384" width="16.75" style="7"/>
  </cols>
  <sheetData>
    <row r="1" spans="1:62" s="5" customFormat="1" ht="22.4" customHeight="1">
      <c r="A1" s="40" t="s">
        <v>28</v>
      </c>
      <c r="B1" s="7"/>
      <c r="E1" s="339" t="s">
        <v>732</v>
      </c>
      <c r="I1" s="7"/>
      <c r="N1" s="339"/>
      <c r="Q1" s="16"/>
      <c r="R1" s="16"/>
    </row>
    <row r="2" spans="1:62" s="5" customFormat="1" ht="15.65" customHeight="1">
      <c r="A2" s="340" t="s">
        <v>160</v>
      </c>
      <c r="B2" s="7"/>
      <c r="C2" s="278"/>
      <c r="D2" s="339"/>
      <c r="E2" s="339" t="s">
        <v>32</v>
      </c>
      <c r="I2" s="7"/>
      <c r="M2" s="344"/>
      <c r="N2" s="339"/>
      <c r="O2" s="339"/>
      <c r="P2" s="339"/>
      <c r="Q2" s="16"/>
      <c r="R2" s="16"/>
    </row>
    <row r="3" spans="1:62" s="5" customFormat="1" ht="15.65" customHeight="1" thickBot="1">
      <c r="A3" s="340" t="s">
        <v>151</v>
      </c>
      <c r="B3" s="7"/>
      <c r="C3" s="541">
        <f>+'B1'!C3</f>
        <v>0</v>
      </c>
      <c r="D3" s="542"/>
      <c r="E3" s="542"/>
      <c r="F3" s="542"/>
      <c r="G3" s="542"/>
      <c r="H3" s="543"/>
      <c r="I3" s="69"/>
      <c r="J3" s="353"/>
      <c r="K3" s="353"/>
      <c r="L3" s="353"/>
      <c r="M3" s="191"/>
      <c r="N3" s="179"/>
      <c r="O3" s="351"/>
      <c r="P3" s="351"/>
      <c r="Q3" s="168"/>
      <c r="R3" s="168"/>
      <c r="S3" s="345"/>
      <c r="T3" s="179"/>
      <c r="U3" s="352"/>
      <c r="V3" s="179"/>
      <c r="W3" s="179"/>
      <c r="X3" s="179"/>
      <c r="Y3" s="179"/>
      <c r="Z3" s="179"/>
      <c r="AA3" s="179"/>
      <c r="AB3" s="179"/>
      <c r="AC3" s="179"/>
      <c r="AD3" s="179"/>
      <c r="AE3" s="179"/>
      <c r="AF3" s="179"/>
      <c r="AG3" s="179"/>
      <c r="AH3" s="179"/>
      <c r="AI3" s="179"/>
      <c r="AJ3" s="179"/>
      <c r="AK3" s="179"/>
      <c r="AL3" s="179"/>
      <c r="AM3" s="179"/>
      <c r="AN3" s="179"/>
      <c r="AO3" s="179"/>
      <c r="AP3" s="179"/>
      <c r="AQ3" s="179"/>
      <c r="AR3" s="179"/>
      <c r="AS3" s="179"/>
      <c r="AT3" s="179"/>
      <c r="AU3" s="179"/>
      <c r="AV3" s="179"/>
      <c r="AW3" s="179"/>
      <c r="AX3" s="179"/>
      <c r="AY3" s="179"/>
      <c r="AZ3" s="179"/>
      <c r="BA3" s="179"/>
      <c r="BB3" s="179"/>
      <c r="BC3" s="179"/>
      <c r="BD3" s="179"/>
      <c r="BE3" s="179"/>
      <c r="BF3" s="179"/>
      <c r="BG3" s="179"/>
      <c r="BH3" s="179"/>
      <c r="BI3" s="179"/>
      <c r="BJ3" s="179"/>
    </row>
    <row r="4" spans="1:62" s="5" customFormat="1" ht="15.65" customHeight="1" thickBot="1">
      <c r="A4" s="340" t="s">
        <v>737</v>
      </c>
      <c r="B4" s="7"/>
      <c r="C4" s="541">
        <f>+'B1'!C4</f>
        <v>0</v>
      </c>
      <c r="D4" s="542"/>
      <c r="E4" s="542"/>
      <c r="F4" s="542"/>
      <c r="G4" s="542"/>
      <c r="H4" s="543"/>
      <c r="I4" s="69"/>
      <c r="J4" s="336"/>
      <c r="K4" s="336"/>
      <c r="L4" s="354"/>
      <c r="M4" s="396"/>
      <c r="N4" s="334" t="s">
        <v>586</v>
      </c>
      <c r="O4" s="394">
        <f>IFERROR((R89-R84+R112-R126)/(R84-R112+R126),0)</f>
        <v>0</v>
      </c>
      <c r="P4" s="351"/>
      <c r="Q4" s="168"/>
      <c r="R4" s="168"/>
      <c r="S4"/>
      <c r="T4" s="179"/>
      <c r="U4" s="352"/>
      <c r="V4" s="179"/>
      <c r="W4" s="179"/>
      <c r="X4" s="179"/>
      <c r="Y4" s="179"/>
      <c r="Z4" s="179"/>
      <c r="AA4" s="179"/>
      <c r="AB4" s="179"/>
      <c r="AC4" s="179"/>
      <c r="AD4" s="179"/>
      <c r="AE4" s="179"/>
      <c r="AF4" s="179"/>
      <c r="AG4" s="179"/>
      <c r="AH4" s="179"/>
      <c r="AI4" s="179"/>
      <c r="AJ4" s="179"/>
      <c r="AK4" s="179"/>
      <c r="AL4" s="179"/>
      <c r="AM4" s="179"/>
      <c r="AN4" s="179"/>
      <c r="AO4" s="179"/>
      <c r="AP4" s="179"/>
      <c r="AQ4" s="179"/>
      <c r="AR4" s="179"/>
      <c r="AS4" s="179"/>
      <c r="AT4" s="179"/>
      <c r="AU4" s="179"/>
      <c r="AV4" s="179"/>
      <c r="AW4" s="179"/>
      <c r="AX4" s="179"/>
      <c r="AY4" s="179"/>
      <c r="AZ4" s="179"/>
      <c r="BA4" s="179"/>
      <c r="BB4" s="179"/>
      <c r="BC4" s="179"/>
      <c r="BD4" s="179"/>
      <c r="BE4" s="179"/>
      <c r="BF4" s="179"/>
      <c r="BG4" s="179"/>
      <c r="BH4" s="179"/>
      <c r="BI4" s="179"/>
      <c r="BJ4" s="179"/>
    </row>
    <row r="5" spans="1:62" s="5" customFormat="1" ht="15.65" customHeight="1" thickBot="1">
      <c r="A5" s="340" t="s">
        <v>609</v>
      </c>
      <c r="B5" s="7"/>
      <c r="C5" s="544"/>
      <c r="D5" s="545"/>
      <c r="E5" s="545"/>
      <c r="F5" s="545"/>
      <c r="G5" s="545"/>
      <c r="H5" s="546"/>
      <c r="I5" s="69"/>
      <c r="J5" s="336"/>
      <c r="K5" s="336"/>
      <c r="L5" s="355"/>
      <c r="M5" s="396"/>
      <c r="N5" s="335" t="s">
        <v>610</v>
      </c>
      <c r="O5" s="395">
        <f>IFERROR((AC126/AC68),0)</f>
        <v>0</v>
      </c>
      <c r="P5" s="345"/>
      <c r="Q5" s="168"/>
      <c r="R5" s="168"/>
      <c r="S5" s="179"/>
      <c r="T5" s="179"/>
      <c r="U5" s="352"/>
      <c r="V5" s="179"/>
      <c r="W5" s="179"/>
      <c r="X5" s="179"/>
      <c r="Y5" s="179"/>
      <c r="Z5" s="179"/>
      <c r="AA5" s="179"/>
      <c r="AB5" s="179"/>
      <c r="AC5" s="179"/>
      <c r="AD5" s="179"/>
      <c r="AE5" s="179"/>
      <c r="AF5" s="179"/>
      <c r="AG5" s="179"/>
      <c r="AH5" s="179"/>
      <c r="AI5" s="179"/>
      <c r="AJ5" s="179"/>
      <c r="AK5" s="179"/>
      <c r="AL5" s="179"/>
      <c r="AM5" s="179"/>
      <c r="AN5" s="179"/>
      <c r="AO5" s="179"/>
      <c r="AP5" s="179"/>
      <c r="AQ5" s="179"/>
      <c r="AR5" s="179"/>
      <c r="AS5" s="179"/>
      <c r="AT5" s="179"/>
      <c r="AU5" s="179"/>
      <c r="AV5" s="179"/>
      <c r="AW5" s="179"/>
      <c r="AX5" s="179"/>
      <c r="AY5" s="179"/>
      <c r="AZ5" s="179"/>
      <c r="BA5" s="179"/>
      <c r="BB5" s="179"/>
      <c r="BC5" s="179"/>
      <c r="BD5" s="179"/>
      <c r="BE5" s="179"/>
      <c r="BF5" s="179"/>
      <c r="BG5" s="179"/>
      <c r="BH5" s="179"/>
      <c r="BI5" s="179"/>
      <c r="BJ5" s="179"/>
    </row>
    <row r="6" spans="1:62" s="5" customFormat="1" ht="15.65" customHeight="1" thickBot="1">
      <c r="A6" s="340" t="s">
        <v>29</v>
      </c>
      <c r="B6" s="7"/>
      <c r="C6" s="279">
        <f>IFERROR(IF(C12=Lister!A50,INDEX(Table22[Overhead],MATCH(C9,Table22[IV fra-dato],1)),IF(C8=Lister!O5,5,VLOOKUP(C5,Lister!I20:O52,5,FALSE))),0)</f>
        <v>0</v>
      </c>
      <c r="D6" s="558" t="s">
        <v>31</v>
      </c>
      <c r="E6" s="559"/>
      <c r="F6" s="559"/>
      <c r="G6" s="562" t="str">
        <f>IF(C8="Bench Fee","Salary, operations and Bench Fee",IFERROR(VLOOKUP(C5,Lister!I19:S52,9,FALSE),"Salary and operations"))</f>
        <v>Salary and operations</v>
      </c>
      <c r="H6" s="567"/>
      <c r="I6" s="75"/>
      <c r="J6" s="336"/>
      <c r="K6" s="336"/>
      <c r="L6" s="355"/>
      <c r="M6" s="396"/>
      <c r="N6" s="335" t="s">
        <v>673</v>
      </c>
      <c r="O6" s="395">
        <f>IFERROR(AC103/AC73,0)</f>
        <v>0</v>
      </c>
      <c r="P6" s="345"/>
      <c r="Q6" s="168"/>
      <c r="R6" s="356"/>
      <c r="S6" s="179"/>
      <c r="T6" s="179"/>
      <c r="U6" s="179"/>
      <c r="V6" s="179"/>
      <c r="W6" s="179"/>
      <c r="X6" s="179"/>
      <c r="Y6" s="179"/>
      <c r="Z6" s="179"/>
      <c r="AA6" s="179"/>
      <c r="AB6" s="179"/>
      <c r="AC6" s="179"/>
      <c r="AD6" s="179"/>
      <c r="AE6" s="179"/>
      <c r="AF6" s="179"/>
      <c r="AG6" s="179"/>
      <c r="AH6" s="179"/>
      <c r="AI6" s="179"/>
      <c r="AJ6" s="179"/>
      <c r="AK6" s="179"/>
      <c r="AL6" s="179"/>
      <c r="AM6" s="179"/>
      <c r="AN6" s="179"/>
      <c r="AO6" s="179"/>
      <c r="AP6" s="179"/>
      <c r="AQ6" s="179"/>
      <c r="AR6" s="179"/>
      <c r="AS6" s="179"/>
      <c r="AT6" s="179"/>
      <c r="AU6" s="179"/>
      <c r="AV6" s="179"/>
      <c r="AW6" s="179"/>
      <c r="AX6" s="179"/>
      <c r="AY6" s="179"/>
      <c r="AZ6" s="179"/>
      <c r="BA6" s="179"/>
      <c r="BB6" s="179"/>
      <c r="BC6" s="179"/>
      <c r="BD6" s="179"/>
      <c r="BE6" s="179"/>
      <c r="BF6" s="179"/>
      <c r="BG6" s="179"/>
      <c r="BH6" s="179"/>
      <c r="BI6" s="179"/>
      <c r="BJ6" s="179"/>
    </row>
    <row r="7" spans="1:62" s="5" customFormat="1" ht="15.65" customHeight="1">
      <c r="A7" s="340" t="s">
        <v>30</v>
      </c>
      <c r="B7" s="7"/>
      <c r="C7" s="279">
        <f>IFERROR(IF(C12=Lister!A50,1460,VLOOKUP(C5,Lister!I20:M52,3,FALSE)),0)</f>
        <v>0</v>
      </c>
      <c r="D7" s="550" t="s">
        <v>748</v>
      </c>
      <c r="E7" s="551"/>
      <c r="F7" s="552"/>
      <c r="G7" s="562" t="str">
        <f>IFERROR(VLOOKUP(C5,Lister!I19:S52,11,FALSE),"Salary and operations")</f>
        <v>Salary and operations</v>
      </c>
      <c r="H7" s="567"/>
      <c r="I7" s="72"/>
      <c r="J7" s="336"/>
      <c r="K7" s="336"/>
      <c r="L7" s="336"/>
      <c r="M7" s="336"/>
      <c r="N7" s="337"/>
      <c r="O7" s="345"/>
      <c r="P7" s="345"/>
      <c r="Q7" s="168"/>
      <c r="R7" s="168"/>
      <c r="S7" s="179"/>
      <c r="T7" s="179"/>
      <c r="U7" s="179"/>
      <c r="V7" s="179"/>
      <c r="W7" s="179"/>
      <c r="X7" s="179"/>
      <c r="Y7" s="179"/>
      <c r="Z7" s="179"/>
      <c r="AA7" s="179"/>
      <c r="AB7" s="179"/>
      <c r="AC7" s="179"/>
      <c r="AD7" s="179"/>
      <c r="AE7" s="179"/>
      <c r="AF7" s="179"/>
      <c r="AG7" s="179"/>
      <c r="AH7" s="179"/>
      <c r="AI7" s="179"/>
      <c r="AJ7" s="179"/>
      <c r="AK7" s="179"/>
      <c r="AL7" s="179"/>
      <c r="AM7" s="179"/>
      <c r="AN7" s="179"/>
      <c r="AO7" s="179"/>
      <c r="AP7" s="179"/>
      <c r="AQ7" s="179"/>
      <c r="AR7" s="179"/>
      <c r="AS7" s="179"/>
      <c r="AT7" s="179"/>
      <c r="AU7" s="179"/>
      <c r="AV7" s="179"/>
      <c r="AW7" s="179"/>
      <c r="AX7" s="179"/>
      <c r="AY7" s="179"/>
      <c r="AZ7" s="179"/>
      <c r="BA7" s="179"/>
      <c r="BB7" s="179"/>
      <c r="BC7" s="179"/>
      <c r="BD7" s="179"/>
      <c r="BE7" s="179"/>
      <c r="BF7" s="179"/>
      <c r="BG7" s="179"/>
      <c r="BH7" s="179"/>
      <c r="BI7" s="179"/>
      <c r="BJ7" s="179"/>
    </row>
    <row r="8" spans="1:62" s="5" customFormat="1" ht="15.65" customHeight="1">
      <c r="A8" s="4" t="s">
        <v>105</v>
      </c>
      <c r="B8" s="7"/>
      <c r="C8" s="544" t="str">
        <f>IFERROR((VLOOKUP(C5,Lister!I20:O52,7,FALSE)),"None")</f>
        <v>None</v>
      </c>
      <c r="D8" s="546"/>
      <c r="E8" s="4" t="s">
        <v>530</v>
      </c>
      <c r="F8" s="4"/>
      <c r="G8" s="346"/>
      <c r="H8" s="388"/>
      <c r="I8" s="69"/>
      <c r="J8" s="353"/>
      <c r="K8" s="353"/>
      <c r="L8" s="353"/>
      <c r="M8" s="4"/>
      <c r="N8" s="345"/>
      <c r="O8" s="345"/>
      <c r="P8" s="345"/>
      <c r="Q8" s="168"/>
      <c r="R8" s="168"/>
      <c r="S8" s="179"/>
      <c r="T8" s="179"/>
      <c r="U8" s="179"/>
      <c r="V8" s="179"/>
      <c r="W8" s="179"/>
      <c r="X8" s="179"/>
      <c r="Y8" s="179"/>
      <c r="Z8" s="179"/>
      <c r="AA8" s="179"/>
      <c r="AB8" s="179"/>
      <c r="AC8" s="179"/>
      <c r="AD8" s="179"/>
      <c r="AE8" s="179"/>
      <c r="AF8" s="179"/>
      <c r="AG8" s="179"/>
      <c r="AH8" s="179"/>
      <c r="AI8" s="179"/>
      <c r="AJ8" s="179"/>
      <c r="AK8" s="179"/>
      <c r="AL8" s="179"/>
      <c r="AM8" s="179"/>
      <c r="AN8" s="179"/>
      <c r="AO8" s="179"/>
      <c r="AP8" s="179"/>
      <c r="AQ8" s="179"/>
      <c r="AR8" s="179"/>
      <c r="AS8" s="179"/>
      <c r="AT8" s="179"/>
      <c r="AU8" s="179"/>
      <c r="AV8" s="179"/>
      <c r="AW8" s="179"/>
      <c r="AX8" s="179"/>
      <c r="AY8" s="179"/>
      <c r="AZ8" s="179"/>
      <c r="BA8" s="179"/>
      <c r="BB8" s="179"/>
      <c r="BC8" s="179"/>
      <c r="BD8" s="179"/>
      <c r="BE8" s="179"/>
      <c r="BF8" s="179"/>
      <c r="BG8" s="179"/>
      <c r="BH8" s="179"/>
      <c r="BI8" s="179"/>
      <c r="BJ8" s="179"/>
    </row>
    <row r="9" spans="1:62" s="5" customFormat="1" ht="15.65" customHeight="1" thickBot="1">
      <c r="A9" s="341" t="s">
        <v>1351</v>
      </c>
      <c r="B9" s="221"/>
      <c r="C9" s="390">
        <f>+'B1'!C9</f>
        <v>0</v>
      </c>
      <c r="D9" s="347"/>
      <c r="E9" s="341"/>
      <c r="F9" s="341"/>
      <c r="G9" s="349" t="s">
        <v>1352</v>
      </c>
      <c r="H9" s="390">
        <f>+'B1'!H9</f>
        <v>0</v>
      </c>
      <c r="I9" s="260"/>
      <c r="J9" s="353"/>
      <c r="K9" s="353"/>
      <c r="L9" s="353"/>
      <c r="M9" s="345"/>
      <c r="N9" s="345"/>
      <c r="O9" s="345"/>
      <c r="P9" s="345"/>
      <c r="Q9" s="168"/>
      <c r="R9" s="168"/>
      <c r="S9" s="179"/>
      <c r="T9" s="179"/>
      <c r="U9" s="179"/>
      <c r="V9" s="179"/>
      <c r="W9" s="179"/>
      <c r="X9" s="179"/>
      <c r="Y9" s="179"/>
      <c r="Z9" s="179"/>
      <c r="AA9" s="179"/>
      <c r="AB9" s="179"/>
      <c r="AC9" s="179"/>
      <c r="AD9" s="179"/>
      <c r="AE9" s="179"/>
      <c r="AF9" s="179"/>
      <c r="AG9" s="179"/>
      <c r="AH9" s="179"/>
      <c r="AI9" s="179"/>
      <c r="AJ9" s="179"/>
      <c r="AK9" s="179"/>
      <c r="AL9" s="179"/>
      <c r="AM9" s="179"/>
      <c r="AN9" s="179"/>
      <c r="AO9" s="179"/>
      <c r="AP9" s="179"/>
      <c r="AQ9" s="179"/>
      <c r="AR9" s="179"/>
      <c r="AS9" s="179"/>
      <c r="AT9" s="179"/>
      <c r="AU9" s="179"/>
      <c r="AV9" s="179"/>
      <c r="AW9" s="179"/>
      <c r="AX9" s="179"/>
      <c r="AY9" s="179"/>
      <c r="AZ9" s="179"/>
      <c r="BA9" s="179"/>
      <c r="BB9" s="179"/>
      <c r="BC9" s="179"/>
      <c r="BD9" s="179"/>
      <c r="BE9" s="179"/>
      <c r="BF9" s="179"/>
      <c r="BG9" s="179"/>
      <c r="BH9" s="179"/>
      <c r="BI9" s="179"/>
      <c r="BJ9" s="179"/>
    </row>
    <row r="10" spans="1:62" s="5" customFormat="1" ht="15.65" customHeight="1" thickBot="1">
      <c r="A10" s="4" t="s">
        <v>1248</v>
      </c>
      <c r="B10" s="221"/>
      <c r="C10" s="280" t="str">
        <f>+IF(OR(C2="FOOD",C2="BCE"),"Yes","No")</f>
        <v>No</v>
      </c>
      <c r="D10" s="348"/>
      <c r="E10" s="341"/>
      <c r="F10" s="341"/>
      <c r="G10" s="349" t="s">
        <v>1279</v>
      </c>
      <c r="H10" s="389">
        <f>+'B1'!H10</f>
        <v>0</v>
      </c>
      <c r="I10" s="108"/>
      <c r="J10" s="353"/>
      <c r="K10" s="353"/>
      <c r="L10" s="353"/>
      <c r="M10" s="350"/>
      <c r="N10" s="345"/>
      <c r="O10" s="345"/>
      <c r="P10" s="345"/>
      <c r="Q10" s="168"/>
      <c r="R10" s="168"/>
      <c r="S10" s="179"/>
      <c r="T10" s="179"/>
      <c r="U10" s="179"/>
      <c r="V10" s="179"/>
      <c r="W10" s="179"/>
      <c r="X10" s="179"/>
      <c r="Y10" s="179"/>
      <c r="Z10" s="179"/>
      <c r="AA10" s="179"/>
      <c r="AB10" s="179"/>
      <c r="AC10" s="179"/>
      <c r="AD10" s="179"/>
      <c r="AE10" s="179"/>
      <c r="AF10" s="179"/>
      <c r="AG10" s="179"/>
      <c r="AH10" s="179"/>
      <c r="AI10" s="179"/>
      <c r="AJ10" s="179"/>
      <c r="AK10" s="179"/>
      <c r="AL10" s="179"/>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row>
    <row r="11" spans="1:62" s="1" customFormat="1" ht="19.399999999999999" customHeight="1" thickBot="1">
      <c r="A11" s="342" t="s">
        <v>1237</v>
      </c>
      <c r="B11" s="261"/>
      <c r="C11" s="376"/>
      <c r="D11" s="377"/>
      <c r="E11" s="377"/>
      <c r="F11" s="377"/>
      <c r="G11" s="378"/>
      <c r="H11" s="378"/>
      <c r="I11" s="262"/>
      <c r="J11" s="358"/>
      <c r="K11" s="358"/>
      <c r="L11" s="358"/>
      <c r="M11" s="359"/>
      <c r="N11" s="359"/>
      <c r="O11" s="360"/>
      <c r="P11" s="361"/>
      <c r="Q11" s="362"/>
      <c r="R11" s="362"/>
      <c r="S11" s="352"/>
      <c r="T11" s="352"/>
      <c r="U11" s="352"/>
      <c r="V11" s="352"/>
      <c r="W11" s="352"/>
      <c r="X11" s="352"/>
      <c r="Y11" s="352"/>
      <c r="Z11" s="352"/>
      <c r="AA11" s="352"/>
      <c r="AB11" s="352"/>
      <c r="AC11" s="352"/>
      <c r="AD11" s="352"/>
      <c r="AE11" s="352"/>
      <c r="AF11" s="352"/>
      <c r="AG11" s="352"/>
      <c r="AH11" s="352"/>
      <c r="AI11" s="352"/>
      <c r="AJ11" s="352"/>
      <c r="AK11" s="352"/>
      <c r="AL11" s="352"/>
      <c r="AM11" s="352"/>
      <c r="AN11" s="352"/>
      <c r="AO11" s="352"/>
      <c r="AP11" s="352"/>
      <c r="AQ11" s="352"/>
      <c r="AR11" s="352"/>
      <c r="AS11" s="352"/>
      <c r="AT11" s="352"/>
      <c r="AU11" s="352"/>
      <c r="AV11" s="352"/>
      <c r="AW11" s="352"/>
      <c r="AX11" s="352"/>
      <c r="AY11" s="352"/>
      <c r="AZ11" s="352"/>
      <c r="BA11" s="352"/>
      <c r="BB11" s="352"/>
      <c r="BC11" s="352"/>
      <c r="BD11" s="352"/>
      <c r="BE11" s="352"/>
      <c r="BF11" s="352"/>
      <c r="BG11" s="352"/>
      <c r="BH11" s="352"/>
      <c r="BI11" s="352"/>
      <c r="BJ11" s="352"/>
    </row>
    <row r="12" spans="1:62" s="5" customFormat="1" ht="15.65" customHeight="1">
      <c r="A12" s="107" t="s">
        <v>749</v>
      </c>
      <c r="B12" s="7"/>
      <c r="C12" s="281"/>
      <c r="D12" s="551"/>
      <c r="E12" s="551"/>
      <c r="F12" s="551"/>
      <c r="G12" s="551"/>
      <c r="H12" s="379"/>
      <c r="I12" s="69"/>
      <c r="J12" s="564"/>
      <c r="K12" s="565"/>
      <c r="L12" s="565"/>
      <c r="M12" s="565"/>
      <c r="N12" s="565"/>
      <c r="O12" s="566"/>
      <c r="P12" s="363"/>
      <c r="Q12" s="168"/>
      <c r="R12" s="168"/>
      <c r="S12" s="179"/>
      <c r="T12" s="179"/>
      <c r="U12" s="179"/>
      <c r="V12" s="179"/>
      <c r="W12" s="179"/>
      <c r="X12" s="179"/>
      <c r="Y12" s="179"/>
      <c r="Z12" s="179"/>
      <c r="AA12" s="179"/>
      <c r="AB12" s="179"/>
      <c r="AC12" s="179"/>
      <c r="AD12" s="179"/>
      <c r="AE12" s="179"/>
      <c r="AF12" s="179"/>
      <c r="AG12" s="179"/>
      <c r="AH12" s="179"/>
      <c r="AI12" s="179"/>
      <c r="AJ12" s="179"/>
      <c r="AK12" s="179"/>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79"/>
    </row>
    <row r="13" spans="1:62" s="5" customFormat="1" ht="15.65" customHeight="1">
      <c r="A13" s="107" t="s">
        <v>531</v>
      </c>
      <c r="B13" s="7"/>
      <c r="C13" s="282">
        <f>+IF(C12=2,10,0)</f>
        <v>0</v>
      </c>
      <c r="D13" s="550"/>
      <c r="E13" s="551"/>
      <c r="F13" s="551"/>
      <c r="G13" s="551"/>
      <c r="H13" s="380"/>
      <c r="I13" s="86"/>
      <c r="J13" s="383"/>
      <c r="K13" s="383"/>
      <c r="L13" s="383"/>
      <c r="M13" s="383"/>
      <c r="N13" s="383"/>
      <c r="O13" s="384"/>
      <c r="P13" s="383"/>
      <c r="Q13" s="367"/>
      <c r="R13" s="367"/>
      <c r="S13" s="367" t="s">
        <v>607</v>
      </c>
      <c r="T13" s="367"/>
      <c r="U13" s="367"/>
      <c r="V13" s="367"/>
      <c r="W13" s="367"/>
      <c r="X13" s="367"/>
      <c r="Y13" s="179"/>
      <c r="Z13" s="179"/>
      <c r="AA13" s="179"/>
      <c r="AB13" s="179"/>
      <c r="AC13" s="179"/>
      <c r="AD13" s="179"/>
      <c r="AE13" s="179"/>
      <c r="AF13" s="179"/>
      <c r="AG13" s="179"/>
      <c r="AH13" s="179"/>
      <c r="AI13" s="179"/>
      <c r="AJ13" s="179"/>
      <c r="AK13" s="179"/>
      <c r="AL13" s="179"/>
      <c r="AM13" s="179"/>
      <c r="AN13" s="179"/>
      <c r="AO13" s="179"/>
      <c r="AP13" s="179"/>
      <c r="AQ13" s="179"/>
      <c r="AR13" s="179"/>
      <c r="AS13" s="179"/>
      <c r="AT13" s="179"/>
      <c r="AU13" s="179"/>
      <c r="AV13" s="179"/>
      <c r="AW13" s="179"/>
      <c r="AX13" s="179"/>
      <c r="AY13" s="179"/>
      <c r="AZ13" s="179"/>
      <c r="BA13" s="179"/>
      <c r="BB13" s="179"/>
      <c r="BC13" s="179"/>
      <c r="BD13" s="179"/>
      <c r="BE13" s="179"/>
      <c r="BF13" s="179"/>
      <c r="BG13" s="179"/>
      <c r="BH13" s="179"/>
      <c r="BI13" s="179"/>
      <c r="BJ13" s="179"/>
    </row>
    <row r="14" spans="1:62" s="5" customFormat="1" ht="29.25" customHeight="1">
      <c r="A14" s="4" t="s">
        <v>533</v>
      </c>
      <c r="B14" s="9"/>
      <c r="C14" s="282"/>
      <c r="D14" s="553" t="s">
        <v>713</v>
      </c>
      <c r="E14" s="554"/>
      <c r="F14" s="554"/>
      <c r="G14" s="554"/>
      <c r="H14" s="555"/>
      <c r="I14" s="283"/>
      <c r="J14" s="368"/>
      <c r="K14" s="369"/>
      <c r="L14" s="383"/>
      <c r="M14" s="383"/>
      <c r="N14" s="383"/>
      <c r="O14" s="384"/>
      <c r="P14" s="383"/>
      <c r="Q14" s="367"/>
      <c r="R14" s="367"/>
      <c r="S14" s="367"/>
      <c r="T14" s="367"/>
      <c r="U14" s="367"/>
      <c r="V14" s="367"/>
      <c r="W14" s="367"/>
      <c r="X14" s="367"/>
      <c r="Y14" s="179"/>
      <c r="Z14" s="179"/>
      <c r="AA14" s="179"/>
      <c r="AB14" s="179"/>
      <c r="AC14" s="179"/>
      <c r="AD14" s="179"/>
      <c r="AE14" s="179"/>
      <c r="AF14" s="179"/>
      <c r="AG14" s="179"/>
      <c r="AH14" s="179"/>
      <c r="AI14" s="179"/>
      <c r="AJ14" s="179"/>
      <c r="AK14" s="179"/>
      <c r="AL14" s="179"/>
      <c r="AM14" s="179"/>
      <c r="AN14" s="179"/>
      <c r="AO14" s="179"/>
      <c r="AP14" s="179"/>
      <c r="AQ14" s="179"/>
      <c r="AR14" s="179"/>
      <c r="AS14" s="179"/>
      <c r="AT14" s="179"/>
      <c r="AU14" s="179"/>
      <c r="AV14" s="179"/>
      <c r="AW14" s="179"/>
      <c r="AX14" s="179"/>
      <c r="AY14" s="179"/>
      <c r="AZ14" s="179"/>
      <c r="BA14" s="179"/>
      <c r="BB14" s="179"/>
      <c r="BC14" s="179"/>
      <c r="BD14" s="179"/>
      <c r="BE14" s="179"/>
      <c r="BF14" s="179"/>
      <c r="BG14" s="179"/>
      <c r="BH14" s="179"/>
      <c r="BI14" s="179"/>
      <c r="BJ14" s="179"/>
    </row>
    <row r="15" spans="1:62" s="5" customFormat="1" ht="15.65" customHeight="1">
      <c r="A15" s="107" t="s">
        <v>534</v>
      </c>
      <c r="B15" s="7"/>
      <c r="C15" s="282"/>
      <c r="D15" s="382"/>
      <c r="E15" s="370"/>
      <c r="F15" s="370"/>
      <c r="G15" s="370"/>
      <c r="H15" s="370"/>
      <c r="I15" s="250"/>
      <c r="J15" s="370"/>
      <c r="K15" s="370"/>
      <c r="L15" s="363"/>
      <c r="M15" s="383"/>
      <c r="N15" s="383"/>
      <c r="O15" s="384"/>
      <c r="P15" s="383"/>
      <c r="Q15" s="367"/>
      <c r="R15" s="367"/>
      <c r="S15" s="367"/>
      <c r="T15" s="367"/>
      <c r="U15" s="367"/>
      <c r="V15" s="367"/>
      <c r="W15" s="367"/>
      <c r="X15" s="367"/>
      <c r="Y15" s="179"/>
      <c r="Z15" s="179"/>
      <c r="AA15" s="179"/>
      <c r="AB15" s="179"/>
      <c r="AC15" s="179"/>
      <c r="AD15" s="179"/>
      <c r="AE15" s="179"/>
      <c r="AF15" s="179"/>
      <c r="AG15" s="179"/>
      <c r="AH15" s="179"/>
      <c r="AI15" s="179"/>
      <c r="AJ15" s="179"/>
      <c r="AK15" s="179"/>
      <c r="AL15" s="179"/>
      <c r="AM15" s="179"/>
      <c r="AN15" s="179"/>
      <c r="AO15" s="179"/>
      <c r="AP15" s="179"/>
      <c r="AQ15" s="179"/>
      <c r="AR15" s="179"/>
      <c r="AS15" s="179"/>
      <c r="AT15" s="179"/>
      <c r="AU15" s="179"/>
      <c r="AV15" s="179"/>
      <c r="AW15" s="179"/>
      <c r="AX15" s="179"/>
      <c r="AY15" s="179"/>
      <c r="AZ15" s="179"/>
      <c r="BA15" s="179"/>
      <c r="BB15" s="179"/>
      <c r="BC15" s="179"/>
      <c r="BD15" s="179"/>
      <c r="BE15" s="179"/>
      <c r="BF15" s="179"/>
      <c r="BG15" s="179"/>
      <c r="BH15" s="179"/>
      <c r="BI15" s="179"/>
      <c r="BJ15" s="179"/>
    </row>
    <row r="16" spans="1:62" s="5" customFormat="1" ht="27" customHeight="1">
      <c r="A16" s="107" t="s">
        <v>750</v>
      </c>
      <c r="B16" s="7"/>
      <c r="C16" s="282"/>
      <c r="D16" s="553" t="s">
        <v>2085</v>
      </c>
      <c r="E16" s="556"/>
      <c r="F16" s="556"/>
      <c r="G16" s="556"/>
      <c r="H16" s="557"/>
      <c r="I16" s="284"/>
      <c r="J16" s="368"/>
      <c r="K16" s="369"/>
      <c r="L16" s="371"/>
      <c r="M16" s="371"/>
      <c r="N16" s="371"/>
      <c r="O16" s="372"/>
      <c r="P16" s="373"/>
      <c r="Q16" s="168"/>
      <c r="R16" s="168"/>
      <c r="S16" s="179"/>
      <c r="T16" s="179"/>
      <c r="U16" s="179"/>
      <c r="V16" s="179"/>
      <c r="W16" s="179"/>
      <c r="X16" s="179"/>
      <c r="Y16" s="179"/>
      <c r="Z16" s="179"/>
      <c r="AA16" s="179"/>
      <c r="AB16" s="179"/>
      <c r="AC16" s="179"/>
      <c r="AD16" s="179"/>
      <c r="AE16" s="179"/>
      <c r="AF16" s="179"/>
      <c r="AG16" s="179"/>
      <c r="AH16" s="179"/>
      <c r="AI16" s="179"/>
      <c r="AJ16" s="179"/>
      <c r="AK16" s="179"/>
      <c r="AL16" s="179"/>
      <c r="AM16" s="179"/>
      <c r="AN16" s="179"/>
      <c r="AO16" s="179"/>
      <c r="AP16" s="179"/>
      <c r="AQ16" s="179"/>
      <c r="AR16" s="179"/>
      <c r="AS16" s="179"/>
      <c r="AT16" s="179"/>
      <c r="AU16" s="179"/>
      <c r="AV16" s="179"/>
      <c r="AW16" s="179"/>
      <c r="AX16" s="179"/>
      <c r="AY16" s="179"/>
      <c r="AZ16" s="179"/>
      <c r="BA16" s="179"/>
      <c r="BB16" s="179"/>
      <c r="BC16" s="179"/>
      <c r="BD16" s="179"/>
      <c r="BE16" s="179"/>
      <c r="BF16" s="179"/>
      <c r="BG16" s="179"/>
      <c r="BH16" s="179"/>
      <c r="BI16" s="179"/>
      <c r="BJ16" s="179"/>
    </row>
    <row r="17" spans="1:62" ht="15.65" customHeight="1" thickBot="1">
      <c r="A17" s="343"/>
      <c r="B17" s="108"/>
      <c r="C17" s="246"/>
      <c r="D17" s="109"/>
      <c r="E17" s="247"/>
      <c r="F17" s="247"/>
      <c r="G17" s="247"/>
      <c r="H17" s="248"/>
      <c r="I17" s="248"/>
      <c r="J17" s="248"/>
      <c r="K17" s="248"/>
      <c r="L17" s="248"/>
      <c r="M17" s="248"/>
      <c r="N17" s="248"/>
      <c r="O17" s="249"/>
      <c r="P17" s="117"/>
      <c r="Q17" s="71"/>
      <c r="R17" s="71"/>
      <c r="S17" s="70"/>
      <c r="T17" s="70"/>
      <c r="U17" s="70"/>
      <c r="V17" s="70"/>
      <c r="W17" s="70"/>
      <c r="X17" s="70"/>
      <c r="Y17" s="70"/>
      <c r="Z17" s="70"/>
      <c r="AA17" s="70"/>
      <c r="AB17" s="70"/>
      <c r="AC17" s="70"/>
      <c r="AD17" s="70"/>
      <c r="AE17" s="70"/>
      <c r="AF17" s="70"/>
      <c r="AG17" s="70"/>
      <c r="AH17" s="70"/>
      <c r="AI17" s="70"/>
      <c r="AJ17" s="70"/>
      <c r="AK17" s="70"/>
      <c r="AL17" s="70"/>
      <c r="AM17" s="70"/>
      <c r="AN17" s="70"/>
      <c r="AO17" s="70"/>
      <c r="AP17" s="70"/>
      <c r="AQ17" s="70"/>
      <c r="AR17" s="70"/>
      <c r="AS17" s="70"/>
      <c r="AT17" s="70"/>
      <c r="AU17" s="70"/>
      <c r="AV17" s="70"/>
      <c r="AW17" s="70"/>
      <c r="AX17" s="70"/>
      <c r="AY17" s="70"/>
      <c r="AZ17" s="70"/>
      <c r="BA17" s="70"/>
      <c r="BB17" s="70"/>
      <c r="BC17" s="70"/>
      <c r="BD17" s="70"/>
      <c r="BE17" s="70"/>
      <c r="BF17" s="70"/>
      <c r="BG17" s="70"/>
      <c r="BH17" s="70"/>
      <c r="BI17" s="70"/>
      <c r="BJ17" s="70"/>
    </row>
    <row r="18" spans="1:62" ht="15.65" customHeight="1">
      <c r="A18" s="63"/>
      <c r="D18" s="9"/>
      <c r="V18" s="229" t="s">
        <v>608</v>
      </c>
      <c r="AE18" s="29" t="s">
        <v>90</v>
      </c>
      <c r="AF18" s="29" t="s">
        <v>89</v>
      </c>
      <c r="AH18" s="29" t="s">
        <v>90</v>
      </c>
      <c r="AI18" s="29" t="s">
        <v>89</v>
      </c>
      <c r="AK18" s="29" t="s">
        <v>90</v>
      </c>
      <c r="AL18" s="29" t="s">
        <v>89</v>
      </c>
      <c r="AN18" s="29" t="s">
        <v>90</v>
      </c>
      <c r="AO18" s="29" t="s">
        <v>89</v>
      </c>
      <c r="AQ18" s="29" t="s">
        <v>90</v>
      </c>
      <c r="AR18" s="29" t="s">
        <v>89</v>
      </c>
      <c r="AT18" s="29" t="s">
        <v>90</v>
      </c>
      <c r="AU18" s="29" t="s">
        <v>89</v>
      </c>
      <c r="AW18" s="29" t="s">
        <v>90</v>
      </c>
      <c r="AX18" s="29" t="s">
        <v>89</v>
      </c>
      <c r="AZ18" s="29" t="s">
        <v>90</v>
      </c>
      <c r="BA18" s="29" t="s">
        <v>89</v>
      </c>
      <c r="BC18" s="29" t="s">
        <v>90</v>
      </c>
      <c r="BD18" s="29" t="s">
        <v>89</v>
      </c>
      <c r="BF18" s="29" t="s">
        <v>90</v>
      </c>
      <c r="BG18" s="29" t="s">
        <v>89</v>
      </c>
      <c r="BI18" s="29" t="s">
        <v>90</v>
      </c>
      <c r="BJ18" s="29" t="s">
        <v>89</v>
      </c>
    </row>
    <row r="19" spans="1:62" ht="15.65" customHeight="1">
      <c r="A19" s="4" t="s">
        <v>79</v>
      </c>
      <c r="B19" s="8"/>
      <c r="C19" s="45">
        <f>+Takstblad!C3</f>
        <v>2026</v>
      </c>
      <c r="D19" s="8">
        <f t="shared" ref="D19:L19" si="0">+C19+1</f>
        <v>2027</v>
      </c>
      <c r="E19" s="8">
        <f t="shared" si="0"/>
        <v>2028</v>
      </c>
      <c r="F19" s="8">
        <f t="shared" si="0"/>
        <v>2029</v>
      </c>
      <c r="G19" s="8">
        <f t="shared" si="0"/>
        <v>2030</v>
      </c>
      <c r="H19" s="8">
        <f t="shared" si="0"/>
        <v>2031</v>
      </c>
      <c r="I19" s="8">
        <f t="shared" si="0"/>
        <v>2032</v>
      </c>
      <c r="J19" s="8">
        <f t="shared" si="0"/>
        <v>2033</v>
      </c>
      <c r="K19" s="8">
        <f t="shared" si="0"/>
        <v>2034</v>
      </c>
      <c r="L19" s="8">
        <f t="shared" si="0"/>
        <v>2035</v>
      </c>
      <c r="M19" s="8" t="s">
        <v>34</v>
      </c>
      <c r="N19" s="8" t="s">
        <v>33</v>
      </c>
      <c r="O19" s="8" t="s">
        <v>111</v>
      </c>
      <c r="P19" s="8"/>
      <c r="Q19" s="23" t="s">
        <v>73</v>
      </c>
      <c r="R19" s="4" t="s">
        <v>34</v>
      </c>
      <c r="S19" s="45">
        <f t="shared" ref="S19:AB19" si="1">+C19</f>
        <v>2026</v>
      </c>
      <c r="T19" s="8">
        <f t="shared" si="1"/>
        <v>2027</v>
      </c>
      <c r="U19" s="8">
        <f t="shared" si="1"/>
        <v>2028</v>
      </c>
      <c r="V19" s="8">
        <f t="shared" si="1"/>
        <v>2029</v>
      </c>
      <c r="W19" s="8">
        <f t="shared" si="1"/>
        <v>2030</v>
      </c>
      <c r="X19" s="8">
        <f t="shared" si="1"/>
        <v>2031</v>
      </c>
      <c r="Y19" s="8">
        <f t="shared" si="1"/>
        <v>2032</v>
      </c>
      <c r="Z19" s="8">
        <f t="shared" si="1"/>
        <v>2033</v>
      </c>
      <c r="AA19" s="8">
        <f t="shared" si="1"/>
        <v>2034</v>
      </c>
      <c r="AB19" s="8">
        <f t="shared" si="1"/>
        <v>2035</v>
      </c>
      <c r="AC19" s="4" t="s">
        <v>34</v>
      </c>
      <c r="AE19" s="549" t="s">
        <v>34</v>
      </c>
      <c r="AF19" s="548"/>
      <c r="AH19" s="547">
        <f>+S19</f>
        <v>2026</v>
      </c>
      <c r="AI19" s="548"/>
      <c r="AJ19" s="221"/>
      <c r="AK19" s="549">
        <f>+T19</f>
        <v>2027</v>
      </c>
      <c r="AL19" s="548"/>
      <c r="AM19" s="221"/>
      <c r="AN19" s="549">
        <f>+U19</f>
        <v>2028</v>
      </c>
      <c r="AO19" s="548"/>
      <c r="AQ19" s="549">
        <f>+V19</f>
        <v>2029</v>
      </c>
      <c r="AR19" s="548"/>
      <c r="AS19" s="221"/>
      <c r="AT19" s="549">
        <f>+W19</f>
        <v>2030</v>
      </c>
      <c r="AU19" s="548"/>
      <c r="AW19" s="549">
        <f>+X19</f>
        <v>2031</v>
      </c>
      <c r="AX19" s="548"/>
      <c r="AY19" s="221"/>
      <c r="AZ19" s="549">
        <f>Y19</f>
        <v>2032</v>
      </c>
      <c r="BA19" s="548"/>
      <c r="BB19" s="221"/>
      <c r="BC19" s="549">
        <f>+Z19</f>
        <v>2033</v>
      </c>
      <c r="BD19" s="548"/>
      <c r="BE19" s="221"/>
      <c r="BF19" s="549">
        <f>+AA19</f>
        <v>2034</v>
      </c>
      <c r="BG19" s="548"/>
      <c r="BH19" s="221"/>
      <c r="BI19" s="549">
        <f>+AB19</f>
        <v>2035</v>
      </c>
      <c r="BJ19" s="548"/>
    </row>
    <row r="20" spans="1:62" ht="15.65" customHeight="1">
      <c r="A20" s="212" t="s">
        <v>1238</v>
      </c>
      <c r="B20" s="213" t="str">
        <f>+VLOOKUP(A20,Takstblad!$A$5:$B$30,2,FALSE)</f>
        <v/>
      </c>
      <c r="C20" s="285"/>
      <c r="D20" s="285"/>
      <c r="E20" s="285"/>
      <c r="F20" s="285"/>
      <c r="G20" s="285"/>
      <c r="H20" s="285"/>
      <c r="I20" s="285"/>
      <c r="J20" s="285"/>
      <c r="K20" s="285"/>
      <c r="L20" s="285"/>
      <c r="M20" s="19">
        <f>SUM(C20:L20)</f>
        <v>0</v>
      </c>
      <c r="N20" s="285"/>
      <c r="O20" s="285" t="s">
        <v>113</v>
      </c>
      <c r="P20" s="212"/>
      <c r="Q20" s="214"/>
      <c r="R20" s="216">
        <f>+AC20</f>
        <v>0</v>
      </c>
      <c r="S20" s="215">
        <f>+IFERROR(IF(S$19=Takstblad!C$3,VLOOKUP($A20,takstblad,3,FALSE)*C20,"fejl i år"),0)</f>
        <v>0</v>
      </c>
      <c r="T20" s="215">
        <f>+IFERROR(IF(T$19=Takstblad!D$3,VLOOKUP($A20,takstblad,4,FALSE)*D20,"fejl i år"),0)</f>
        <v>0</v>
      </c>
      <c r="U20" s="215">
        <f>+IFERROR(IF(U$19=Takstblad!E$3,VLOOKUP($A20,takstblad,5,FALSE)*E20,"fejl i år"),0)</f>
        <v>0</v>
      </c>
      <c r="V20" s="215">
        <f>+IFERROR(IF(V$19=Takstblad!F$3,VLOOKUP($A20,takstblad,6,FALSE)*F20,"fejl i år"),0)</f>
        <v>0</v>
      </c>
      <c r="W20" s="215">
        <f>+IFERROR(IF(W$19=Takstblad!G$3,VLOOKUP($A20,takstblad,7,FALSE)*G20,"fejl i år"),0)</f>
        <v>0</v>
      </c>
      <c r="X20" s="215">
        <f>+IFERROR(IF(X$19=Takstblad!H$3,VLOOKUP($A20,takstblad,8,FALSE)*H20,"fejl i år"),0)</f>
        <v>0</v>
      </c>
      <c r="Y20" s="215">
        <f>+IFERROR(IF(Y$19=Takstblad!I$3,VLOOKUP($A20,takstblad,9,FALSE)*I20,"fejl i år"),0)</f>
        <v>0</v>
      </c>
      <c r="Z20" s="215">
        <f>+IFERROR(IF(Z$19=Takstblad!J$3,VLOOKUP($A20,takstblad,10,FALSE)*J20,"fejl i år"),0)</f>
        <v>0</v>
      </c>
      <c r="AA20" s="215">
        <f>+IFERROR(IF(AA$19=Takstblad!K$3,VLOOKUP($A20,takstblad,11,FALSE)*K20,"fejl i år"),0)</f>
        <v>0</v>
      </c>
      <c r="AB20" s="215">
        <f>+IFERROR(IF(AB$19=Takstblad!L$3,VLOOKUP($A20,takstblad,12,FALSE)*L20,"fejl i år"),0)</f>
        <v>0</v>
      </c>
      <c r="AC20" s="216">
        <f>SUM(S20:AB20)</f>
        <v>0</v>
      </c>
      <c r="AD20" s="221"/>
      <c r="AE20" s="217">
        <f>+M20*($C$7/12)</f>
        <v>0</v>
      </c>
      <c r="AF20" s="217">
        <f>IFERROR(AC20/AE20,0)</f>
        <v>0</v>
      </c>
      <c r="AG20" s="221"/>
      <c r="AH20" s="217">
        <f>+C20*($C$7/12)</f>
        <v>0</v>
      </c>
      <c r="AI20" s="217">
        <f t="shared" ref="AI20:AI29" si="2">IFERROR(S20/AH20,0)</f>
        <v>0</v>
      </c>
      <c r="AJ20" s="221"/>
      <c r="AK20" s="217">
        <f>+D20*($C$7/12)</f>
        <v>0</v>
      </c>
      <c r="AL20" s="217">
        <f>IFERROR(T20/AK20,0)</f>
        <v>0</v>
      </c>
      <c r="AM20" s="221"/>
      <c r="AN20" s="217">
        <f>+E20*($C$7/12)</f>
        <v>0</v>
      </c>
      <c r="AO20" s="217">
        <f>IFERROR(U20/AN20,0)</f>
        <v>0</v>
      </c>
      <c r="AP20" s="221"/>
      <c r="AQ20" s="217">
        <f>+F20*($C$7/12)</f>
        <v>0</v>
      </c>
      <c r="AR20" s="217">
        <f>IFERROR(V20/AQ20,0)</f>
        <v>0</v>
      </c>
      <c r="AS20" s="221"/>
      <c r="AT20" s="217">
        <f>+G20*($C$7/12)</f>
        <v>0</v>
      </c>
      <c r="AU20" s="217">
        <f>IFERROR(W20/AT20,0)</f>
        <v>0</v>
      </c>
      <c r="AV20" s="221"/>
      <c r="AW20" s="217">
        <f>+H20*($C$7/12)</f>
        <v>0</v>
      </c>
      <c r="AX20" s="217">
        <f>IFERROR(X20/AW20,0)</f>
        <v>0</v>
      </c>
      <c r="AY20" s="221"/>
      <c r="AZ20" s="217">
        <f>+I20*($C$7/12)</f>
        <v>0</v>
      </c>
      <c r="BA20" s="217">
        <f t="shared" ref="BA20:BA29" si="3">IFERROR(Y20/AZ20,0)</f>
        <v>0</v>
      </c>
      <c r="BB20" s="221"/>
      <c r="BC20" s="217">
        <f>+J20*($C$7/12)</f>
        <v>0</v>
      </c>
      <c r="BD20" s="217">
        <f t="shared" ref="BD20:BD28" si="4">IFERROR(Z20/BC20,0)</f>
        <v>0</v>
      </c>
      <c r="BE20" s="221"/>
      <c r="BF20" s="217">
        <f>+K20*($C$7/12)</f>
        <v>0</v>
      </c>
      <c r="BG20" s="217">
        <f>IFERROR(AA20/BF20,0)</f>
        <v>0</v>
      </c>
      <c r="BH20" s="221"/>
      <c r="BI20" s="217">
        <f>+L20*($C$7/12)</f>
        <v>0</v>
      </c>
      <c r="BJ20" s="217">
        <f>IFERROR(AB20/BI20,0)</f>
        <v>0</v>
      </c>
    </row>
    <row r="21" spans="1:62" ht="15.65" customHeight="1">
      <c r="A21" s="7" t="s">
        <v>1238</v>
      </c>
      <c r="B21" s="4" t="str">
        <f>+VLOOKUP(A21,Takstblad!$A$5:$B$30,2,FALSE)</f>
        <v/>
      </c>
      <c r="C21" s="285"/>
      <c r="D21" s="285"/>
      <c r="E21" s="285"/>
      <c r="F21" s="285"/>
      <c r="G21" s="285"/>
      <c r="H21" s="285"/>
      <c r="I21" s="285"/>
      <c r="J21" s="285"/>
      <c r="K21" s="285"/>
      <c r="L21" s="285"/>
      <c r="M21" s="19">
        <f t="shared" ref="M21:M29" si="5">SUM(C21:L21)</f>
        <v>0</v>
      </c>
      <c r="N21" s="285"/>
      <c r="O21" s="285" t="s">
        <v>113</v>
      </c>
      <c r="Q21" s="24"/>
      <c r="R21" s="21">
        <f t="shared" ref="R21:R29" si="6">+AC21</f>
        <v>0</v>
      </c>
      <c r="S21" s="25">
        <f>+IFERROR(IF(S$19=Takstblad!C$3,VLOOKUP($A21,takstblad,3,FALSE)*C21,"fejl i år"),0)</f>
        <v>0</v>
      </c>
      <c r="T21" s="25">
        <f>+IFERROR(IF(T$19=Takstblad!D$3,VLOOKUP($A21,takstblad,4,FALSE)*D21,"fejl i år"),0)</f>
        <v>0</v>
      </c>
      <c r="U21" s="25">
        <f>+IFERROR(IF(U$19=Takstblad!E$3,VLOOKUP($A21,takstblad,5,FALSE)*E21,"fejl i år"),0)</f>
        <v>0</v>
      </c>
      <c r="V21" s="25">
        <f>+IFERROR(IF(V$19=Takstblad!F$3,VLOOKUP($A21,takstblad,6,FALSE)*F21,"fejl i år"),0)</f>
        <v>0</v>
      </c>
      <c r="W21" s="25">
        <f>+IFERROR(IF(W$19=Takstblad!G$3,VLOOKUP($A21,takstblad,7,FALSE)*G21,"fejl i år"),0)</f>
        <v>0</v>
      </c>
      <c r="X21" s="25">
        <f>+IFERROR(IF(X$19=Takstblad!H$3,VLOOKUP($A21,takstblad,8,FALSE)*H21,"fejl i år"),0)</f>
        <v>0</v>
      </c>
      <c r="Y21" s="25">
        <f>+IFERROR(IF(Y$19=Takstblad!I$3,VLOOKUP($A21,takstblad,9,FALSE)*I21,"fejl i år"),0)</f>
        <v>0</v>
      </c>
      <c r="Z21" s="25">
        <f>+IFERROR(IF(Z$19=Takstblad!J$3,VLOOKUP($A21,takstblad,10,FALSE)*J21,"fejl i år"),0)</f>
        <v>0</v>
      </c>
      <c r="AA21" s="25">
        <f>+IFERROR(IF(AA$19=Takstblad!K$3,VLOOKUP($A21,takstblad,11,FALSE)*K21,"fejl i år"),0)</f>
        <v>0</v>
      </c>
      <c r="AB21" s="25">
        <f>+IFERROR(IF(AB$19=Takstblad!L$3,VLOOKUP($A21,takstblad,12,FALSE)*L21,"fejl i år"),0)</f>
        <v>0</v>
      </c>
      <c r="AC21" s="21">
        <f t="shared" ref="AC21:AC39" si="7">SUM(S21:AB21)</f>
        <v>0</v>
      </c>
      <c r="AD21" s="221"/>
      <c r="AE21" s="25">
        <f t="shared" ref="AE21:AE29" si="8">+M21*($C$7/12)</f>
        <v>0</v>
      </c>
      <c r="AF21" s="25">
        <f t="shared" ref="AF21:AF29" si="9">IFERROR(AC21/AE21,0)</f>
        <v>0</v>
      </c>
      <c r="AG21" s="221"/>
      <c r="AH21" s="25">
        <f t="shared" ref="AH21:AH29" si="10">+C21*($C$7/12)</f>
        <v>0</v>
      </c>
      <c r="AI21" s="25">
        <f t="shared" si="2"/>
        <v>0</v>
      </c>
      <c r="AJ21" s="221"/>
      <c r="AK21" s="25">
        <f t="shared" ref="AK21:AK29" si="11">+D21*($C$7/12)</f>
        <v>0</v>
      </c>
      <c r="AL21" s="25">
        <f t="shared" ref="AL21:AL40" si="12">IFERROR(T21/AK21,0)</f>
        <v>0</v>
      </c>
      <c r="AM21" s="221"/>
      <c r="AN21" s="25">
        <f t="shared" ref="AN21:AN29" si="13">+E21*($C$7/12)</f>
        <v>0</v>
      </c>
      <c r="AO21" s="25">
        <f t="shared" ref="AO21:AO40" si="14">IFERROR(U21/AN21,0)</f>
        <v>0</v>
      </c>
      <c r="AP21" s="221"/>
      <c r="AQ21" s="25">
        <f t="shared" ref="AQ21:AQ29" si="15">+F21*($C$7/12)</f>
        <v>0</v>
      </c>
      <c r="AR21" s="25">
        <f t="shared" ref="AR21:AR40" si="16">IFERROR(V21/AQ21,0)</f>
        <v>0</v>
      </c>
      <c r="AS21" s="221"/>
      <c r="AT21" s="25">
        <f t="shared" ref="AT21:AT29" si="17">+G21*($C$7/12)</f>
        <v>0</v>
      </c>
      <c r="AU21" s="25">
        <f t="shared" ref="AU21:AU40" si="18">IFERROR(W21/AT21,0)</f>
        <v>0</v>
      </c>
      <c r="AV21" s="221"/>
      <c r="AW21" s="25">
        <f t="shared" ref="AW21:AW29" si="19">+H21*($C$7/12)</f>
        <v>0</v>
      </c>
      <c r="AX21" s="25">
        <f t="shared" ref="AX21:AX29" si="20">IFERROR(X21/AW21,0)</f>
        <v>0</v>
      </c>
      <c r="AY21" s="221"/>
      <c r="AZ21" s="25">
        <f t="shared" ref="AZ21:AZ29" si="21">+I21*($C$7/12)</f>
        <v>0</v>
      </c>
      <c r="BA21" s="25">
        <f t="shared" si="3"/>
        <v>0</v>
      </c>
      <c r="BB21" s="221"/>
      <c r="BC21" s="25">
        <f t="shared" ref="BC21:BC29" si="22">+J21*($C$7/12)</f>
        <v>0</v>
      </c>
      <c r="BD21" s="25">
        <f t="shared" si="4"/>
        <v>0</v>
      </c>
      <c r="BE21" s="221"/>
      <c r="BF21" s="25">
        <f t="shared" ref="BF21:BF29" si="23">+K21*($C$7/12)</f>
        <v>0</v>
      </c>
      <c r="BG21" s="25">
        <f t="shared" ref="BG21:BG29" si="24">IFERROR(AA21/BF21,0)</f>
        <v>0</v>
      </c>
      <c r="BH21" s="221"/>
      <c r="BI21" s="25">
        <f t="shared" ref="BI21:BI29" si="25">+L21*($C$7/12)</f>
        <v>0</v>
      </c>
      <c r="BJ21" s="25">
        <f t="shared" ref="BJ21:BJ29" si="26">IFERROR(AB21/BI21,0)</f>
        <v>0</v>
      </c>
    </row>
    <row r="22" spans="1:62" ht="15.65" customHeight="1">
      <c r="A22" s="212" t="s">
        <v>1238</v>
      </c>
      <c r="B22" s="213" t="str">
        <f>+VLOOKUP(A22,Takstblad!$A$5:$B$30,2,FALSE)</f>
        <v/>
      </c>
      <c r="C22" s="285"/>
      <c r="D22" s="285"/>
      <c r="E22" s="285"/>
      <c r="F22" s="285"/>
      <c r="G22" s="285"/>
      <c r="H22" s="285"/>
      <c r="I22" s="285"/>
      <c r="J22" s="285"/>
      <c r="K22" s="285"/>
      <c r="L22" s="285"/>
      <c r="M22" s="19">
        <f t="shared" si="5"/>
        <v>0</v>
      </c>
      <c r="N22" s="285"/>
      <c r="O22" s="285" t="s">
        <v>113</v>
      </c>
      <c r="P22" s="212"/>
      <c r="Q22" s="214"/>
      <c r="R22" s="216">
        <f t="shared" si="6"/>
        <v>0</v>
      </c>
      <c r="S22" s="215">
        <f>+IFERROR(IF(S$19=Takstblad!C$3,VLOOKUP($A22,takstblad,3,FALSE)*C22,"fejl i år"),0)</f>
        <v>0</v>
      </c>
      <c r="T22" s="215">
        <f>+IFERROR(IF(T$19=Takstblad!D$3,VLOOKUP($A22,takstblad,4,FALSE)*D22,"fejl i år"),0)</f>
        <v>0</v>
      </c>
      <c r="U22" s="215">
        <f>+IFERROR(IF(U$19=Takstblad!E$3,VLOOKUP($A22,takstblad,5,FALSE)*E22,"fejl i år"),0)</f>
        <v>0</v>
      </c>
      <c r="V22" s="215">
        <f>+IFERROR(IF(V$19=Takstblad!F$3,VLOOKUP($A22,takstblad,6,FALSE)*F22,"fejl i år"),0)</f>
        <v>0</v>
      </c>
      <c r="W22" s="215">
        <f>+IFERROR(IF(W$19=Takstblad!G$3,VLOOKUP($A22,takstblad,7,FALSE)*G22,"fejl i år"),0)</f>
        <v>0</v>
      </c>
      <c r="X22" s="215">
        <f>+IFERROR(IF(X$19=Takstblad!H$3,VLOOKUP($A22,takstblad,8,FALSE)*H22,"fejl i år"),0)</f>
        <v>0</v>
      </c>
      <c r="Y22" s="215">
        <f>+IFERROR(IF(Y$19=Takstblad!I$3,VLOOKUP($A22,takstblad,9,FALSE)*I22,"fejl i år"),0)</f>
        <v>0</v>
      </c>
      <c r="Z22" s="215">
        <f>+IFERROR(IF(Z$19=Takstblad!J$3,VLOOKUP($A22,takstblad,10,FALSE)*J22,"fejl i år"),0)</f>
        <v>0</v>
      </c>
      <c r="AA22" s="215">
        <f>+IFERROR(IF(AA$19=Takstblad!K$3,VLOOKUP($A22,takstblad,11,FALSE)*K22,"fejl i år"),0)</f>
        <v>0</v>
      </c>
      <c r="AB22" s="215">
        <f>+IFERROR(IF(AB$19=Takstblad!L$3,VLOOKUP($A22,takstblad,12,FALSE)*L22,"fejl i år"),0)</f>
        <v>0</v>
      </c>
      <c r="AC22" s="216">
        <f t="shared" si="7"/>
        <v>0</v>
      </c>
      <c r="AD22" s="221"/>
      <c r="AE22" s="217">
        <f t="shared" si="8"/>
        <v>0</v>
      </c>
      <c r="AF22" s="217">
        <f t="shared" si="9"/>
        <v>0</v>
      </c>
      <c r="AG22" s="221"/>
      <c r="AH22" s="217">
        <f t="shared" si="10"/>
        <v>0</v>
      </c>
      <c r="AI22" s="217">
        <f t="shared" si="2"/>
        <v>0</v>
      </c>
      <c r="AJ22" s="221"/>
      <c r="AK22" s="217">
        <f t="shared" si="11"/>
        <v>0</v>
      </c>
      <c r="AL22" s="217">
        <f t="shared" si="12"/>
        <v>0</v>
      </c>
      <c r="AM22" s="221"/>
      <c r="AN22" s="217">
        <f t="shared" si="13"/>
        <v>0</v>
      </c>
      <c r="AO22" s="217">
        <f t="shared" si="14"/>
        <v>0</v>
      </c>
      <c r="AP22" s="221"/>
      <c r="AQ22" s="217">
        <f t="shared" si="15"/>
        <v>0</v>
      </c>
      <c r="AR22" s="217">
        <f t="shared" si="16"/>
        <v>0</v>
      </c>
      <c r="AS22" s="221"/>
      <c r="AT22" s="217">
        <f t="shared" si="17"/>
        <v>0</v>
      </c>
      <c r="AU22" s="217">
        <f t="shared" si="18"/>
        <v>0</v>
      </c>
      <c r="AV22" s="221"/>
      <c r="AW22" s="217">
        <f t="shared" si="19"/>
        <v>0</v>
      </c>
      <c r="AX22" s="217">
        <f t="shared" si="20"/>
        <v>0</v>
      </c>
      <c r="AY22" s="221"/>
      <c r="AZ22" s="217">
        <f t="shared" si="21"/>
        <v>0</v>
      </c>
      <c r="BA22" s="217">
        <f t="shared" si="3"/>
        <v>0</v>
      </c>
      <c r="BB22" s="221"/>
      <c r="BC22" s="217">
        <f t="shared" si="22"/>
        <v>0</v>
      </c>
      <c r="BD22" s="217">
        <f t="shared" si="4"/>
        <v>0</v>
      </c>
      <c r="BE22" s="221"/>
      <c r="BF22" s="217">
        <f t="shared" si="23"/>
        <v>0</v>
      </c>
      <c r="BG22" s="217">
        <f t="shared" si="24"/>
        <v>0</v>
      </c>
      <c r="BH22" s="221"/>
      <c r="BI22" s="217">
        <f t="shared" si="25"/>
        <v>0</v>
      </c>
      <c r="BJ22" s="217">
        <f t="shared" si="26"/>
        <v>0</v>
      </c>
    </row>
    <row r="23" spans="1:62" ht="15.65" customHeight="1">
      <c r="A23" s="7" t="s">
        <v>1238</v>
      </c>
      <c r="B23" s="4" t="str">
        <f>+VLOOKUP(A23,Takstblad!$A$5:$B$30,2,FALSE)</f>
        <v/>
      </c>
      <c r="C23" s="285"/>
      <c r="D23" s="285"/>
      <c r="E23" s="285"/>
      <c r="F23" s="285"/>
      <c r="G23" s="285"/>
      <c r="H23" s="285"/>
      <c r="I23" s="285"/>
      <c r="J23" s="285"/>
      <c r="K23" s="285"/>
      <c r="L23" s="285"/>
      <c r="M23" s="19">
        <f t="shared" si="5"/>
        <v>0</v>
      </c>
      <c r="N23" s="285"/>
      <c r="O23" s="285" t="s">
        <v>113</v>
      </c>
      <c r="Q23" s="16"/>
      <c r="R23" s="21">
        <f t="shared" si="6"/>
        <v>0</v>
      </c>
      <c r="S23" s="25">
        <f>+IFERROR(IF(S$19=Takstblad!C$3,VLOOKUP($A23,takstblad,3,FALSE)*C23,"fejl i år"),0)</f>
        <v>0</v>
      </c>
      <c r="T23" s="25">
        <f>+IFERROR(IF(T$19=Takstblad!D$3,VLOOKUP($A23,takstblad,4,FALSE)*D23,"fejl i år"),0)</f>
        <v>0</v>
      </c>
      <c r="U23" s="25">
        <f>+IFERROR(IF(U$19=Takstblad!E$3,VLOOKUP($A23,takstblad,5,FALSE)*E23,"fejl i år"),0)</f>
        <v>0</v>
      </c>
      <c r="V23" s="25">
        <f>+IFERROR(IF(V$19=Takstblad!F$3,VLOOKUP($A23,takstblad,6,FALSE)*F23,"fejl i år"),0)</f>
        <v>0</v>
      </c>
      <c r="W23" s="25">
        <f>+IFERROR(IF(W$19=Takstblad!G$3,VLOOKUP($A23,takstblad,7,FALSE)*G23,"fejl i år"),0)</f>
        <v>0</v>
      </c>
      <c r="X23" s="25">
        <f>+IFERROR(IF(X$19=Takstblad!H$3,VLOOKUP($A23,takstblad,8,FALSE)*H23,"fejl i år"),0)</f>
        <v>0</v>
      </c>
      <c r="Y23" s="25">
        <f>+IFERROR(IF(Y$19=Takstblad!I$3,VLOOKUP($A23,takstblad,9,FALSE)*I23,"fejl i år"),0)</f>
        <v>0</v>
      </c>
      <c r="Z23" s="25">
        <f>+IFERROR(IF(Z$19=Takstblad!J$3,VLOOKUP($A23,takstblad,10,FALSE)*J23,"fejl i år"),0)</f>
        <v>0</v>
      </c>
      <c r="AA23" s="25">
        <f>+IFERROR(IF(AA$19=Takstblad!K$3,VLOOKUP($A23,takstblad,11,FALSE)*K23,"fejl i år"),0)</f>
        <v>0</v>
      </c>
      <c r="AB23" s="25">
        <f>+IFERROR(IF(AB$19=Takstblad!L$3,VLOOKUP($A23,takstblad,12,FALSE)*L23,"fejl i år"),0)</f>
        <v>0</v>
      </c>
      <c r="AC23" s="21">
        <f t="shared" si="7"/>
        <v>0</v>
      </c>
      <c r="AD23" s="221"/>
      <c r="AE23" s="25">
        <f t="shared" si="8"/>
        <v>0</v>
      </c>
      <c r="AF23" s="25">
        <f t="shared" si="9"/>
        <v>0</v>
      </c>
      <c r="AG23" s="221"/>
      <c r="AH23" s="25">
        <f t="shared" si="10"/>
        <v>0</v>
      </c>
      <c r="AI23" s="25">
        <f t="shared" si="2"/>
        <v>0</v>
      </c>
      <c r="AJ23" s="221"/>
      <c r="AK23" s="25">
        <f t="shared" si="11"/>
        <v>0</v>
      </c>
      <c r="AL23" s="25">
        <f t="shared" si="12"/>
        <v>0</v>
      </c>
      <c r="AM23" s="221"/>
      <c r="AN23" s="25">
        <f t="shared" si="13"/>
        <v>0</v>
      </c>
      <c r="AO23" s="25">
        <f t="shared" si="14"/>
        <v>0</v>
      </c>
      <c r="AP23" s="221"/>
      <c r="AQ23" s="25">
        <f t="shared" si="15"/>
        <v>0</v>
      </c>
      <c r="AR23" s="25">
        <f t="shared" si="16"/>
        <v>0</v>
      </c>
      <c r="AS23" s="221"/>
      <c r="AT23" s="25">
        <f t="shared" si="17"/>
        <v>0</v>
      </c>
      <c r="AU23" s="25">
        <f t="shared" si="18"/>
        <v>0</v>
      </c>
      <c r="AV23" s="221"/>
      <c r="AW23" s="25">
        <f t="shared" si="19"/>
        <v>0</v>
      </c>
      <c r="AX23" s="25">
        <f t="shared" si="20"/>
        <v>0</v>
      </c>
      <c r="AY23" s="221"/>
      <c r="AZ23" s="25">
        <f t="shared" si="21"/>
        <v>0</v>
      </c>
      <c r="BA23" s="25">
        <f t="shared" si="3"/>
        <v>0</v>
      </c>
      <c r="BB23" s="221"/>
      <c r="BC23" s="25">
        <f t="shared" si="22"/>
        <v>0</v>
      </c>
      <c r="BD23" s="25">
        <f t="shared" si="4"/>
        <v>0</v>
      </c>
      <c r="BE23" s="221"/>
      <c r="BF23" s="25">
        <f t="shared" si="23"/>
        <v>0</v>
      </c>
      <c r="BG23" s="25">
        <f t="shared" si="24"/>
        <v>0</v>
      </c>
      <c r="BH23" s="221"/>
      <c r="BI23" s="25">
        <f t="shared" si="25"/>
        <v>0</v>
      </c>
      <c r="BJ23" s="25">
        <f t="shared" si="26"/>
        <v>0</v>
      </c>
    </row>
    <row r="24" spans="1:62" ht="15.65" customHeight="1">
      <c r="A24" s="212" t="s">
        <v>1238</v>
      </c>
      <c r="B24" s="213" t="str">
        <f>+VLOOKUP(A24,Takstblad!$A$5:$B$30,2,FALSE)</f>
        <v/>
      </c>
      <c r="C24" s="285"/>
      <c r="D24" s="285"/>
      <c r="E24" s="285"/>
      <c r="F24" s="285"/>
      <c r="G24" s="285"/>
      <c r="H24" s="285"/>
      <c r="I24" s="285"/>
      <c r="J24" s="285"/>
      <c r="K24" s="285"/>
      <c r="L24" s="285"/>
      <c r="M24" s="19">
        <f t="shared" si="5"/>
        <v>0</v>
      </c>
      <c r="N24" s="285"/>
      <c r="O24" s="285" t="s">
        <v>113</v>
      </c>
      <c r="P24" s="212"/>
      <c r="Q24" s="214"/>
      <c r="R24" s="216">
        <f t="shared" si="6"/>
        <v>0</v>
      </c>
      <c r="S24" s="215">
        <f>+IFERROR(IF(S$19=Takstblad!C$3,VLOOKUP($A24,takstblad,3,FALSE)*C24,"fejl i år"),0)</f>
        <v>0</v>
      </c>
      <c r="T24" s="215">
        <f>+IFERROR(IF(T$19=Takstblad!D$3,VLOOKUP($A24,takstblad,4,FALSE)*D24,"fejl i år"),0)</f>
        <v>0</v>
      </c>
      <c r="U24" s="215">
        <f>+IFERROR(IF(U$19=Takstblad!E$3,VLOOKUP($A24,takstblad,5,FALSE)*E24,"fejl i år"),0)</f>
        <v>0</v>
      </c>
      <c r="V24" s="215">
        <f>+IFERROR(IF(V$19=Takstblad!F$3,VLOOKUP($A24,takstblad,6,FALSE)*F24,"fejl i år"),0)</f>
        <v>0</v>
      </c>
      <c r="W24" s="215">
        <f>+IFERROR(IF(W$19=Takstblad!G$3,VLOOKUP($A24,takstblad,7,FALSE)*G24,"fejl i år"),0)</f>
        <v>0</v>
      </c>
      <c r="X24" s="215">
        <f>+IFERROR(IF(X$19=Takstblad!H$3,VLOOKUP($A24,takstblad,8,FALSE)*H24,"fejl i år"),0)</f>
        <v>0</v>
      </c>
      <c r="Y24" s="215">
        <f>+IFERROR(IF(Y$19=Takstblad!I$3,VLOOKUP($A24,takstblad,9,FALSE)*I24,"fejl i år"),0)</f>
        <v>0</v>
      </c>
      <c r="Z24" s="215">
        <f>+IFERROR(IF(Z$19=Takstblad!J$3,VLOOKUP($A24,takstblad,10,FALSE)*J24,"fejl i år"),0)</f>
        <v>0</v>
      </c>
      <c r="AA24" s="215">
        <f>+IFERROR(IF(AA$19=Takstblad!K$3,VLOOKUP($A24,takstblad,11,FALSE)*K24,"fejl i år"),0)</f>
        <v>0</v>
      </c>
      <c r="AB24" s="215">
        <f>+IFERROR(IF(AB$19=Takstblad!L$3,VLOOKUP($A24,takstblad,12,FALSE)*L24,"fejl i år"),0)</f>
        <v>0</v>
      </c>
      <c r="AC24" s="216">
        <f t="shared" si="7"/>
        <v>0</v>
      </c>
      <c r="AD24" s="221"/>
      <c r="AE24" s="217">
        <f>+M24*($C$7/12)</f>
        <v>0</v>
      </c>
      <c r="AF24" s="217">
        <f>IFERROR(AC24/AE24,0)</f>
        <v>0</v>
      </c>
      <c r="AG24" s="221"/>
      <c r="AH24" s="217">
        <f>+C24*($C$7/12)</f>
        <v>0</v>
      </c>
      <c r="AI24" s="217">
        <f t="shared" si="2"/>
        <v>0</v>
      </c>
      <c r="AJ24" s="221"/>
      <c r="AK24" s="217">
        <f t="shared" si="11"/>
        <v>0</v>
      </c>
      <c r="AL24" s="217">
        <f t="shared" si="12"/>
        <v>0</v>
      </c>
      <c r="AM24" s="221"/>
      <c r="AN24" s="217">
        <f t="shared" si="13"/>
        <v>0</v>
      </c>
      <c r="AO24" s="217">
        <f t="shared" si="14"/>
        <v>0</v>
      </c>
      <c r="AP24" s="221"/>
      <c r="AQ24" s="217">
        <f t="shared" si="15"/>
        <v>0</v>
      </c>
      <c r="AR24" s="217">
        <f t="shared" si="16"/>
        <v>0</v>
      </c>
      <c r="AS24" s="221"/>
      <c r="AT24" s="217">
        <f t="shared" si="17"/>
        <v>0</v>
      </c>
      <c r="AU24" s="217">
        <f t="shared" si="18"/>
        <v>0</v>
      </c>
      <c r="AV24" s="221"/>
      <c r="AW24" s="217">
        <f t="shared" si="19"/>
        <v>0</v>
      </c>
      <c r="AX24" s="217">
        <f t="shared" si="20"/>
        <v>0</v>
      </c>
      <c r="AY24" s="221"/>
      <c r="AZ24" s="217">
        <f t="shared" si="21"/>
        <v>0</v>
      </c>
      <c r="BA24" s="217">
        <f t="shared" si="3"/>
        <v>0</v>
      </c>
      <c r="BB24" s="221"/>
      <c r="BC24" s="217">
        <f t="shared" si="22"/>
        <v>0</v>
      </c>
      <c r="BD24" s="217">
        <f t="shared" si="4"/>
        <v>0</v>
      </c>
      <c r="BE24" s="221"/>
      <c r="BF24" s="217">
        <f t="shared" si="23"/>
        <v>0</v>
      </c>
      <c r="BG24" s="217">
        <f t="shared" si="24"/>
        <v>0</v>
      </c>
      <c r="BH24" s="221"/>
      <c r="BI24" s="217">
        <f t="shared" si="25"/>
        <v>0</v>
      </c>
      <c r="BJ24" s="217">
        <f t="shared" si="26"/>
        <v>0</v>
      </c>
    </row>
    <row r="25" spans="1:62" ht="15.65" customHeight="1">
      <c r="A25" s="7" t="s">
        <v>1238</v>
      </c>
      <c r="B25" s="4" t="str">
        <f>+VLOOKUP(A25,Takstblad!$A$5:$B$30,2,FALSE)</f>
        <v/>
      </c>
      <c r="C25" s="285"/>
      <c r="D25" s="285"/>
      <c r="E25" s="285"/>
      <c r="F25" s="285"/>
      <c r="G25" s="285"/>
      <c r="H25" s="285"/>
      <c r="I25" s="285"/>
      <c r="J25" s="285"/>
      <c r="K25" s="285"/>
      <c r="L25" s="285"/>
      <c r="M25" s="19">
        <f t="shared" si="5"/>
        <v>0</v>
      </c>
      <c r="N25" s="285"/>
      <c r="O25" s="285" t="s">
        <v>113</v>
      </c>
      <c r="Q25" s="16"/>
      <c r="R25" s="21">
        <f t="shared" si="6"/>
        <v>0</v>
      </c>
      <c r="S25" s="25">
        <f>+IFERROR(IF(S$19=Takstblad!C$3,VLOOKUP($A25,takstblad,3,FALSE)*C25,"fejl i år"),0)</f>
        <v>0</v>
      </c>
      <c r="T25" s="25">
        <f>+IFERROR(IF(T$19=Takstblad!D$3,VLOOKUP($A25,takstblad,4,FALSE)*D25,"fejl i år"),0)</f>
        <v>0</v>
      </c>
      <c r="U25" s="25">
        <f>+IFERROR(IF(U$19=Takstblad!E$3,VLOOKUP($A25,takstblad,5,FALSE)*E25,"fejl i år"),0)</f>
        <v>0</v>
      </c>
      <c r="V25" s="25">
        <f>+IFERROR(IF(V$19=Takstblad!F$3,VLOOKUP($A25,takstblad,6,FALSE)*F25,"fejl i år"),0)</f>
        <v>0</v>
      </c>
      <c r="W25" s="25">
        <f>+IFERROR(IF(W$19=Takstblad!G$3,VLOOKUP($A25,takstblad,7,FALSE)*G25,"fejl i år"),0)</f>
        <v>0</v>
      </c>
      <c r="X25" s="25">
        <f>+IFERROR(IF(X$19=Takstblad!H$3,VLOOKUP($A25,takstblad,8,FALSE)*H25,"fejl i år"),0)</f>
        <v>0</v>
      </c>
      <c r="Y25" s="25">
        <f>+IFERROR(IF(Y$19=Takstblad!I$3,VLOOKUP($A25,takstblad,9,FALSE)*I25,"fejl i år"),0)</f>
        <v>0</v>
      </c>
      <c r="Z25" s="25">
        <f>+IFERROR(IF(Z$19=Takstblad!J$3,VLOOKUP($A25,takstblad,10,FALSE)*J25,"fejl i år"),0)</f>
        <v>0</v>
      </c>
      <c r="AA25" s="25">
        <f>+IFERROR(IF(AA$19=Takstblad!K$3,VLOOKUP($A25,takstblad,11,FALSE)*K25,"fejl i år"),0)</f>
        <v>0</v>
      </c>
      <c r="AB25" s="25">
        <f>+IFERROR(IF(AB$19=Takstblad!L$3,VLOOKUP($A25,takstblad,12,FALSE)*L25,"fejl i år"),0)</f>
        <v>0</v>
      </c>
      <c r="AC25" s="21">
        <f t="shared" si="7"/>
        <v>0</v>
      </c>
      <c r="AD25" s="221"/>
      <c r="AE25" s="25">
        <f>+M25*($C$7/12)</f>
        <v>0</v>
      </c>
      <c r="AF25" s="25">
        <f>IFERROR(AC25/AE25,0)</f>
        <v>0</v>
      </c>
      <c r="AG25" s="221"/>
      <c r="AH25" s="25">
        <f t="shared" si="10"/>
        <v>0</v>
      </c>
      <c r="AI25" s="25">
        <f t="shared" si="2"/>
        <v>0</v>
      </c>
      <c r="AJ25" s="221"/>
      <c r="AK25" s="25">
        <f t="shared" si="11"/>
        <v>0</v>
      </c>
      <c r="AL25" s="25">
        <f t="shared" si="12"/>
        <v>0</v>
      </c>
      <c r="AM25" s="221"/>
      <c r="AN25" s="25">
        <f t="shared" si="13"/>
        <v>0</v>
      </c>
      <c r="AO25" s="25">
        <f t="shared" si="14"/>
        <v>0</v>
      </c>
      <c r="AP25" s="221"/>
      <c r="AQ25" s="25">
        <f t="shared" si="15"/>
        <v>0</v>
      </c>
      <c r="AR25" s="25">
        <f t="shared" si="16"/>
        <v>0</v>
      </c>
      <c r="AS25" s="221"/>
      <c r="AT25" s="25">
        <f t="shared" si="17"/>
        <v>0</v>
      </c>
      <c r="AU25" s="25">
        <f t="shared" si="18"/>
        <v>0</v>
      </c>
      <c r="AV25" s="221"/>
      <c r="AW25" s="25">
        <f t="shared" si="19"/>
        <v>0</v>
      </c>
      <c r="AX25" s="25">
        <f t="shared" si="20"/>
        <v>0</v>
      </c>
      <c r="AY25" s="221"/>
      <c r="AZ25" s="25">
        <f>+I25*($C$7/12)</f>
        <v>0</v>
      </c>
      <c r="BA25" s="25">
        <f t="shared" si="3"/>
        <v>0</v>
      </c>
      <c r="BB25" s="221"/>
      <c r="BC25" s="25">
        <f t="shared" si="22"/>
        <v>0</v>
      </c>
      <c r="BD25" s="25">
        <f t="shared" si="4"/>
        <v>0</v>
      </c>
      <c r="BE25" s="221"/>
      <c r="BF25" s="25">
        <f t="shared" si="23"/>
        <v>0</v>
      </c>
      <c r="BG25" s="25">
        <f t="shared" si="24"/>
        <v>0</v>
      </c>
      <c r="BH25" s="221"/>
      <c r="BI25" s="25">
        <f t="shared" si="25"/>
        <v>0</v>
      </c>
      <c r="BJ25" s="25">
        <f t="shared" si="26"/>
        <v>0</v>
      </c>
    </row>
    <row r="26" spans="1:62" ht="15.65" customHeight="1">
      <c r="A26" s="212" t="s">
        <v>1238</v>
      </c>
      <c r="B26" s="213" t="str">
        <f>+VLOOKUP(A26,Takstblad!$A$5:$B$30,2,FALSE)</f>
        <v/>
      </c>
      <c r="C26" s="285"/>
      <c r="D26" s="285"/>
      <c r="E26" s="285"/>
      <c r="F26" s="285"/>
      <c r="G26" s="285"/>
      <c r="H26" s="285"/>
      <c r="I26" s="285"/>
      <c r="J26" s="285"/>
      <c r="K26" s="285"/>
      <c r="L26" s="285"/>
      <c r="M26" s="19">
        <f t="shared" si="5"/>
        <v>0</v>
      </c>
      <c r="N26" s="285"/>
      <c r="O26" s="285" t="s">
        <v>113</v>
      </c>
      <c r="P26" s="212"/>
      <c r="Q26" s="214"/>
      <c r="R26" s="216">
        <f t="shared" si="6"/>
        <v>0</v>
      </c>
      <c r="S26" s="215">
        <f>+IFERROR(IF(S$19=Takstblad!C$3,VLOOKUP($A26,takstblad,3,FALSE)*C26,"fejl i år"),0)</f>
        <v>0</v>
      </c>
      <c r="T26" s="215">
        <f>+IFERROR(IF(T$19=Takstblad!D$3,VLOOKUP($A26,takstblad,4,FALSE)*D26,"fejl i år"),0)</f>
        <v>0</v>
      </c>
      <c r="U26" s="215">
        <f>+IFERROR(IF(U$19=Takstblad!E$3,VLOOKUP($A26,takstblad,5,FALSE)*E26,"fejl i år"),0)</f>
        <v>0</v>
      </c>
      <c r="V26" s="215">
        <f>+IFERROR(IF(V$19=Takstblad!F$3,VLOOKUP($A26,takstblad,6,FALSE)*F26,"fejl i år"),0)</f>
        <v>0</v>
      </c>
      <c r="W26" s="215">
        <f>+IFERROR(IF(W$19=Takstblad!G$3,VLOOKUP($A26,takstblad,7,FALSE)*G26,"fejl i år"),0)</f>
        <v>0</v>
      </c>
      <c r="X26" s="215">
        <f>+IFERROR(IF(X$19=Takstblad!H$3,VLOOKUP($A26,takstblad,8,FALSE)*H26,"fejl i år"),0)</f>
        <v>0</v>
      </c>
      <c r="Y26" s="215">
        <f>+IFERROR(IF(Y$19=Takstblad!I$3,VLOOKUP($A26,takstblad,9,FALSE)*I26,"fejl i år"),0)</f>
        <v>0</v>
      </c>
      <c r="Z26" s="215">
        <f>+IFERROR(IF(Z$19=Takstblad!J$3,VLOOKUP($A26,takstblad,10,FALSE)*J26,"fejl i år"),0)</f>
        <v>0</v>
      </c>
      <c r="AA26" s="215">
        <f>+IFERROR(IF(AA$19=Takstblad!K$3,VLOOKUP($A26,takstblad,11,FALSE)*K26,"fejl i år"),0)</f>
        <v>0</v>
      </c>
      <c r="AB26" s="215">
        <f>+IFERROR(IF(AB$19=Takstblad!L$3,VLOOKUP($A26,takstblad,12,FALSE)*L26,"fejl i år"),0)</f>
        <v>0</v>
      </c>
      <c r="AC26" s="216">
        <f t="shared" si="7"/>
        <v>0</v>
      </c>
      <c r="AD26" s="221"/>
      <c r="AE26" s="217">
        <f t="shared" si="8"/>
        <v>0</v>
      </c>
      <c r="AF26" s="217">
        <f t="shared" si="9"/>
        <v>0</v>
      </c>
      <c r="AG26" s="221"/>
      <c r="AH26" s="217">
        <f t="shared" si="10"/>
        <v>0</v>
      </c>
      <c r="AI26" s="217">
        <f t="shared" si="2"/>
        <v>0</v>
      </c>
      <c r="AJ26" s="221"/>
      <c r="AK26" s="217">
        <f t="shared" si="11"/>
        <v>0</v>
      </c>
      <c r="AL26" s="217">
        <f t="shared" si="12"/>
        <v>0</v>
      </c>
      <c r="AM26" s="221"/>
      <c r="AN26" s="217">
        <f t="shared" si="13"/>
        <v>0</v>
      </c>
      <c r="AO26" s="217">
        <f t="shared" si="14"/>
        <v>0</v>
      </c>
      <c r="AP26" s="221"/>
      <c r="AQ26" s="217">
        <f t="shared" si="15"/>
        <v>0</v>
      </c>
      <c r="AR26" s="217">
        <f t="shared" si="16"/>
        <v>0</v>
      </c>
      <c r="AS26" s="221"/>
      <c r="AT26" s="217">
        <f t="shared" si="17"/>
        <v>0</v>
      </c>
      <c r="AU26" s="217">
        <f t="shared" si="18"/>
        <v>0</v>
      </c>
      <c r="AV26" s="221"/>
      <c r="AW26" s="217">
        <f t="shared" si="19"/>
        <v>0</v>
      </c>
      <c r="AX26" s="217">
        <f t="shared" si="20"/>
        <v>0</v>
      </c>
      <c r="AY26" s="221"/>
      <c r="AZ26" s="217">
        <f t="shared" si="21"/>
        <v>0</v>
      </c>
      <c r="BA26" s="217">
        <f t="shared" si="3"/>
        <v>0</v>
      </c>
      <c r="BB26" s="221"/>
      <c r="BC26" s="217">
        <f t="shared" si="22"/>
        <v>0</v>
      </c>
      <c r="BD26" s="217">
        <f t="shared" si="4"/>
        <v>0</v>
      </c>
      <c r="BE26" s="221"/>
      <c r="BF26" s="217">
        <f t="shared" si="23"/>
        <v>0</v>
      </c>
      <c r="BG26" s="217">
        <f t="shared" si="24"/>
        <v>0</v>
      </c>
      <c r="BH26" s="221"/>
      <c r="BI26" s="217">
        <f t="shared" si="25"/>
        <v>0</v>
      </c>
      <c r="BJ26" s="217">
        <f t="shared" si="26"/>
        <v>0</v>
      </c>
    </row>
    <row r="27" spans="1:62" ht="15.65" customHeight="1">
      <c r="A27" s="7" t="s">
        <v>1238</v>
      </c>
      <c r="B27" s="4" t="str">
        <f>+VLOOKUP(A27,Takstblad!$A$5:$B$30,2,FALSE)</f>
        <v/>
      </c>
      <c r="C27" s="285"/>
      <c r="D27" s="285"/>
      <c r="E27" s="285"/>
      <c r="F27" s="285"/>
      <c r="G27" s="285"/>
      <c r="H27" s="285"/>
      <c r="I27" s="285"/>
      <c r="J27" s="285"/>
      <c r="K27" s="285"/>
      <c r="L27" s="285"/>
      <c r="M27" s="19">
        <f t="shared" si="5"/>
        <v>0</v>
      </c>
      <c r="N27" s="285"/>
      <c r="O27" s="285" t="s">
        <v>113</v>
      </c>
      <c r="Q27" s="16"/>
      <c r="R27" s="21">
        <f t="shared" si="6"/>
        <v>0</v>
      </c>
      <c r="S27" s="25">
        <f>+IFERROR(IF(S$19=Takstblad!C$3,VLOOKUP($A27,takstblad,3,FALSE)*C27,"fejl i år"),0)</f>
        <v>0</v>
      </c>
      <c r="T27" s="25">
        <f>+IFERROR(IF(T$19=Takstblad!D$3,VLOOKUP($A27,takstblad,4,FALSE)*D27,"fejl i år"),0)</f>
        <v>0</v>
      </c>
      <c r="U27" s="25">
        <f>+IFERROR(IF(U$19=Takstblad!E$3,VLOOKUP($A27,takstblad,5,FALSE)*E27,"fejl i år"),0)</f>
        <v>0</v>
      </c>
      <c r="V27" s="25">
        <f>+IFERROR(IF(V$19=Takstblad!F$3,VLOOKUP($A27,takstblad,6,FALSE)*F27,"fejl i år"),0)</f>
        <v>0</v>
      </c>
      <c r="W27" s="25">
        <f>+IFERROR(IF(W$19=Takstblad!G$3,VLOOKUP($A27,takstblad,7,FALSE)*G27,"fejl i år"),0)</f>
        <v>0</v>
      </c>
      <c r="X27" s="25">
        <f>+IFERROR(IF(X$19=Takstblad!H$3,VLOOKUP($A27,takstblad,8,FALSE)*H27,"fejl i år"),0)</f>
        <v>0</v>
      </c>
      <c r="Y27" s="25">
        <f>+IFERROR(IF(Y$19=Takstblad!I$3,VLOOKUP($A27,takstblad,9,FALSE)*I27,"fejl i år"),0)</f>
        <v>0</v>
      </c>
      <c r="Z27" s="25">
        <f>+IFERROR(IF(Z$19=Takstblad!J$3,VLOOKUP($A27,takstblad,10,FALSE)*J27,"fejl i år"),0)</f>
        <v>0</v>
      </c>
      <c r="AA27" s="25">
        <f>+IFERROR(IF(AA$19=Takstblad!K$3,VLOOKUP($A27,takstblad,11,FALSE)*K27,"fejl i år"),0)</f>
        <v>0</v>
      </c>
      <c r="AB27" s="25">
        <f>+IFERROR(IF(AB$19=Takstblad!L$3,VLOOKUP($A27,takstblad,12,FALSE)*L27,"fejl i år"),0)</f>
        <v>0</v>
      </c>
      <c r="AC27" s="21">
        <f t="shared" si="7"/>
        <v>0</v>
      </c>
      <c r="AD27" s="221"/>
      <c r="AE27" s="25">
        <f t="shared" si="8"/>
        <v>0</v>
      </c>
      <c r="AF27" s="25">
        <f t="shared" si="9"/>
        <v>0</v>
      </c>
      <c r="AG27" s="221"/>
      <c r="AH27" s="25">
        <f t="shared" si="10"/>
        <v>0</v>
      </c>
      <c r="AI27" s="25">
        <f t="shared" si="2"/>
        <v>0</v>
      </c>
      <c r="AJ27" s="221"/>
      <c r="AK27" s="25">
        <f t="shared" si="11"/>
        <v>0</v>
      </c>
      <c r="AL27" s="25">
        <f t="shared" si="12"/>
        <v>0</v>
      </c>
      <c r="AM27" s="221"/>
      <c r="AN27" s="25">
        <f t="shared" si="13"/>
        <v>0</v>
      </c>
      <c r="AO27" s="25">
        <f t="shared" si="14"/>
        <v>0</v>
      </c>
      <c r="AP27" s="221"/>
      <c r="AQ27" s="25">
        <f t="shared" si="15"/>
        <v>0</v>
      </c>
      <c r="AR27" s="25">
        <f t="shared" si="16"/>
        <v>0</v>
      </c>
      <c r="AS27" s="221"/>
      <c r="AT27" s="25">
        <f t="shared" si="17"/>
        <v>0</v>
      </c>
      <c r="AU27" s="25">
        <f t="shared" si="18"/>
        <v>0</v>
      </c>
      <c r="AV27" s="221"/>
      <c r="AW27" s="25">
        <f t="shared" si="19"/>
        <v>0</v>
      </c>
      <c r="AX27" s="25">
        <f t="shared" si="20"/>
        <v>0</v>
      </c>
      <c r="AY27" s="221"/>
      <c r="AZ27" s="25">
        <f t="shared" si="21"/>
        <v>0</v>
      </c>
      <c r="BA27" s="25">
        <f t="shared" si="3"/>
        <v>0</v>
      </c>
      <c r="BB27" s="221"/>
      <c r="BC27" s="25">
        <f t="shared" si="22"/>
        <v>0</v>
      </c>
      <c r="BD27" s="25">
        <f t="shared" si="4"/>
        <v>0</v>
      </c>
      <c r="BE27" s="221"/>
      <c r="BF27" s="25">
        <f t="shared" si="23"/>
        <v>0</v>
      </c>
      <c r="BG27" s="25">
        <f t="shared" si="24"/>
        <v>0</v>
      </c>
      <c r="BH27" s="221"/>
      <c r="BI27" s="25">
        <f t="shared" si="25"/>
        <v>0</v>
      </c>
      <c r="BJ27" s="25">
        <f t="shared" si="26"/>
        <v>0</v>
      </c>
    </row>
    <row r="28" spans="1:62" ht="15.65" customHeight="1">
      <c r="A28" s="212" t="s">
        <v>1238</v>
      </c>
      <c r="B28" s="213" t="str">
        <f>+VLOOKUP(A28,Takstblad!$A$5:$B$30,2,FALSE)</f>
        <v/>
      </c>
      <c r="C28" s="285"/>
      <c r="D28" s="285"/>
      <c r="E28" s="285"/>
      <c r="F28" s="285"/>
      <c r="G28" s="285"/>
      <c r="H28" s="285"/>
      <c r="I28" s="285"/>
      <c r="J28" s="285"/>
      <c r="K28" s="285"/>
      <c r="L28" s="285"/>
      <c r="M28" s="19">
        <f t="shared" si="5"/>
        <v>0</v>
      </c>
      <c r="N28" s="285"/>
      <c r="O28" s="285" t="s">
        <v>113</v>
      </c>
      <c r="P28" s="212"/>
      <c r="Q28" s="214"/>
      <c r="R28" s="216">
        <f t="shared" si="6"/>
        <v>0</v>
      </c>
      <c r="S28" s="215">
        <f>+IFERROR(IF(S$19=Takstblad!C$3,VLOOKUP($A28,takstblad,3,FALSE)*C28,"fejl i år"),0)</f>
        <v>0</v>
      </c>
      <c r="T28" s="215">
        <f>+IFERROR(IF(T$19=Takstblad!D$3,VLOOKUP($A28,takstblad,4,FALSE)*D28,"fejl i år"),0)</f>
        <v>0</v>
      </c>
      <c r="U28" s="215">
        <f>+IFERROR(IF(U$19=Takstblad!E$3,VLOOKUP($A28,takstblad,5,FALSE)*E28,"fejl i år"),0)</f>
        <v>0</v>
      </c>
      <c r="V28" s="215">
        <f>+IFERROR(IF(V$19=Takstblad!F$3,VLOOKUP($A28,takstblad,6,FALSE)*F28,"fejl i år"),0)</f>
        <v>0</v>
      </c>
      <c r="W28" s="215">
        <f>+IFERROR(IF(W$19=Takstblad!G$3,VLOOKUP($A28,takstblad,7,FALSE)*G28,"fejl i år"),0)</f>
        <v>0</v>
      </c>
      <c r="X28" s="215">
        <f>+IFERROR(IF(X$19=Takstblad!H$3,VLOOKUP($A28,takstblad,8,FALSE)*H28,"fejl i år"),0)</f>
        <v>0</v>
      </c>
      <c r="Y28" s="215">
        <f>+IFERROR(IF(Y$19=Takstblad!I$3,VLOOKUP($A28,takstblad,9,FALSE)*I28,"fejl i år"),0)</f>
        <v>0</v>
      </c>
      <c r="Z28" s="215">
        <f>+IFERROR(IF(Z$19=Takstblad!J$3,VLOOKUP($A28,takstblad,10,FALSE)*J28,"fejl i år"),0)</f>
        <v>0</v>
      </c>
      <c r="AA28" s="215">
        <f>+IFERROR(IF(AA$19=Takstblad!K$3,VLOOKUP($A28,takstblad,11,FALSE)*K28,"fejl i år"),0)</f>
        <v>0</v>
      </c>
      <c r="AB28" s="215">
        <f>+IFERROR(IF(AB$19=Takstblad!L$3,VLOOKUP($A28,takstblad,12,FALSE)*L28,"fejl i år"),0)</f>
        <v>0</v>
      </c>
      <c r="AC28" s="216">
        <f t="shared" si="7"/>
        <v>0</v>
      </c>
      <c r="AD28" s="221"/>
      <c r="AE28" s="217">
        <f t="shared" si="8"/>
        <v>0</v>
      </c>
      <c r="AF28" s="217">
        <f t="shared" si="9"/>
        <v>0</v>
      </c>
      <c r="AG28" s="221"/>
      <c r="AH28" s="217">
        <f t="shared" si="10"/>
        <v>0</v>
      </c>
      <c r="AI28" s="217">
        <f t="shared" si="2"/>
        <v>0</v>
      </c>
      <c r="AJ28" s="221"/>
      <c r="AK28" s="217">
        <f t="shared" si="11"/>
        <v>0</v>
      </c>
      <c r="AL28" s="217">
        <f t="shared" si="12"/>
        <v>0</v>
      </c>
      <c r="AM28" s="221"/>
      <c r="AN28" s="217">
        <f t="shared" si="13"/>
        <v>0</v>
      </c>
      <c r="AO28" s="217">
        <f t="shared" si="14"/>
        <v>0</v>
      </c>
      <c r="AP28" s="221"/>
      <c r="AQ28" s="217">
        <f t="shared" si="15"/>
        <v>0</v>
      </c>
      <c r="AR28" s="217">
        <f t="shared" si="16"/>
        <v>0</v>
      </c>
      <c r="AS28" s="221"/>
      <c r="AT28" s="217">
        <f t="shared" si="17"/>
        <v>0</v>
      </c>
      <c r="AU28" s="217">
        <f t="shared" si="18"/>
        <v>0</v>
      </c>
      <c r="AV28" s="221"/>
      <c r="AW28" s="217">
        <f t="shared" si="19"/>
        <v>0</v>
      </c>
      <c r="AX28" s="217">
        <f t="shared" si="20"/>
        <v>0</v>
      </c>
      <c r="AY28" s="221"/>
      <c r="AZ28" s="217">
        <f t="shared" si="21"/>
        <v>0</v>
      </c>
      <c r="BA28" s="217">
        <f t="shared" si="3"/>
        <v>0</v>
      </c>
      <c r="BB28" s="221"/>
      <c r="BC28" s="217">
        <f t="shared" si="22"/>
        <v>0</v>
      </c>
      <c r="BD28" s="217">
        <f t="shared" si="4"/>
        <v>0</v>
      </c>
      <c r="BE28" s="221"/>
      <c r="BF28" s="217">
        <f t="shared" si="23"/>
        <v>0</v>
      </c>
      <c r="BG28" s="217">
        <f t="shared" si="24"/>
        <v>0</v>
      </c>
      <c r="BH28" s="221"/>
      <c r="BI28" s="217">
        <f t="shared" si="25"/>
        <v>0</v>
      </c>
      <c r="BJ28" s="217">
        <f t="shared" si="26"/>
        <v>0</v>
      </c>
    </row>
    <row r="29" spans="1:62" ht="15.65" customHeight="1" thickBot="1">
      <c r="A29" s="7" t="s">
        <v>1238</v>
      </c>
      <c r="B29" s="4" t="str">
        <f>+VLOOKUP(A29,Takstblad!$A$5:$B$30,2,FALSE)</f>
        <v/>
      </c>
      <c r="C29" s="285"/>
      <c r="D29" s="285"/>
      <c r="E29" s="285"/>
      <c r="F29" s="285"/>
      <c r="G29" s="285"/>
      <c r="H29" s="285"/>
      <c r="I29" s="286"/>
      <c r="J29" s="286"/>
      <c r="K29" s="286"/>
      <c r="L29" s="286"/>
      <c r="M29" s="47">
        <f t="shared" si="5"/>
        <v>0</v>
      </c>
      <c r="N29" s="285"/>
      <c r="O29" s="285" t="s">
        <v>113</v>
      </c>
      <c r="Q29" s="16"/>
      <c r="R29" s="21">
        <f t="shared" si="6"/>
        <v>0</v>
      </c>
      <c r="S29" s="25">
        <f>+IFERROR(IF(S$19=Takstblad!C$3,VLOOKUP($A29,takstblad,3,FALSE)*C29,"fejl i år"),0)</f>
        <v>0</v>
      </c>
      <c r="T29" s="25">
        <f>+IFERROR(IF(T$19=Takstblad!D$3,VLOOKUP($A29,takstblad,4,FALSE)*D29,"fejl i år"),0)</f>
        <v>0</v>
      </c>
      <c r="U29" s="25">
        <f>+IFERROR(IF(U$19=Takstblad!E$3,VLOOKUP($A29,takstblad,5,FALSE)*E29,"fejl i år"),0)</f>
        <v>0</v>
      </c>
      <c r="V29" s="25">
        <f>+IFERROR(IF(V$19=Takstblad!F$3,VLOOKUP($A29,takstblad,6,FALSE)*F29,"fejl i år"),0)</f>
        <v>0</v>
      </c>
      <c r="W29" s="25">
        <f>+IFERROR(IF(W$19=Takstblad!G$3,VLOOKUP($A29,takstblad,7,FALSE)*G29,"fejl i år"),0)</f>
        <v>0</v>
      </c>
      <c r="X29" s="25">
        <f>+IFERROR(IF(X$19=Takstblad!H$3,VLOOKUP($A29,takstblad,8,FALSE)*H29,"fejl i år"),0)</f>
        <v>0</v>
      </c>
      <c r="Y29" s="25">
        <f>+IFERROR(IF(Y$19=Takstblad!I$3,VLOOKUP($A29,takstblad,9,FALSE)*I29,"fejl i år"),0)</f>
        <v>0</v>
      </c>
      <c r="Z29" s="25">
        <f>+IFERROR(IF(Z$19=Takstblad!J$3,VLOOKUP($A29,takstblad,10,FALSE)*J29,"fejl i år"),0)</f>
        <v>0</v>
      </c>
      <c r="AA29" s="25">
        <f>+IFERROR(IF(AA$19=Takstblad!K$3,VLOOKUP($A29,takstblad,11,FALSE)*K29,"fejl i år"),0)</f>
        <v>0</v>
      </c>
      <c r="AB29" s="25">
        <f>+IFERROR(IF(AB$19=Takstblad!L$3,VLOOKUP($A29,takstblad,12,FALSE)*L29,"fejl i år"),0)</f>
        <v>0</v>
      </c>
      <c r="AC29" s="21">
        <f t="shared" si="7"/>
        <v>0</v>
      </c>
      <c r="AD29" s="221"/>
      <c r="AE29" s="25">
        <f t="shared" si="8"/>
        <v>0</v>
      </c>
      <c r="AF29" s="25">
        <f t="shared" si="9"/>
        <v>0</v>
      </c>
      <c r="AG29" s="221"/>
      <c r="AH29" s="25">
        <f t="shared" si="10"/>
        <v>0</v>
      </c>
      <c r="AI29" s="25">
        <f t="shared" si="2"/>
        <v>0</v>
      </c>
      <c r="AJ29" s="221"/>
      <c r="AK29" s="25">
        <f t="shared" si="11"/>
        <v>0</v>
      </c>
      <c r="AL29" s="25">
        <f t="shared" si="12"/>
        <v>0</v>
      </c>
      <c r="AM29" s="221"/>
      <c r="AN29" s="25">
        <f t="shared" si="13"/>
        <v>0</v>
      </c>
      <c r="AO29" s="25">
        <f t="shared" si="14"/>
        <v>0</v>
      </c>
      <c r="AP29" s="221"/>
      <c r="AQ29" s="25">
        <f t="shared" si="15"/>
        <v>0</v>
      </c>
      <c r="AR29" s="25">
        <f t="shared" si="16"/>
        <v>0</v>
      </c>
      <c r="AS29" s="221"/>
      <c r="AT29" s="25">
        <f t="shared" si="17"/>
        <v>0</v>
      </c>
      <c r="AU29" s="25">
        <f t="shared" si="18"/>
        <v>0</v>
      </c>
      <c r="AV29" s="221"/>
      <c r="AW29" s="25">
        <f t="shared" si="19"/>
        <v>0</v>
      </c>
      <c r="AX29" s="25">
        <f t="shared" si="20"/>
        <v>0</v>
      </c>
      <c r="AY29" s="221"/>
      <c r="AZ29" s="25">
        <f t="shared" si="21"/>
        <v>0</v>
      </c>
      <c r="BA29" s="25">
        <f t="shared" si="3"/>
        <v>0</v>
      </c>
      <c r="BB29" s="221"/>
      <c r="BC29" s="25">
        <f t="shared" si="22"/>
        <v>0</v>
      </c>
      <c r="BD29" s="25">
        <f>IFERROR(Z29/BC29,0)</f>
        <v>0</v>
      </c>
      <c r="BE29" s="221"/>
      <c r="BF29" s="25">
        <f t="shared" si="23"/>
        <v>0</v>
      </c>
      <c r="BG29" s="25">
        <f t="shared" si="24"/>
        <v>0</v>
      </c>
      <c r="BH29" s="221"/>
      <c r="BI29" s="25">
        <f t="shared" si="25"/>
        <v>0</v>
      </c>
      <c r="BJ29" s="25">
        <f t="shared" si="26"/>
        <v>0</v>
      </c>
    </row>
    <row r="30" spans="1:62" ht="15.65" hidden="1" customHeight="1" outlineLevel="1">
      <c r="A30" s="212" t="s">
        <v>1238</v>
      </c>
      <c r="B30" s="4" t="str">
        <f>+VLOOKUP(A30,Takstblad!$A$5:$B$30,2,FALSE)</f>
        <v/>
      </c>
      <c r="C30" s="285"/>
      <c r="D30" s="285"/>
      <c r="E30" s="285"/>
      <c r="F30" s="285"/>
      <c r="G30" s="285"/>
      <c r="H30" s="285"/>
      <c r="I30" s="286"/>
      <c r="J30" s="286"/>
      <c r="K30" s="286"/>
      <c r="L30" s="286"/>
      <c r="M30" s="47">
        <f t="shared" ref="M30:M39" si="27">SUM(C30:L30)</f>
        <v>0</v>
      </c>
      <c r="N30" s="285"/>
      <c r="O30" s="285" t="s">
        <v>113</v>
      </c>
      <c r="P30" s="212"/>
      <c r="Q30" s="214"/>
      <c r="R30" s="216">
        <f t="shared" ref="R30:R39" si="28">+AC30</f>
        <v>0</v>
      </c>
      <c r="S30" s="215">
        <f>+IFERROR(IF(S$19=Takstblad!C$3,VLOOKUP($A30,takstblad,3,FALSE)*C30,"fejl i år"),0)</f>
        <v>0</v>
      </c>
      <c r="T30" s="215">
        <f>+IFERROR(IF(T$19=Takstblad!D$3,VLOOKUP($A30,takstblad,4,FALSE)*D30,"fejl i år"),0)</f>
        <v>0</v>
      </c>
      <c r="U30" s="215">
        <f>+IFERROR(IF(U$19=Takstblad!E$3,VLOOKUP($A30,takstblad,5,FALSE)*E30,"fejl i år"),0)</f>
        <v>0</v>
      </c>
      <c r="V30" s="215">
        <f>+IFERROR(IF(V$19=Takstblad!F$3,VLOOKUP($A30,takstblad,6,FALSE)*F30,"fejl i år"),0)</f>
        <v>0</v>
      </c>
      <c r="W30" s="215">
        <f>+IFERROR(IF(W$19=Takstblad!G$3,VLOOKUP($A30,takstblad,7,FALSE)*G30,"fejl i år"),0)</f>
        <v>0</v>
      </c>
      <c r="X30" s="215">
        <f>+IFERROR(IF(X$19=Takstblad!H$3,VLOOKUP($A30,takstblad,8,FALSE)*H30,"fejl i år"),0)</f>
        <v>0</v>
      </c>
      <c r="Y30" s="215">
        <f>+IFERROR(IF(Y$19=Takstblad!I$3,VLOOKUP($A30,takstblad,9,FALSE)*I30,"fejl i år"),0)</f>
        <v>0</v>
      </c>
      <c r="Z30" s="215">
        <f>+IFERROR(IF(Z$19=Takstblad!J$3,VLOOKUP($A30,takstblad,10,FALSE)*J30,"fejl i år"),0)</f>
        <v>0</v>
      </c>
      <c r="AA30" s="215">
        <f>+IFERROR(IF(AA$19=Takstblad!K$3,VLOOKUP($A30,takstblad,11,FALSE)*K30,"fejl i år"),0)</f>
        <v>0</v>
      </c>
      <c r="AB30" s="215">
        <f>+IFERROR(IF(AB$19=Takstblad!L$3,VLOOKUP($A30,takstblad,12,FALSE)*L30,"fejl i år"),0)</f>
        <v>0</v>
      </c>
      <c r="AC30" s="216">
        <f t="shared" si="7"/>
        <v>0</v>
      </c>
      <c r="AD30" s="221"/>
      <c r="AE30" s="217">
        <f t="shared" ref="AE30:AE39" si="29">+M30*($C$7/12)</f>
        <v>0</v>
      </c>
      <c r="AF30" s="217">
        <f t="shared" ref="AF30:AF39" si="30">IFERROR(AC30/AE30,0)</f>
        <v>0</v>
      </c>
      <c r="AG30" s="221"/>
      <c r="AH30" s="217">
        <f t="shared" ref="AH30:AH39" si="31">+C30*($C$7/12)</f>
        <v>0</v>
      </c>
      <c r="AI30" s="217">
        <f t="shared" ref="AI30:AI39" si="32">IFERROR(S30/AH30,0)</f>
        <v>0</v>
      </c>
      <c r="AJ30" s="221"/>
      <c r="AK30" s="217">
        <f t="shared" ref="AK30:AK39" si="33">+D30*($C$7/12)</f>
        <v>0</v>
      </c>
      <c r="AL30" s="217">
        <f t="shared" ref="AL30:AL39" si="34">IFERROR(T30/AK30,0)</f>
        <v>0</v>
      </c>
      <c r="AM30" s="221"/>
      <c r="AN30" s="217">
        <f t="shared" ref="AN30:AN39" si="35">+E30*($C$7/12)</f>
        <v>0</v>
      </c>
      <c r="AO30" s="217">
        <f t="shared" ref="AO30:AO39" si="36">IFERROR(U30/AN30,0)</f>
        <v>0</v>
      </c>
      <c r="AP30" s="221"/>
      <c r="AQ30" s="217">
        <f t="shared" ref="AQ30:AQ39" si="37">+F30*($C$7/12)</f>
        <v>0</v>
      </c>
      <c r="AR30" s="217">
        <f t="shared" ref="AR30:AR39" si="38">IFERROR(V30/AQ30,0)</f>
        <v>0</v>
      </c>
      <c r="AS30" s="221"/>
      <c r="AT30" s="217">
        <f t="shared" ref="AT30:AT39" si="39">+G30*($C$7/12)</f>
        <v>0</v>
      </c>
      <c r="AU30" s="217">
        <f t="shared" ref="AU30:AU39" si="40">IFERROR(W30/AT30,0)</f>
        <v>0</v>
      </c>
      <c r="AV30" s="221"/>
      <c r="AW30" s="217">
        <f t="shared" ref="AW30:AW39" si="41">+H30*($C$7/12)</f>
        <v>0</v>
      </c>
      <c r="AX30" s="217">
        <f t="shared" ref="AX30:AX39" si="42">IFERROR(X30/AW30,0)</f>
        <v>0</v>
      </c>
      <c r="AY30" s="221"/>
      <c r="AZ30" s="217">
        <f t="shared" ref="AZ30:AZ39" si="43">+I30*($C$7/12)</f>
        <v>0</v>
      </c>
      <c r="BA30" s="217">
        <f t="shared" ref="BA30:BA39" si="44">IFERROR(Y30/AZ30,0)</f>
        <v>0</v>
      </c>
      <c r="BB30" s="221"/>
      <c r="BC30" s="217">
        <f t="shared" ref="BC30:BC39" si="45">+J30*($C$7/12)</f>
        <v>0</v>
      </c>
      <c r="BD30" s="217">
        <f>IFERROR(Z30/BC30,0)</f>
        <v>0</v>
      </c>
      <c r="BE30" s="221"/>
      <c r="BF30" s="217">
        <f t="shared" ref="BF30:BF39" si="46">+K30*($C$7/12)</f>
        <v>0</v>
      </c>
      <c r="BG30" s="217">
        <f t="shared" ref="BG30:BG39" si="47">IFERROR(AA30/BF30,0)</f>
        <v>0</v>
      </c>
      <c r="BH30" s="221"/>
      <c r="BI30" s="217">
        <f t="shared" ref="BI30:BI39" si="48">+L30*($C$7/12)</f>
        <v>0</v>
      </c>
      <c r="BJ30" s="217">
        <f t="shared" ref="BJ30:BJ39" si="49">IFERROR(AB30/BI30,0)</f>
        <v>0</v>
      </c>
    </row>
    <row r="31" spans="1:62" ht="15.65" hidden="1" customHeight="1" outlineLevel="1">
      <c r="A31" s="7" t="s">
        <v>1238</v>
      </c>
      <c r="B31" s="4" t="str">
        <f>+VLOOKUP(A31,Takstblad!$A$5:$B$30,2,FALSE)</f>
        <v/>
      </c>
      <c r="C31" s="285"/>
      <c r="D31" s="285"/>
      <c r="E31" s="285"/>
      <c r="F31" s="285"/>
      <c r="G31" s="285"/>
      <c r="H31" s="285"/>
      <c r="I31" s="286"/>
      <c r="J31" s="286"/>
      <c r="K31" s="286"/>
      <c r="L31" s="286"/>
      <c r="M31" s="47">
        <f t="shared" si="27"/>
        <v>0</v>
      </c>
      <c r="N31" s="285"/>
      <c r="O31" s="285" t="s">
        <v>113</v>
      </c>
      <c r="Q31" s="16"/>
      <c r="R31" s="21">
        <f t="shared" si="28"/>
        <v>0</v>
      </c>
      <c r="S31" s="25">
        <f>+IFERROR(IF(S$19=Takstblad!C$3,VLOOKUP($A31,takstblad,3,FALSE)*C31,"fejl i år"),0)</f>
        <v>0</v>
      </c>
      <c r="T31" s="25">
        <f>+IFERROR(IF(T$19=Takstblad!D$3,VLOOKUP($A31,takstblad,4,FALSE)*D31,"fejl i år"),0)</f>
        <v>0</v>
      </c>
      <c r="U31" s="25">
        <f>+IFERROR(IF(U$19=Takstblad!E$3,VLOOKUP($A31,takstblad,5,FALSE)*E31,"fejl i år"),0)</f>
        <v>0</v>
      </c>
      <c r="V31" s="25">
        <f>+IFERROR(IF(V$19=Takstblad!F$3,VLOOKUP($A31,takstblad,6,FALSE)*F31,"fejl i år"),0)</f>
        <v>0</v>
      </c>
      <c r="W31" s="25">
        <f>+IFERROR(IF(W$19=Takstblad!G$3,VLOOKUP($A31,takstblad,7,FALSE)*G31,"fejl i år"),0)</f>
        <v>0</v>
      </c>
      <c r="X31" s="25">
        <f>+IFERROR(IF(X$19=Takstblad!H$3,VLOOKUP($A31,takstblad,8,FALSE)*H31,"fejl i år"),0)</f>
        <v>0</v>
      </c>
      <c r="Y31" s="25">
        <f>+IFERROR(IF(Y$19=Takstblad!I$3,VLOOKUP($A31,takstblad,9,FALSE)*I31,"fejl i år"),0)</f>
        <v>0</v>
      </c>
      <c r="Z31" s="25">
        <f>+IFERROR(IF(Z$19=Takstblad!J$3,VLOOKUP($A31,takstblad,10,FALSE)*J31,"fejl i år"),0)</f>
        <v>0</v>
      </c>
      <c r="AA31" s="25">
        <f>+IFERROR(IF(AA$19=Takstblad!K$3,VLOOKUP($A31,takstblad,11,FALSE)*K31,"fejl i år"),0)</f>
        <v>0</v>
      </c>
      <c r="AB31" s="25">
        <f>+IFERROR(IF(AB$19=Takstblad!L$3,VLOOKUP($A31,takstblad,12,FALSE)*L31,"fejl i år"),0)</f>
        <v>0</v>
      </c>
      <c r="AC31" s="21">
        <f t="shared" si="7"/>
        <v>0</v>
      </c>
      <c r="AD31" s="221"/>
      <c r="AE31" s="25">
        <f t="shared" si="29"/>
        <v>0</v>
      </c>
      <c r="AF31" s="25">
        <f t="shared" si="30"/>
        <v>0</v>
      </c>
      <c r="AG31" s="221"/>
      <c r="AH31" s="25">
        <f t="shared" si="31"/>
        <v>0</v>
      </c>
      <c r="AI31" s="25">
        <f t="shared" si="32"/>
        <v>0</v>
      </c>
      <c r="AJ31" s="221"/>
      <c r="AK31" s="25">
        <f t="shared" si="33"/>
        <v>0</v>
      </c>
      <c r="AL31" s="25">
        <f t="shared" si="34"/>
        <v>0</v>
      </c>
      <c r="AM31" s="221"/>
      <c r="AN31" s="25">
        <f t="shared" si="35"/>
        <v>0</v>
      </c>
      <c r="AO31" s="25">
        <f t="shared" si="36"/>
        <v>0</v>
      </c>
      <c r="AP31" s="221"/>
      <c r="AQ31" s="25">
        <f t="shared" si="37"/>
        <v>0</v>
      </c>
      <c r="AR31" s="25">
        <f t="shared" si="38"/>
        <v>0</v>
      </c>
      <c r="AS31" s="221"/>
      <c r="AT31" s="25">
        <f t="shared" si="39"/>
        <v>0</v>
      </c>
      <c r="AU31" s="25">
        <f t="shared" si="40"/>
        <v>0</v>
      </c>
      <c r="AV31" s="221"/>
      <c r="AW31" s="25">
        <f t="shared" si="41"/>
        <v>0</v>
      </c>
      <c r="AX31" s="25">
        <f t="shared" si="42"/>
        <v>0</v>
      </c>
      <c r="AY31" s="221"/>
      <c r="AZ31" s="25">
        <f t="shared" si="43"/>
        <v>0</v>
      </c>
      <c r="BA31" s="25">
        <f t="shared" si="44"/>
        <v>0</v>
      </c>
      <c r="BB31" s="221"/>
      <c r="BC31" s="25">
        <f t="shared" si="45"/>
        <v>0</v>
      </c>
      <c r="BD31" s="25">
        <f t="shared" ref="BD31:BD39" si="50">IFERROR(Z31/BC31,0)</f>
        <v>0</v>
      </c>
      <c r="BE31" s="221"/>
      <c r="BF31" s="25">
        <f t="shared" si="46"/>
        <v>0</v>
      </c>
      <c r="BG31" s="25">
        <f t="shared" si="47"/>
        <v>0</v>
      </c>
      <c r="BH31" s="221"/>
      <c r="BI31" s="25">
        <f t="shared" si="48"/>
        <v>0</v>
      </c>
      <c r="BJ31" s="25">
        <f t="shared" si="49"/>
        <v>0</v>
      </c>
    </row>
    <row r="32" spans="1:62" ht="15.65" hidden="1" customHeight="1" outlineLevel="1">
      <c r="A32" s="212" t="s">
        <v>1238</v>
      </c>
      <c r="B32" s="4" t="str">
        <f>+VLOOKUP(A32,Takstblad!$A$5:$B$30,2,FALSE)</f>
        <v/>
      </c>
      <c r="C32" s="285"/>
      <c r="D32" s="285"/>
      <c r="E32" s="285"/>
      <c r="F32" s="285"/>
      <c r="G32" s="285"/>
      <c r="H32" s="285"/>
      <c r="I32" s="286"/>
      <c r="J32" s="286"/>
      <c r="K32" s="286"/>
      <c r="L32" s="286"/>
      <c r="M32" s="47">
        <f t="shared" si="27"/>
        <v>0</v>
      </c>
      <c r="N32" s="285"/>
      <c r="O32" s="285" t="s">
        <v>113</v>
      </c>
      <c r="P32" s="212"/>
      <c r="Q32" s="214"/>
      <c r="R32" s="216">
        <f t="shared" si="28"/>
        <v>0</v>
      </c>
      <c r="S32" s="215">
        <f>+IFERROR(IF(S$19=Takstblad!C$3,VLOOKUP($A32,takstblad,3,FALSE)*C32,"fejl i år"),0)</f>
        <v>0</v>
      </c>
      <c r="T32" s="215">
        <f>+IFERROR(IF(T$19=Takstblad!D$3,VLOOKUP($A32,takstblad,4,FALSE)*D32,"fejl i år"),0)</f>
        <v>0</v>
      </c>
      <c r="U32" s="215">
        <f>+IFERROR(IF(U$19=Takstblad!E$3,VLOOKUP($A32,takstblad,5,FALSE)*E32,"fejl i år"),0)</f>
        <v>0</v>
      </c>
      <c r="V32" s="215">
        <f>+IFERROR(IF(V$19=Takstblad!F$3,VLOOKUP($A32,takstblad,6,FALSE)*F32,"fejl i år"),0)</f>
        <v>0</v>
      </c>
      <c r="W32" s="215">
        <f>+IFERROR(IF(W$19=Takstblad!G$3,VLOOKUP($A32,takstblad,7,FALSE)*G32,"fejl i år"),0)</f>
        <v>0</v>
      </c>
      <c r="X32" s="215">
        <f>+IFERROR(IF(X$19=Takstblad!H$3,VLOOKUP($A32,takstblad,8,FALSE)*H32,"fejl i år"),0)</f>
        <v>0</v>
      </c>
      <c r="Y32" s="215">
        <f>+IFERROR(IF(Y$19=Takstblad!I$3,VLOOKUP($A32,takstblad,9,FALSE)*I32,"fejl i år"),0)</f>
        <v>0</v>
      </c>
      <c r="Z32" s="215">
        <f>+IFERROR(IF(Z$19=Takstblad!J$3,VLOOKUP($A32,takstblad,10,FALSE)*J32,"fejl i år"),0)</f>
        <v>0</v>
      </c>
      <c r="AA32" s="215">
        <f>+IFERROR(IF(AA$19=Takstblad!K$3,VLOOKUP($A32,takstblad,11,FALSE)*K32,"fejl i år"),0)</f>
        <v>0</v>
      </c>
      <c r="AB32" s="215">
        <f>+IFERROR(IF(AB$19=Takstblad!L$3,VLOOKUP($A32,takstblad,12,FALSE)*L32,"fejl i år"),0)</f>
        <v>0</v>
      </c>
      <c r="AC32" s="216">
        <f t="shared" si="7"/>
        <v>0</v>
      </c>
      <c r="AD32" s="221"/>
      <c r="AE32" s="217">
        <f t="shared" si="29"/>
        <v>0</v>
      </c>
      <c r="AF32" s="217">
        <f t="shared" si="30"/>
        <v>0</v>
      </c>
      <c r="AG32" s="221"/>
      <c r="AH32" s="217">
        <f t="shared" si="31"/>
        <v>0</v>
      </c>
      <c r="AI32" s="217">
        <f t="shared" si="32"/>
        <v>0</v>
      </c>
      <c r="AJ32" s="221"/>
      <c r="AK32" s="217">
        <f t="shared" si="33"/>
        <v>0</v>
      </c>
      <c r="AL32" s="217">
        <f t="shared" si="34"/>
        <v>0</v>
      </c>
      <c r="AM32" s="221"/>
      <c r="AN32" s="217">
        <f t="shared" si="35"/>
        <v>0</v>
      </c>
      <c r="AO32" s="217">
        <f t="shared" si="36"/>
        <v>0</v>
      </c>
      <c r="AP32" s="221"/>
      <c r="AQ32" s="217">
        <f t="shared" si="37"/>
        <v>0</v>
      </c>
      <c r="AR32" s="217">
        <f t="shared" si="38"/>
        <v>0</v>
      </c>
      <c r="AS32" s="221"/>
      <c r="AT32" s="217">
        <f t="shared" si="39"/>
        <v>0</v>
      </c>
      <c r="AU32" s="217">
        <f t="shared" si="40"/>
        <v>0</v>
      </c>
      <c r="AV32" s="221"/>
      <c r="AW32" s="217">
        <f t="shared" si="41"/>
        <v>0</v>
      </c>
      <c r="AX32" s="217">
        <f t="shared" si="42"/>
        <v>0</v>
      </c>
      <c r="AY32" s="221"/>
      <c r="AZ32" s="217">
        <f t="shared" si="43"/>
        <v>0</v>
      </c>
      <c r="BA32" s="217">
        <f t="shared" si="44"/>
        <v>0</v>
      </c>
      <c r="BB32" s="221"/>
      <c r="BC32" s="217">
        <f t="shared" si="45"/>
        <v>0</v>
      </c>
      <c r="BD32" s="217">
        <f t="shared" si="50"/>
        <v>0</v>
      </c>
      <c r="BE32" s="221"/>
      <c r="BF32" s="217">
        <f t="shared" si="46"/>
        <v>0</v>
      </c>
      <c r="BG32" s="217">
        <f t="shared" si="47"/>
        <v>0</v>
      </c>
      <c r="BH32" s="221"/>
      <c r="BI32" s="217">
        <f t="shared" si="48"/>
        <v>0</v>
      </c>
      <c r="BJ32" s="217">
        <f t="shared" si="49"/>
        <v>0</v>
      </c>
    </row>
    <row r="33" spans="1:62" ht="15.65" hidden="1" customHeight="1" outlineLevel="1">
      <c r="A33" s="7" t="s">
        <v>1238</v>
      </c>
      <c r="B33" s="4" t="str">
        <f>+VLOOKUP(A33,Takstblad!$A$5:$B$30,2,FALSE)</f>
        <v/>
      </c>
      <c r="C33" s="285"/>
      <c r="D33" s="285"/>
      <c r="E33" s="285"/>
      <c r="F33" s="285"/>
      <c r="G33" s="285"/>
      <c r="H33" s="285"/>
      <c r="I33" s="286"/>
      <c r="J33" s="286"/>
      <c r="K33" s="286"/>
      <c r="L33" s="286"/>
      <c r="M33" s="47">
        <f t="shared" si="27"/>
        <v>0</v>
      </c>
      <c r="N33" s="285"/>
      <c r="O33" s="285" t="s">
        <v>113</v>
      </c>
      <c r="Q33" s="16"/>
      <c r="R33" s="21">
        <f t="shared" si="28"/>
        <v>0</v>
      </c>
      <c r="S33" s="25">
        <f>+IFERROR(IF(S$19=Takstblad!C$3,VLOOKUP($A33,takstblad,3,FALSE)*C33,"fejl i år"),0)</f>
        <v>0</v>
      </c>
      <c r="T33" s="25">
        <f>+IFERROR(IF(T$19=Takstblad!D$3,VLOOKUP($A33,takstblad,4,FALSE)*D33,"fejl i år"),0)</f>
        <v>0</v>
      </c>
      <c r="U33" s="25">
        <f>+IFERROR(IF(U$19=Takstblad!E$3,VLOOKUP($A33,takstblad,5,FALSE)*E33,"fejl i år"),0)</f>
        <v>0</v>
      </c>
      <c r="V33" s="25">
        <f>+IFERROR(IF(V$19=Takstblad!F$3,VLOOKUP($A33,takstblad,6,FALSE)*F33,"fejl i år"),0)</f>
        <v>0</v>
      </c>
      <c r="W33" s="25">
        <f>+IFERROR(IF(W$19=Takstblad!G$3,VLOOKUP($A33,takstblad,7,FALSE)*G33,"fejl i år"),0)</f>
        <v>0</v>
      </c>
      <c r="X33" s="25">
        <f>+IFERROR(IF(X$19=Takstblad!H$3,VLOOKUP($A33,takstblad,8,FALSE)*H33,"fejl i år"),0)</f>
        <v>0</v>
      </c>
      <c r="Y33" s="25">
        <f>+IFERROR(IF(Y$19=Takstblad!I$3,VLOOKUP($A33,takstblad,9,FALSE)*I33,"fejl i år"),0)</f>
        <v>0</v>
      </c>
      <c r="Z33" s="25">
        <f>+IFERROR(IF(Z$19=Takstblad!J$3,VLOOKUP($A33,takstblad,10,FALSE)*J33,"fejl i år"),0)</f>
        <v>0</v>
      </c>
      <c r="AA33" s="25">
        <f>+IFERROR(IF(AA$19=Takstblad!K$3,VLOOKUP($A33,takstblad,11,FALSE)*K33,"fejl i år"),0)</f>
        <v>0</v>
      </c>
      <c r="AB33" s="25">
        <f>+IFERROR(IF(AB$19=Takstblad!L$3,VLOOKUP($A33,takstblad,12,FALSE)*L33,"fejl i år"),0)</f>
        <v>0</v>
      </c>
      <c r="AC33" s="21">
        <f t="shared" si="7"/>
        <v>0</v>
      </c>
      <c r="AD33" s="221"/>
      <c r="AE33" s="25">
        <f t="shared" si="29"/>
        <v>0</v>
      </c>
      <c r="AF33" s="25">
        <f t="shared" si="30"/>
        <v>0</v>
      </c>
      <c r="AG33" s="221"/>
      <c r="AH33" s="25">
        <f t="shared" si="31"/>
        <v>0</v>
      </c>
      <c r="AI33" s="25">
        <f t="shared" si="32"/>
        <v>0</v>
      </c>
      <c r="AJ33" s="221"/>
      <c r="AK33" s="25">
        <f t="shared" si="33"/>
        <v>0</v>
      </c>
      <c r="AL33" s="25">
        <f t="shared" si="34"/>
        <v>0</v>
      </c>
      <c r="AM33" s="221"/>
      <c r="AN33" s="25">
        <f t="shared" si="35"/>
        <v>0</v>
      </c>
      <c r="AO33" s="25">
        <f t="shared" si="36"/>
        <v>0</v>
      </c>
      <c r="AP33" s="221"/>
      <c r="AQ33" s="25">
        <f t="shared" si="37"/>
        <v>0</v>
      </c>
      <c r="AR33" s="25">
        <f t="shared" si="38"/>
        <v>0</v>
      </c>
      <c r="AS33" s="221"/>
      <c r="AT33" s="25">
        <f t="shared" si="39"/>
        <v>0</v>
      </c>
      <c r="AU33" s="25">
        <f t="shared" si="40"/>
        <v>0</v>
      </c>
      <c r="AV33" s="221"/>
      <c r="AW33" s="25">
        <f t="shared" si="41"/>
        <v>0</v>
      </c>
      <c r="AX33" s="25">
        <f t="shared" si="42"/>
        <v>0</v>
      </c>
      <c r="AY33" s="221"/>
      <c r="AZ33" s="25">
        <f t="shared" si="43"/>
        <v>0</v>
      </c>
      <c r="BA33" s="25">
        <f t="shared" si="44"/>
        <v>0</v>
      </c>
      <c r="BB33" s="221"/>
      <c r="BC33" s="25">
        <f t="shared" si="45"/>
        <v>0</v>
      </c>
      <c r="BD33" s="25">
        <f t="shared" si="50"/>
        <v>0</v>
      </c>
      <c r="BE33" s="221"/>
      <c r="BF33" s="25">
        <f t="shared" si="46"/>
        <v>0</v>
      </c>
      <c r="BG33" s="25">
        <f t="shared" si="47"/>
        <v>0</v>
      </c>
      <c r="BH33" s="221"/>
      <c r="BI33" s="25">
        <f t="shared" si="48"/>
        <v>0</v>
      </c>
      <c r="BJ33" s="25">
        <f t="shared" si="49"/>
        <v>0</v>
      </c>
    </row>
    <row r="34" spans="1:62" ht="15.65" hidden="1" customHeight="1" outlineLevel="1">
      <c r="A34" s="212" t="s">
        <v>1238</v>
      </c>
      <c r="B34" s="4" t="str">
        <f>+VLOOKUP(A34,Takstblad!$A$5:$B$30,2,FALSE)</f>
        <v/>
      </c>
      <c r="C34" s="285"/>
      <c r="D34" s="285"/>
      <c r="E34" s="285"/>
      <c r="F34" s="285"/>
      <c r="G34" s="285"/>
      <c r="H34" s="285"/>
      <c r="I34" s="286"/>
      <c r="J34" s="286"/>
      <c r="K34" s="286"/>
      <c r="L34" s="286"/>
      <c r="M34" s="47">
        <f>SUM(C34:L34)</f>
        <v>0</v>
      </c>
      <c r="N34" s="285"/>
      <c r="O34" s="285" t="s">
        <v>113</v>
      </c>
      <c r="P34" s="212"/>
      <c r="Q34" s="214"/>
      <c r="R34" s="216">
        <f t="shared" si="28"/>
        <v>0</v>
      </c>
      <c r="S34" s="215">
        <f>+IFERROR(IF(S$19=Takstblad!C$3,VLOOKUP($A34,takstblad,3,FALSE)*C34,"fejl i år"),0)</f>
        <v>0</v>
      </c>
      <c r="T34" s="215">
        <f>+IFERROR(IF(T$19=Takstblad!D$3,VLOOKUP($A34,takstblad,4,FALSE)*D34,"fejl i år"),0)</f>
        <v>0</v>
      </c>
      <c r="U34" s="215">
        <f>+IFERROR(IF(U$19=Takstblad!E$3,VLOOKUP($A34,takstblad,5,FALSE)*E34,"fejl i år"),0)</f>
        <v>0</v>
      </c>
      <c r="V34" s="215">
        <f>+IFERROR(IF(V$19=Takstblad!F$3,VLOOKUP($A34,takstblad,6,FALSE)*F34,"fejl i år"),0)</f>
        <v>0</v>
      </c>
      <c r="W34" s="215">
        <f>+IFERROR(IF(W$19=Takstblad!G$3,VLOOKUP($A34,takstblad,7,FALSE)*G34,"fejl i år"),0)</f>
        <v>0</v>
      </c>
      <c r="X34" s="215">
        <f>+IFERROR(IF(X$19=Takstblad!H$3,VLOOKUP($A34,takstblad,8,FALSE)*H34,"fejl i år"),0)</f>
        <v>0</v>
      </c>
      <c r="Y34" s="215">
        <f>+IFERROR(IF(Y$19=Takstblad!I$3,VLOOKUP($A34,takstblad,9,FALSE)*I34,"fejl i år"),0)</f>
        <v>0</v>
      </c>
      <c r="Z34" s="215">
        <f>+IFERROR(IF(Z$19=Takstblad!J$3,VLOOKUP($A34,takstblad,10,FALSE)*J34,"fejl i år"),0)</f>
        <v>0</v>
      </c>
      <c r="AA34" s="215">
        <f>+IFERROR(IF(AA$19=Takstblad!K$3,VLOOKUP($A34,takstblad,11,FALSE)*K34,"fejl i år"),0)</f>
        <v>0</v>
      </c>
      <c r="AB34" s="215">
        <f>+IFERROR(IF(AB$19=Takstblad!L$3,VLOOKUP($A34,takstblad,12,FALSE)*L34,"fejl i år"),0)</f>
        <v>0</v>
      </c>
      <c r="AC34" s="216">
        <f t="shared" si="7"/>
        <v>0</v>
      </c>
      <c r="AD34" s="221"/>
      <c r="AE34" s="217">
        <f t="shared" si="29"/>
        <v>0</v>
      </c>
      <c r="AF34" s="217">
        <f t="shared" si="30"/>
        <v>0</v>
      </c>
      <c r="AG34" s="221"/>
      <c r="AH34" s="217">
        <f t="shared" si="31"/>
        <v>0</v>
      </c>
      <c r="AI34" s="217">
        <f t="shared" si="32"/>
        <v>0</v>
      </c>
      <c r="AJ34" s="221"/>
      <c r="AK34" s="217">
        <f t="shared" si="33"/>
        <v>0</v>
      </c>
      <c r="AL34" s="217">
        <f t="shared" si="34"/>
        <v>0</v>
      </c>
      <c r="AM34" s="221"/>
      <c r="AN34" s="217">
        <f t="shared" si="35"/>
        <v>0</v>
      </c>
      <c r="AO34" s="217">
        <f t="shared" si="36"/>
        <v>0</v>
      </c>
      <c r="AP34" s="221"/>
      <c r="AQ34" s="217">
        <f t="shared" si="37"/>
        <v>0</v>
      </c>
      <c r="AR34" s="217">
        <f t="shared" si="38"/>
        <v>0</v>
      </c>
      <c r="AS34" s="221"/>
      <c r="AT34" s="217">
        <f t="shared" si="39"/>
        <v>0</v>
      </c>
      <c r="AU34" s="217">
        <f t="shared" si="40"/>
        <v>0</v>
      </c>
      <c r="AV34" s="221"/>
      <c r="AW34" s="217">
        <f t="shared" si="41"/>
        <v>0</v>
      </c>
      <c r="AX34" s="217">
        <f t="shared" si="42"/>
        <v>0</v>
      </c>
      <c r="AY34" s="221"/>
      <c r="AZ34" s="217">
        <f t="shared" si="43"/>
        <v>0</v>
      </c>
      <c r="BA34" s="217">
        <f t="shared" si="44"/>
        <v>0</v>
      </c>
      <c r="BB34" s="221"/>
      <c r="BC34" s="217">
        <f t="shared" si="45"/>
        <v>0</v>
      </c>
      <c r="BD34" s="217">
        <f t="shared" si="50"/>
        <v>0</v>
      </c>
      <c r="BE34" s="221"/>
      <c r="BF34" s="217">
        <f t="shared" si="46"/>
        <v>0</v>
      </c>
      <c r="BG34" s="217">
        <f t="shared" si="47"/>
        <v>0</v>
      </c>
      <c r="BH34" s="221"/>
      <c r="BI34" s="217">
        <f t="shared" si="48"/>
        <v>0</v>
      </c>
      <c r="BJ34" s="217">
        <f t="shared" si="49"/>
        <v>0</v>
      </c>
    </row>
    <row r="35" spans="1:62" ht="15.65" hidden="1" customHeight="1" outlineLevel="1">
      <c r="A35" s="7" t="s">
        <v>1238</v>
      </c>
      <c r="B35" s="4" t="str">
        <f>+VLOOKUP(A35,Takstblad!$A$5:$B$30,2,FALSE)</f>
        <v/>
      </c>
      <c r="C35" s="285"/>
      <c r="D35" s="285"/>
      <c r="E35" s="285"/>
      <c r="F35" s="285"/>
      <c r="G35" s="285"/>
      <c r="H35" s="285"/>
      <c r="I35" s="286"/>
      <c r="J35" s="286"/>
      <c r="K35" s="286"/>
      <c r="L35" s="286"/>
      <c r="M35" s="47">
        <f t="shared" si="27"/>
        <v>0</v>
      </c>
      <c r="N35" s="285"/>
      <c r="O35" s="285" t="s">
        <v>113</v>
      </c>
      <c r="Q35" s="16"/>
      <c r="R35" s="21">
        <f t="shared" si="28"/>
        <v>0</v>
      </c>
      <c r="S35" s="25">
        <f>+IFERROR(IF(S$19=Takstblad!C$3,VLOOKUP($A35,takstblad,3,FALSE)*C35,"fejl i år"),0)</f>
        <v>0</v>
      </c>
      <c r="T35" s="25">
        <f>+IFERROR(IF(T$19=Takstblad!D$3,VLOOKUP($A35,takstblad,4,FALSE)*D35,"fejl i år"),0)</f>
        <v>0</v>
      </c>
      <c r="U35" s="25">
        <f>+IFERROR(IF(U$19=Takstblad!E$3,VLOOKUP($A35,takstblad,5,FALSE)*E35,"fejl i år"),0)</f>
        <v>0</v>
      </c>
      <c r="V35" s="25">
        <f>+IFERROR(IF(V$19=Takstblad!F$3,VLOOKUP($A35,takstblad,6,FALSE)*F35,"fejl i år"),0)</f>
        <v>0</v>
      </c>
      <c r="W35" s="25">
        <f>+IFERROR(IF(W$19=Takstblad!G$3,VLOOKUP($A35,takstblad,7,FALSE)*G35,"fejl i år"),0)</f>
        <v>0</v>
      </c>
      <c r="X35" s="25">
        <f>+IFERROR(IF(X$19=Takstblad!H$3,VLOOKUP($A35,takstblad,8,FALSE)*H35,"fejl i år"),0)</f>
        <v>0</v>
      </c>
      <c r="Y35" s="25">
        <f>+IFERROR(IF(Y$19=Takstblad!I$3,VLOOKUP($A35,takstblad,9,FALSE)*I35,"fejl i år"),0)</f>
        <v>0</v>
      </c>
      <c r="Z35" s="25">
        <f>+IFERROR(IF(Z$19=Takstblad!J$3,VLOOKUP($A35,takstblad,10,FALSE)*J35,"fejl i år"),0)</f>
        <v>0</v>
      </c>
      <c r="AA35" s="25">
        <f>+IFERROR(IF(AA$19=Takstblad!K$3,VLOOKUP($A35,takstblad,11,FALSE)*K35,"fejl i år"),0)</f>
        <v>0</v>
      </c>
      <c r="AB35" s="25">
        <f>+IFERROR(IF(AB$19=Takstblad!L$3,VLOOKUP($A35,takstblad,12,FALSE)*L35,"fejl i år"),0)</f>
        <v>0</v>
      </c>
      <c r="AC35" s="21">
        <f t="shared" si="7"/>
        <v>0</v>
      </c>
      <c r="AD35" s="221"/>
      <c r="AE35" s="25">
        <f t="shared" si="29"/>
        <v>0</v>
      </c>
      <c r="AF35" s="25">
        <f t="shared" si="30"/>
        <v>0</v>
      </c>
      <c r="AG35" s="221"/>
      <c r="AH35" s="25">
        <f t="shared" si="31"/>
        <v>0</v>
      </c>
      <c r="AI35" s="25">
        <f t="shared" si="32"/>
        <v>0</v>
      </c>
      <c r="AJ35" s="221"/>
      <c r="AK35" s="25">
        <f t="shared" si="33"/>
        <v>0</v>
      </c>
      <c r="AL35" s="25">
        <f t="shared" si="34"/>
        <v>0</v>
      </c>
      <c r="AM35" s="221"/>
      <c r="AN35" s="25">
        <f t="shared" si="35"/>
        <v>0</v>
      </c>
      <c r="AO35" s="25">
        <f t="shared" si="36"/>
        <v>0</v>
      </c>
      <c r="AP35" s="221"/>
      <c r="AQ35" s="25">
        <f t="shared" si="37"/>
        <v>0</v>
      </c>
      <c r="AR35" s="25">
        <f t="shared" si="38"/>
        <v>0</v>
      </c>
      <c r="AS35" s="221"/>
      <c r="AT35" s="25">
        <f t="shared" si="39"/>
        <v>0</v>
      </c>
      <c r="AU35" s="25">
        <f t="shared" si="40"/>
        <v>0</v>
      </c>
      <c r="AV35" s="221"/>
      <c r="AW35" s="25">
        <f t="shared" si="41"/>
        <v>0</v>
      </c>
      <c r="AX35" s="25">
        <f t="shared" si="42"/>
        <v>0</v>
      </c>
      <c r="AY35" s="221"/>
      <c r="AZ35" s="25">
        <f t="shared" si="43"/>
        <v>0</v>
      </c>
      <c r="BA35" s="25">
        <f t="shared" si="44"/>
        <v>0</v>
      </c>
      <c r="BB35" s="221"/>
      <c r="BC35" s="25">
        <f t="shared" si="45"/>
        <v>0</v>
      </c>
      <c r="BD35" s="25">
        <f t="shared" si="50"/>
        <v>0</v>
      </c>
      <c r="BE35" s="221"/>
      <c r="BF35" s="25">
        <f t="shared" si="46"/>
        <v>0</v>
      </c>
      <c r="BG35" s="25">
        <f t="shared" si="47"/>
        <v>0</v>
      </c>
      <c r="BH35" s="221"/>
      <c r="BI35" s="25">
        <f t="shared" si="48"/>
        <v>0</v>
      </c>
      <c r="BJ35" s="25">
        <f t="shared" si="49"/>
        <v>0</v>
      </c>
    </row>
    <row r="36" spans="1:62" ht="15.65" hidden="1" customHeight="1" outlineLevel="1">
      <c r="A36" s="212" t="s">
        <v>1238</v>
      </c>
      <c r="B36" s="4" t="str">
        <f>+VLOOKUP(A36,Takstblad!$A$5:$B$30,2,FALSE)</f>
        <v/>
      </c>
      <c r="C36" s="285"/>
      <c r="D36" s="285"/>
      <c r="E36" s="285"/>
      <c r="F36" s="285"/>
      <c r="G36" s="285"/>
      <c r="H36" s="285"/>
      <c r="I36" s="286"/>
      <c r="J36" s="286"/>
      <c r="K36" s="286"/>
      <c r="L36" s="286"/>
      <c r="M36" s="47">
        <f t="shared" si="27"/>
        <v>0</v>
      </c>
      <c r="N36" s="285"/>
      <c r="O36" s="285" t="s">
        <v>113</v>
      </c>
      <c r="P36" s="212"/>
      <c r="Q36" s="214"/>
      <c r="R36" s="216">
        <f t="shared" si="28"/>
        <v>0</v>
      </c>
      <c r="S36" s="215">
        <f>+IFERROR(IF(S$19=Takstblad!C$3,VLOOKUP($A36,takstblad,3,FALSE)*C36,"fejl i år"),0)</f>
        <v>0</v>
      </c>
      <c r="T36" s="215">
        <f>+IFERROR(IF(T$19=Takstblad!D$3,VLOOKUP($A36,takstblad,4,FALSE)*D36,"fejl i år"),0)</f>
        <v>0</v>
      </c>
      <c r="U36" s="215">
        <f>+IFERROR(IF(U$19=Takstblad!E$3,VLOOKUP($A36,takstblad,5,FALSE)*E36,"fejl i år"),0)</f>
        <v>0</v>
      </c>
      <c r="V36" s="215">
        <f>+IFERROR(IF(V$19=Takstblad!F$3,VLOOKUP($A36,takstblad,6,FALSE)*F36,"fejl i år"),0)</f>
        <v>0</v>
      </c>
      <c r="W36" s="215">
        <f>+IFERROR(IF(W$19=Takstblad!G$3,VLOOKUP($A36,takstblad,7,FALSE)*G36,"fejl i år"),0)</f>
        <v>0</v>
      </c>
      <c r="X36" s="215">
        <f>+IFERROR(IF(X$19=Takstblad!H$3,VLOOKUP($A36,takstblad,8,FALSE)*H36,"fejl i år"),0)</f>
        <v>0</v>
      </c>
      <c r="Y36" s="215">
        <f>+IFERROR(IF(Y$19=Takstblad!I$3,VLOOKUP($A36,takstblad,9,FALSE)*I36,"fejl i år"),0)</f>
        <v>0</v>
      </c>
      <c r="Z36" s="215">
        <f>+IFERROR(IF(Z$19=Takstblad!J$3,VLOOKUP($A36,takstblad,10,FALSE)*J36,"fejl i år"),0)</f>
        <v>0</v>
      </c>
      <c r="AA36" s="215">
        <f>+IFERROR(IF(AA$19=Takstblad!K$3,VLOOKUP($A36,takstblad,11,FALSE)*K36,"fejl i år"),0)</f>
        <v>0</v>
      </c>
      <c r="AB36" s="215">
        <f>+IFERROR(IF(AB$19=Takstblad!L$3,VLOOKUP($A36,takstblad,12,FALSE)*L36,"fejl i år"),0)</f>
        <v>0</v>
      </c>
      <c r="AC36" s="216">
        <f t="shared" si="7"/>
        <v>0</v>
      </c>
      <c r="AD36" s="221"/>
      <c r="AE36" s="217">
        <f t="shared" si="29"/>
        <v>0</v>
      </c>
      <c r="AF36" s="217">
        <f t="shared" si="30"/>
        <v>0</v>
      </c>
      <c r="AG36" s="221"/>
      <c r="AH36" s="217">
        <f t="shared" si="31"/>
        <v>0</v>
      </c>
      <c r="AI36" s="217">
        <f t="shared" si="32"/>
        <v>0</v>
      </c>
      <c r="AJ36" s="221"/>
      <c r="AK36" s="217">
        <f t="shared" si="33"/>
        <v>0</v>
      </c>
      <c r="AL36" s="217">
        <f t="shared" si="34"/>
        <v>0</v>
      </c>
      <c r="AM36" s="221"/>
      <c r="AN36" s="217">
        <f t="shared" si="35"/>
        <v>0</v>
      </c>
      <c r="AO36" s="217">
        <f t="shared" si="36"/>
        <v>0</v>
      </c>
      <c r="AP36" s="221"/>
      <c r="AQ36" s="217">
        <f t="shared" si="37"/>
        <v>0</v>
      </c>
      <c r="AR36" s="217">
        <f t="shared" si="38"/>
        <v>0</v>
      </c>
      <c r="AS36" s="221"/>
      <c r="AT36" s="217">
        <f t="shared" si="39"/>
        <v>0</v>
      </c>
      <c r="AU36" s="217">
        <f t="shared" si="40"/>
        <v>0</v>
      </c>
      <c r="AV36" s="221"/>
      <c r="AW36" s="217">
        <f t="shared" si="41"/>
        <v>0</v>
      </c>
      <c r="AX36" s="217">
        <f t="shared" si="42"/>
        <v>0</v>
      </c>
      <c r="AY36" s="221"/>
      <c r="AZ36" s="217">
        <f t="shared" si="43"/>
        <v>0</v>
      </c>
      <c r="BA36" s="217">
        <f t="shared" si="44"/>
        <v>0</v>
      </c>
      <c r="BB36" s="221"/>
      <c r="BC36" s="217">
        <f t="shared" si="45"/>
        <v>0</v>
      </c>
      <c r="BD36" s="217">
        <f t="shared" si="50"/>
        <v>0</v>
      </c>
      <c r="BE36" s="221"/>
      <c r="BF36" s="217">
        <f t="shared" si="46"/>
        <v>0</v>
      </c>
      <c r="BG36" s="217">
        <f t="shared" si="47"/>
        <v>0</v>
      </c>
      <c r="BH36" s="221"/>
      <c r="BI36" s="217">
        <f t="shared" si="48"/>
        <v>0</v>
      </c>
      <c r="BJ36" s="217">
        <f t="shared" si="49"/>
        <v>0</v>
      </c>
    </row>
    <row r="37" spans="1:62" ht="15.65" hidden="1" customHeight="1" outlineLevel="1">
      <c r="A37" s="7" t="s">
        <v>1238</v>
      </c>
      <c r="B37" s="4" t="str">
        <f>+VLOOKUP(A37,Takstblad!$A$5:$B$30,2,FALSE)</f>
        <v/>
      </c>
      <c r="C37" s="285"/>
      <c r="D37" s="285"/>
      <c r="E37" s="285"/>
      <c r="F37" s="285"/>
      <c r="G37" s="285"/>
      <c r="H37" s="285"/>
      <c r="I37" s="286"/>
      <c r="J37" s="286"/>
      <c r="K37" s="286"/>
      <c r="L37" s="286"/>
      <c r="M37" s="47">
        <f t="shared" si="27"/>
        <v>0</v>
      </c>
      <c r="N37" s="285"/>
      <c r="O37" s="285" t="s">
        <v>113</v>
      </c>
      <c r="Q37" s="16"/>
      <c r="R37" s="21">
        <f t="shared" si="28"/>
        <v>0</v>
      </c>
      <c r="S37" s="25">
        <f>+IFERROR(IF(S$19=Takstblad!C$3,VLOOKUP($A37,takstblad,3,FALSE)*C37,"fejl i år"),0)</f>
        <v>0</v>
      </c>
      <c r="T37" s="25">
        <f>+IFERROR(IF(T$19=Takstblad!D$3,VLOOKUP($A37,takstblad,4,FALSE)*D37,"fejl i år"),0)</f>
        <v>0</v>
      </c>
      <c r="U37" s="25">
        <f>+IFERROR(IF(U$19=Takstblad!E$3,VLOOKUP($A37,takstblad,5,FALSE)*E37,"fejl i år"),0)</f>
        <v>0</v>
      </c>
      <c r="V37" s="25">
        <f>+IFERROR(IF(V$19=Takstblad!F$3,VLOOKUP($A37,takstblad,6,FALSE)*F37,"fejl i år"),0)</f>
        <v>0</v>
      </c>
      <c r="W37" s="25">
        <f>+IFERROR(IF(W$19=Takstblad!G$3,VLOOKUP($A37,takstblad,7,FALSE)*G37,"fejl i år"),0)</f>
        <v>0</v>
      </c>
      <c r="X37" s="25">
        <f>+IFERROR(IF(X$19=Takstblad!H$3,VLOOKUP($A37,takstblad,8,FALSE)*H37,"fejl i år"),0)</f>
        <v>0</v>
      </c>
      <c r="Y37" s="25">
        <f>+IFERROR(IF(Y$19=Takstblad!I$3,VLOOKUP($A37,takstblad,9,FALSE)*I37,"fejl i år"),0)</f>
        <v>0</v>
      </c>
      <c r="Z37" s="25">
        <f>+IFERROR(IF(Z$19=Takstblad!J$3,VLOOKUP($A37,takstblad,10,FALSE)*J37,"fejl i år"),0)</f>
        <v>0</v>
      </c>
      <c r="AA37" s="25">
        <f>+IFERROR(IF(AA$19=Takstblad!K$3,VLOOKUP($A37,takstblad,11,FALSE)*K37,"fejl i år"),0)</f>
        <v>0</v>
      </c>
      <c r="AB37" s="25">
        <f>+IFERROR(IF(AB$19=Takstblad!L$3,VLOOKUP($A37,takstblad,12,FALSE)*L37,"fejl i år"),0)</f>
        <v>0</v>
      </c>
      <c r="AC37" s="21">
        <f t="shared" si="7"/>
        <v>0</v>
      </c>
      <c r="AD37" s="221"/>
      <c r="AE37" s="25">
        <f t="shared" si="29"/>
        <v>0</v>
      </c>
      <c r="AF37" s="25">
        <f t="shared" si="30"/>
        <v>0</v>
      </c>
      <c r="AG37" s="221"/>
      <c r="AH37" s="25">
        <f t="shared" si="31"/>
        <v>0</v>
      </c>
      <c r="AI37" s="25">
        <f t="shared" si="32"/>
        <v>0</v>
      </c>
      <c r="AJ37" s="221"/>
      <c r="AK37" s="25">
        <f t="shared" si="33"/>
        <v>0</v>
      </c>
      <c r="AL37" s="25">
        <f t="shared" si="34"/>
        <v>0</v>
      </c>
      <c r="AM37" s="221"/>
      <c r="AN37" s="25">
        <f t="shared" si="35"/>
        <v>0</v>
      </c>
      <c r="AO37" s="25">
        <f t="shared" si="36"/>
        <v>0</v>
      </c>
      <c r="AP37" s="221"/>
      <c r="AQ37" s="25">
        <f t="shared" si="37"/>
        <v>0</v>
      </c>
      <c r="AR37" s="25">
        <f t="shared" si="38"/>
        <v>0</v>
      </c>
      <c r="AS37" s="221"/>
      <c r="AT37" s="25">
        <f t="shared" si="39"/>
        <v>0</v>
      </c>
      <c r="AU37" s="25">
        <f t="shared" si="40"/>
        <v>0</v>
      </c>
      <c r="AV37" s="221"/>
      <c r="AW37" s="25">
        <f t="shared" si="41"/>
        <v>0</v>
      </c>
      <c r="AX37" s="25">
        <f t="shared" si="42"/>
        <v>0</v>
      </c>
      <c r="AY37" s="221"/>
      <c r="AZ37" s="25">
        <f t="shared" si="43"/>
        <v>0</v>
      </c>
      <c r="BA37" s="25">
        <f t="shared" si="44"/>
        <v>0</v>
      </c>
      <c r="BB37" s="221"/>
      <c r="BC37" s="25">
        <f t="shared" si="45"/>
        <v>0</v>
      </c>
      <c r="BD37" s="25">
        <f t="shared" si="50"/>
        <v>0</v>
      </c>
      <c r="BE37" s="221"/>
      <c r="BF37" s="25">
        <f t="shared" si="46"/>
        <v>0</v>
      </c>
      <c r="BG37" s="25">
        <f t="shared" si="47"/>
        <v>0</v>
      </c>
      <c r="BH37" s="221"/>
      <c r="BI37" s="25">
        <f t="shared" si="48"/>
        <v>0</v>
      </c>
      <c r="BJ37" s="25">
        <f t="shared" si="49"/>
        <v>0</v>
      </c>
    </row>
    <row r="38" spans="1:62" ht="15.65" hidden="1" customHeight="1" outlineLevel="1">
      <c r="A38" s="212" t="s">
        <v>1238</v>
      </c>
      <c r="B38" s="4" t="str">
        <f>+VLOOKUP(A38,Takstblad!$A$5:$B$30,2,FALSE)</f>
        <v/>
      </c>
      <c r="C38" s="285"/>
      <c r="D38" s="285"/>
      <c r="E38" s="285"/>
      <c r="F38" s="285"/>
      <c r="G38" s="285"/>
      <c r="H38" s="285"/>
      <c r="I38" s="286"/>
      <c r="J38" s="286"/>
      <c r="K38" s="286"/>
      <c r="L38" s="286"/>
      <c r="M38" s="47">
        <f t="shared" si="27"/>
        <v>0</v>
      </c>
      <c r="N38" s="285"/>
      <c r="O38" s="285" t="s">
        <v>113</v>
      </c>
      <c r="P38" s="212"/>
      <c r="Q38" s="214"/>
      <c r="R38" s="216">
        <f>+AC38</f>
        <v>0</v>
      </c>
      <c r="S38" s="215">
        <f>+IFERROR(IF(S$19=Takstblad!C$3,VLOOKUP($A38,takstblad,3,FALSE)*C38,"fejl i år"),0)</f>
        <v>0</v>
      </c>
      <c r="T38" s="215">
        <f>+IFERROR(IF(T$19=Takstblad!D$3,VLOOKUP($A38,takstblad,4,FALSE)*D38,"fejl i år"),0)</f>
        <v>0</v>
      </c>
      <c r="U38" s="215">
        <f>+IFERROR(IF(U$19=Takstblad!E$3,VLOOKUP($A38,takstblad,5,FALSE)*E38,"fejl i år"),0)</f>
        <v>0</v>
      </c>
      <c r="V38" s="215">
        <f>+IFERROR(IF(V$19=Takstblad!F$3,VLOOKUP($A38,takstblad,6,FALSE)*F38,"fejl i år"),0)</f>
        <v>0</v>
      </c>
      <c r="W38" s="215">
        <f>+IFERROR(IF(W$19=Takstblad!G$3,VLOOKUP($A38,takstblad,7,FALSE)*G38,"fejl i år"),0)</f>
        <v>0</v>
      </c>
      <c r="X38" s="215">
        <f>+IFERROR(IF(X$19=Takstblad!H$3,VLOOKUP($A38,takstblad,8,FALSE)*H38,"fejl i år"),0)</f>
        <v>0</v>
      </c>
      <c r="Y38" s="215">
        <f>+IFERROR(IF(Y$19=Takstblad!I$3,VLOOKUP($A38,takstblad,9,FALSE)*I38,"fejl i år"),0)</f>
        <v>0</v>
      </c>
      <c r="Z38" s="215">
        <f>+IFERROR(IF(Z$19=Takstblad!J$3,VLOOKUP($A38,takstblad,10,FALSE)*J38,"fejl i år"),0)</f>
        <v>0</v>
      </c>
      <c r="AA38" s="215">
        <f>+IFERROR(IF(AA$19=Takstblad!K$3,VLOOKUP($A38,takstblad,11,FALSE)*K38,"fejl i år"),0)</f>
        <v>0</v>
      </c>
      <c r="AB38" s="215">
        <f>+IFERROR(IF(AB$19=Takstblad!L$3,VLOOKUP($A38,takstblad,12,FALSE)*L38,"fejl i år"),0)</f>
        <v>0</v>
      </c>
      <c r="AC38" s="216">
        <f t="shared" si="7"/>
        <v>0</v>
      </c>
      <c r="AD38" s="221"/>
      <c r="AE38" s="217">
        <f t="shared" si="29"/>
        <v>0</v>
      </c>
      <c r="AF38" s="217">
        <f t="shared" si="30"/>
        <v>0</v>
      </c>
      <c r="AG38" s="221"/>
      <c r="AH38" s="217">
        <f t="shared" si="31"/>
        <v>0</v>
      </c>
      <c r="AI38" s="217">
        <f t="shared" si="32"/>
        <v>0</v>
      </c>
      <c r="AJ38" s="221"/>
      <c r="AK38" s="217">
        <f t="shared" si="33"/>
        <v>0</v>
      </c>
      <c r="AL38" s="217">
        <f t="shared" si="34"/>
        <v>0</v>
      </c>
      <c r="AM38" s="221"/>
      <c r="AN38" s="217">
        <f t="shared" si="35"/>
        <v>0</v>
      </c>
      <c r="AO38" s="217">
        <f t="shared" si="36"/>
        <v>0</v>
      </c>
      <c r="AP38" s="221"/>
      <c r="AQ38" s="217">
        <f t="shared" si="37"/>
        <v>0</v>
      </c>
      <c r="AR38" s="217">
        <f t="shared" si="38"/>
        <v>0</v>
      </c>
      <c r="AS38" s="221"/>
      <c r="AT38" s="217">
        <f t="shared" si="39"/>
        <v>0</v>
      </c>
      <c r="AU38" s="217">
        <f t="shared" si="40"/>
        <v>0</v>
      </c>
      <c r="AV38" s="221"/>
      <c r="AW38" s="217">
        <f t="shared" si="41"/>
        <v>0</v>
      </c>
      <c r="AX38" s="217">
        <f t="shared" si="42"/>
        <v>0</v>
      </c>
      <c r="AY38" s="221"/>
      <c r="AZ38" s="217">
        <f t="shared" si="43"/>
        <v>0</v>
      </c>
      <c r="BA38" s="217">
        <f t="shared" si="44"/>
        <v>0</v>
      </c>
      <c r="BB38" s="221"/>
      <c r="BC38" s="217">
        <f t="shared" si="45"/>
        <v>0</v>
      </c>
      <c r="BD38" s="217">
        <f t="shared" si="50"/>
        <v>0</v>
      </c>
      <c r="BE38" s="221"/>
      <c r="BF38" s="217">
        <f t="shared" si="46"/>
        <v>0</v>
      </c>
      <c r="BG38" s="217">
        <f t="shared" si="47"/>
        <v>0</v>
      </c>
      <c r="BH38" s="221"/>
      <c r="BI38" s="217">
        <f t="shared" si="48"/>
        <v>0</v>
      </c>
      <c r="BJ38" s="217">
        <f t="shared" si="49"/>
        <v>0</v>
      </c>
    </row>
    <row r="39" spans="1:62" ht="15.65" hidden="1" customHeight="1" outlineLevel="1" thickBot="1">
      <c r="A39" s="7" t="s">
        <v>1238</v>
      </c>
      <c r="B39" s="4" t="str">
        <f>+VLOOKUP(A39,Takstblad!$A$5:$B$30,2,FALSE)</f>
        <v/>
      </c>
      <c r="C39" s="285"/>
      <c r="D39" s="285"/>
      <c r="E39" s="285"/>
      <c r="F39" s="285"/>
      <c r="G39" s="285"/>
      <c r="H39" s="285"/>
      <c r="I39" s="286"/>
      <c r="J39" s="286"/>
      <c r="K39" s="286"/>
      <c r="L39" s="286"/>
      <c r="M39" s="47">
        <f t="shared" si="27"/>
        <v>0</v>
      </c>
      <c r="N39" s="285"/>
      <c r="O39" s="285" t="s">
        <v>113</v>
      </c>
      <c r="Q39" s="16"/>
      <c r="R39" s="21">
        <f t="shared" si="28"/>
        <v>0</v>
      </c>
      <c r="S39" s="25">
        <f>+IFERROR(IF(S$19=Takstblad!C$3,VLOOKUP($A39,takstblad,3,FALSE)*C39,"fejl i år"),0)</f>
        <v>0</v>
      </c>
      <c r="T39" s="25">
        <f>+IFERROR(IF(T$19=Takstblad!D$3,VLOOKUP($A39,takstblad,4,FALSE)*D39,"fejl i år"),0)</f>
        <v>0</v>
      </c>
      <c r="U39" s="25">
        <f>+IFERROR(IF(U$19=Takstblad!E$3,VLOOKUP($A39,takstblad,5,FALSE)*E39,"fejl i år"),0)</f>
        <v>0</v>
      </c>
      <c r="V39" s="25">
        <f>+IFERROR(IF(V$19=Takstblad!F$3,VLOOKUP($A39,takstblad,6,FALSE)*F39,"fejl i år"),0)</f>
        <v>0</v>
      </c>
      <c r="W39" s="25">
        <f>+IFERROR(IF(W$19=Takstblad!G$3,VLOOKUP($A39,takstblad,7,FALSE)*G39,"fejl i år"),0)</f>
        <v>0</v>
      </c>
      <c r="X39" s="25">
        <f>+IFERROR(IF(X$19=Takstblad!H$3,VLOOKUP($A39,takstblad,8,FALSE)*H39,"fejl i år"),0)</f>
        <v>0</v>
      </c>
      <c r="Y39" s="25">
        <f>+IFERROR(IF(Y$19=Takstblad!I$3,VLOOKUP($A39,takstblad,9,FALSE)*I39,"fejl i år"),0)</f>
        <v>0</v>
      </c>
      <c r="Z39" s="25">
        <f>+IFERROR(IF(Z$19=Takstblad!J$3,VLOOKUP($A39,takstblad,10,FALSE)*J39,"fejl i år"),0)</f>
        <v>0</v>
      </c>
      <c r="AA39" s="25">
        <f>+IFERROR(IF(AA$19=Takstblad!K$3,VLOOKUP($A39,takstblad,11,FALSE)*K39,"fejl i år"),0)</f>
        <v>0</v>
      </c>
      <c r="AB39" s="25">
        <f>+IFERROR(IF(AB$19=Takstblad!L$3,VLOOKUP($A39,takstblad,12,FALSE)*L39,"fejl i år"),0)</f>
        <v>0</v>
      </c>
      <c r="AC39" s="21">
        <f t="shared" si="7"/>
        <v>0</v>
      </c>
      <c r="AD39" s="221"/>
      <c r="AE39" s="25">
        <f t="shared" si="29"/>
        <v>0</v>
      </c>
      <c r="AF39" s="25">
        <f t="shared" si="30"/>
        <v>0</v>
      </c>
      <c r="AG39" s="221"/>
      <c r="AH39" s="25">
        <f t="shared" si="31"/>
        <v>0</v>
      </c>
      <c r="AI39" s="25">
        <f t="shared" si="32"/>
        <v>0</v>
      </c>
      <c r="AJ39" s="221"/>
      <c r="AK39" s="25">
        <f t="shared" si="33"/>
        <v>0</v>
      </c>
      <c r="AL39" s="25">
        <f t="shared" si="34"/>
        <v>0</v>
      </c>
      <c r="AM39" s="221"/>
      <c r="AN39" s="25">
        <f t="shared" si="35"/>
        <v>0</v>
      </c>
      <c r="AO39" s="25">
        <f t="shared" si="36"/>
        <v>0</v>
      </c>
      <c r="AP39" s="221"/>
      <c r="AQ39" s="25">
        <f t="shared" si="37"/>
        <v>0</v>
      </c>
      <c r="AR39" s="25">
        <f t="shared" si="38"/>
        <v>0</v>
      </c>
      <c r="AS39" s="221"/>
      <c r="AT39" s="25">
        <f t="shared" si="39"/>
        <v>0</v>
      </c>
      <c r="AU39" s="25">
        <f t="shared" si="40"/>
        <v>0</v>
      </c>
      <c r="AV39" s="221"/>
      <c r="AW39" s="25">
        <f t="shared" si="41"/>
        <v>0</v>
      </c>
      <c r="AX39" s="25">
        <f t="shared" si="42"/>
        <v>0</v>
      </c>
      <c r="AY39" s="221"/>
      <c r="AZ39" s="25">
        <f t="shared" si="43"/>
        <v>0</v>
      </c>
      <c r="BA39" s="25">
        <f t="shared" si="44"/>
        <v>0</v>
      </c>
      <c r="BB39" s="221"/>
      <c r="BC39" s="25">
        <f t="shared" si="45"/>
        <v>0</v>
      </c>
      <c r="BD39" s="25">
        <f t="shared" si="50"/>
        <v>0</v>
      </c>
      <c r="BE39" s="221"/>
      <c r="BF39" s="25">
        <f t="shared" si="46"/>
        <v>0</v>
      </c>
      <c r="BG39" s="25">
        <f t="shared" si="47"/>
        <v>0</v>
      </c>
      <c r="BH39" s="221"/>
      <c r="BI39" s="25">
        <f t="shared" si="48"/>
        <v>0</v>
      </c>
      <c r="BJ39" s="25">
        <f t="shared" si="49"/>
        <v>0</v>
      </c>
    </row>
    <row r="40" spans="1:62" ht="15.65" customHeight="1" collapsed="1" thickBot="1">
      <c r="A40" s="4" t="s">
        <v>81</v>
      </c>
      <c r="B40" s="4"/>
      <c r="C40" s="49">
        <f t="shared" ref="C40:M40" si="51">SUM(C20:C39)</f>
        <v>0</v>
      </c>
      <c r="D40" s="49">
        <f t="shared" si="51"/>
        <v>0</v>
      </c>
      <c r="E40" s="49">
        <f t="shared" si="51"/>
        <v>0</v>
      </c>
      <c r="F40" s="49">
        <f t="shared" si="51"/>
        <v>0</v>
      </c>
      <c r="G40" s="49">
        <f t="shared" si="51"/>
        <v>0</v>
      </c>
      <c r="H40" s="49">
        <f t="shared" si="51"/>
        <v>0</v>
      </c>
      <c r="I40" s="64">
        <f t="shared" si="51"/>
        <v>0</v>
      </c>
      <c r="J40" s="64">
        <f t="shared" si="51"/>
        <v>0</v>
      </c>
      <c r="K40" s="64">
        <f t="shared" si="51"/>
        <v>0</v>
      </c>
      <c r="L40" s="64">
        <f t="shared" si="51"/>
        <v>0</v>
      </c>
      <c r="M40" s="50">
        <f t="shared" si="51"/>
        <v>0</v>
      </c>
      <c r="N40" s="50"/>
      <c r="O40" s="4"/>
      <c r="P40" s="4"/>
      <c r="Q40" s="23" t="s">
        <v>74</v>
      </c>
      <c r="R40" s="53">
        <f>+AC40</f>
        <v>0</v>
      </c>
      <c r="S40" s="51">
        <f>SUM(S20:S39)</f>
        <v>0</v>
      </c>
      <c r="T40" s="13">
        <f t="shared" ref="T40:AB40" si="52">SUM(T20:T39)</f>
        <v>0</v>
      </c>
      <c r="U40" s="52">
        <f t="shared" si="52"/>
        <v>0</v>
      </c>
      <c r="V40" s="13">
        <f t="shared" si="52"/>
        <v>0</v>
      </c>
      <c r="W40" s="52">
        <f t="shared" si="52"/>
        <v>0</v>
      </c>
      <c r="X40" s="13">
        <f t="shared" si="52"/>
        <v>0</v>
      </c>
      <c r="Y40" s="66">
        <f t="shared" si="52"/>
        <v>0</v>
      </c>
      <c r="Z40" s="66">
        <f t="shared" si="52"/>
        <v>0</v>
      </c>
      <c r="AA40" s="66">
        <f t="shared" si="52"/>
        <v>0</v>
      </c>
      <c r="AB40" s="66">
        <f t="shared" si="52"/>
        <v>0</v>
      </c>
      <c r="AC40" s="53">
        <f>SUM(S40:AB40)</f>
        <v>0</v>
      </c>
      <c r="AD40" s="221"/>
      <c r="AE40" s="13">
        <f>SUM(AE20:AE39)</f>
        <v>0</v>
      </c>
      <c r="AF40" s="10">
        <f>IFERROR(AC40/AE40,0)</f>
        <v>0</v>
      </c>
      <c r="AG40" s="221"/>
      <c r="AH40" s="13">
        <f>SUM(AH20:AH39)</f>
        <v>0</v>
      </c>
      <c r="AI40" s="10">
        <f>IFERROR(S40/AH40,0)</f>
        <v>0</v>
      </c>
      <c r="AJ40" s="222"/>
      <c r="AK40" s="13">
        <f>SUM(AK20:AK39)</f>
        <v>0</v>
      </c>
      <c r="AL40" s="10">
        <f t="shared" si="12"/>
        <v>0</v>
      </c>
      <c r="AM40" s="222"/>
      <c r="AN40" s="13">
        <f>SUM(AN20:AN39)</f>
        <v>0</v>
      </c>
      <c r="AO40" s="10">
        <f t="shared" si="14"/>
        <v>0</v>
      </c>
      <c r="AP40" s="221"/>
      <c r="AQ40" s="13">
        <f>SUM(AQ20:AQ39)</f>
        <v>0</v>
      </c>
      <c r="AR40" s="10">
        <f t="shared" si="16"/>
        <v>0</v>
      </c>
      <c r="AS40" s="221"/>
      <c r="AT40" s="13">
        <f>SUM(AT20:AT39)</f>
        <v>0</v>
      </c>
      <c r="AU40" s="10">
        <f t="shared" si="18"/>
        <v>0</v>
      </c>
      <c r="AV40" s="221"/>
      <c r="AW40" s="13">
        <f>SUM(AW20:AW39)</f>
        <v>0</v>
      </c>
      <c r="AX40" s="10">
        <f>IFERROR(X40/AW40,0)</f>
        <v>0</v>
      </c>
      <c r="AY40" s="221"/>
      <c r="AZ40" s="13">
        <f>SUM(AZ20:AZ39)</f>
        <v>0</v>
      </c>
      <c r="BA40" s="10">
        <f>IFERROR(Z40/AZ40,0)</f>
        <v>0</v>
      </c>
      <c r="BB40" s="221"/>
      <c r="BC40" s="13">
        <f>SUM(BC20:BC39)</f>
        <v>0</v>
      </c>
      <c r="BD40" s="10">
        <f>IFERROR(Z40/BC40,0)</f>
        <v>0</v>
      </c>
      <c r="BE40" s="221"/>
      <c r="BF40" s="13">
        <f>SUM(BF20:BF39)</f>
        <v>0</v>
      </c>
      <c r="BG40" s="10">
        <f>IFERROR(AC40/BF40,0)</f>
        <v>0</v>
      </c>
      <c r="BH40" s="221"/>
      <c r="BI40" s="13">
        <f>SUM(BI20:BI39)</f>
        <v>0</v>
      </c>
      <c r="BJ40" s="10">
        <f>IFERROR(AF40/BI40,0)</f>
        <v>0</v>
      </c>
    </row>
    <row r="41" spans="1:62" ht="15.65" customHeight="1">
      <c r="A41" s="4"/>
      <c r="B41" s="5"/>
      <c r="C41" s="5"/>
      <c r="D41" s="5"/>
      <c r="E41" s="5"/>
      <c r="F41" s="5"/>
      <c r="G41" s="5"/>
      <c r="H41" s="5"/>
      <c r="I41" s="5"/>
      <c r="J41" s="5"/>
      <c r="K41" s="5"/>
      <c r="L41" s="5"/>
      <c r="M41" s="5"/>
      <c r="N41" s="5"/>
      <c r="O41" s="5"/>
      <c r="P41" s="5"/>
      <c r="Q41" s="23"/>
      <c r="R41" s="5"/>
      <c r="S41" s="5"/>
      <c r="T41" s="5"/>
      <c r="U41" s="5"/>
      <c r="V41" s="5"/>
      <c r="W41" s="5"/>
      <c r="X41" s="5"/>
      <c r="Y41" s="5"/>
      <c r="Z41" s="5"/>
      <c r="AA41" s="5"/>
      <c r="AB41" s="5"/>
      <c r="AC41" s="5"/>
      <c r="AD41" s="221"/>
      <c r="AE41" s="5"/>
      <c r="AF41" s="5"/>
      <c r="AG41" s="221"/>
      <c r="AH41" s="5"/>
      <c r="AI41" s="5"/>
      <c r="AJ41" s="221"/>
      <c r="AK41" s="5"/>
      <c r="AL41" s="5"/>
      <c r="AM41" s="221"/>
      <c r="AN41" s="5"/>
      <c r="AO41" s="5"/>
      <c r="AP41" s="221"/>
      <c r="AQ41" s="5"/>
      <c r="AR41" s="5"/>
      <c r="AS41" s="221"/>
      <c r="AT41" s="5"/>
      <c r="AU41" s="5"/>
      <c r="AV41" s="221"/>
      <c r="AW41" s="5"/>
      <c r="AX41" s="5"/>
      <c r="AY41" s="221"/>
      <c r="AZ41" s="5"/>
      <c r="BA41" s="5"/>
      <c r="BB41" s="221"/>
      <c r="BC41" s="5"/>
      <c r="BD41" s="5"/>
      <c r="BE41" s="221"/>
      <c r="BF41" s="5"/>
      <c r="BG41" s="5"/>
      <c r="BH41" s="221"/>
      <c r="BI41" s="5"/>
      <c r="BJ41" s="5"/>
    </row>
    <row r="42" spans="1:62" s="9" customFormat="1" ht="15.65" customHeight="1">
      <c r="A42" s="4" t="s">
        <v>80</v>
      </c>
      <c r="B42" s="8"/>
      <c r="C42" s="8">
        <f t="shared" ref="C42:L42" si="53">+C19</f>
        <v>2026</v>
      </c>
      <c r="D42" s="8">
        <f t="shared" si="53"/>
        <v>2027</v>
      </c>
      <c r="E42" s="8">
        <f t="shared" si="53"/>
        <v>2028</v>
      </c>
      <c r="F42" s="8">
        <f t="shared" si="53"/>
        <v>2029</v>
      </c>
      <c r="G42" s="8">
        <f t="shared" si="53"/>
        <v>2030</v>
      </c>
      <c r="H42" s="8">
        <f t="shared" si="53"/>
        <v>2031</v>
      </c>
      <c r="I42" s="8">
        <f t="shared" si="53"/>
        <v>2032</v>
      </c>
      <c r="J42" s="8">
        <f t="shared" si="53"/>
        <v>2033</v>
      </c>
      <c r="K42" s="8">
        <f t="shared" si="53"/>
        <v>2034</v>
      </c>
      <c r="L42" s="8">
        <f t="shared" si="53"/>
        <v>2035</v>
      </c>
      <c r="M42" s="8" t="s">
        <v>34</v>
      </c>
      <c r="N42" s="8"/>
      <c r="O42" s="8"/>
      <c r="P42" s="8"/>
      <c r="Q42" s="23" t="s">
        <v>82</v>
      </c>
      <c r="R42" s="8" t="s">
        <v>34</v>
      </c>
      <c r="S42" s="8">
        <f t="shared" ref="S42:AB42" si="54">+C19</f>
        <v>2026</v>
      </c>
      <c r="T42" s="8">
        <f t="shared" si="54"/>
        <v>2027</v>
      </c>
      <c r="U42" s="8">
        <f t="shared" si="54"/>
        <v>2028</v>
      </c>
      <c r="V42" s="8">
        <f t="shared" si="54"/>
        <v>2029</v>
      </c>
      <c r="W42" s="8">
        <f t="shared" si="54"/>
        <v>2030</v>
      </c>
      <c r="X42" s="8">
        <f t="shared" si="54"/>
        <v>2031</v>
      </c>
      <c r="Y42" s="8">
        <f t="shared" si="54"/>
        <v>2032</v>
      </c>
      <c r="Z42" s="8">
        <f t="shared" si="54"/>
        <v>2033</v>
      </c>
      <c r="AA42" s="8">
        <f t="shared" si="54"/>
        <v>2034</v>
      </c>
      <c r="AB42" s="8">
        <f t="shared" si="54"/>
        <v>2035</v>
      </c>
      <c r="AC42" s="8" t="s">
        <v>34</v>
      </c>
      <c r="AD42" s="222"/>
      <c r="AE42" s="549" t="s">
        <v>34</v>
      </c>
      <c r="AF42" s="548"/>
      <c r="AG42" s="221"/>
      <c r="AH42" s="547">
        <f>+AH19</f>
        <v>2026</v>
      </c>
      <c r="AI42" s="548"/>
      <c r="AJ42" s="221"/>
      <c r="AK42" s="547">
        <f>+AK19</f>
        <v>2027</v>
      </c>
      <c r="AL42" s="548"/>
      <c r="AM42" s="221"/>
      <c r="AN42" s="547">
        <f>+AN19</f>
        <v>2028</v>
      </c>
      <c r="AO42" s="548"/>
      <c r="AP42" s="221"/>
      <c r="AQ42" s="547">
        <f>+AQ19</f>
        <v>2029</v>
      </c>
      <c r="AR42" s="548"/>
      <c r="AS42" s="221"/>
      <c r="AT42" s="547">
        <f>+AT19</f>
        <v>2030</v>
      </c>
      <c r="AU42" s="548"/>
      <c r="AV42" s="221"/>
      <c r="AW42" s="547">
        <f>+AW19</f>
        <v>2031</v>
      </c>
      <c r="AX42" s="548"/>
      <c r="AY42" s="221"/>
      <c r="AZ42" s="547">
        <f>+AZ19</f>
        <v>2032</v>
      </c>
      <c r="BA42" s="548"/>
      <c r="BB42" s="221"/>
      <c r="BC42" s="547">
        <f>+BC19</f>
        <v>2033</v>
      </c>
      <c r="BD42" s="548"/>
      <c r="BE42" s="221"/>
      <c r="BF42" s="547">
        <f>+BF19</f>
        <v>2034</v>
      </c>
      <c r="BG42" s="548"/>
      <c r="BH42" s="221"/>
      <c r="BI42" s="547">
        <f>+BI19</f>
        <v>2035</v>
      </c>
      <c r="BJ42" s="548"/>
    </row>
    <row r="43" spans="1:62" ht="15.65" customHeight="1">
      <c r="A43" s="212" t="s">
        <v>1238</v>
      </c>
      <c r="B43" s="213" t="str">
        <f>+VLOOKUP(A43,Takstblad!$A$33:$B$54,2,FALSE)</f>
        <v/>
      </c>
      <c r="C43" s="285"/>
      <c r="D43" s="285"/>
      <c r="E43" s="285"/>
      <c r="F43" s="285"/>
      <c r="G43" s="285"/>
      <c r="H43" s="285"/>
      <c r="I43" s="285"/>
      <c r="J43" s="285"/>
      <c r="K43" s="285"/>
      <c r="L43" s="285"/>
      <c r="M43" s="19">
        <f>SUM(C43:L43)</f>
        <v>0</v>
      </c>
      <c r="N43" s="285"/>
      <c r="O43" s="285" t="s">
        <v>113</v>
      </c>
      <c r="P43" s="212"/>
      <c r="Q43" s="218"/>
      <c r="R43" s="216">
        <f t="shared" ref="R43:R56" si="55">+AC43</f>
        <v>0</v>
      </c>
      <c r="S43" s="215">
        <f>+IFERROR(IF(S$19=Takstblad!C$3,VLOOKUP($A43,takstblad,3,FALSE)*C43,"fejl i år"),0)</f>
        <v>0</v>
      </c>
      <c r="T43" s="215">
        <f>+IFERROR(IF(T$19=Takstblad!D$3,VLOOKUP($A43,takstblad,4,FALSE)*D43,"fejl i år"),0)</f>
        <v>0</v>
      </c>
      <c r="U43" s="215">
        <f>+IFERROR(IF(U$19=Takstblad!E$3,VLOOKUP($A43,takstblad,5,FALSE)*E43,"fejl i år"),0)</f>
        <v>0</v>
      </c>
      <c r="V43" s="215">
        <f>+IFERROR(IF(V$19=Takstblad!F$3,VLOOKUP($A43,takstblad,6,FALSE)*F43,"fejl i år"),0)</f>
        <v>0</v>
      </c>
      <c r="W43" s="215">
        <f>+IFERROR(IF(W$19=Takstblad!G$3,VLOOKUP($A43,takstblad,7,FALSE)*G43,"fejl i år"),0)</f>
        <v>0</v>
      </c>
      <c r="X43" s="215">
        <f>+IFERROR(IF(X$19=Takstblad!H$3,VLOOKUP($A43,takstblad,8,FALSE)*H43,"fejl i år"),0)</f>
        <v>0</v>
      </c>
      <c r="Y43" s="215">
        <f>+IFERROR(IF(Y$19=Takstblad!I$3,VLOOKUP($A43,takstblad,9,FALSE)*I43,"fejl i år"),0)</f>
        <v>0</v>
      </c>
      <c r="Z43" s="215">
        <f>+IFERROR(IF(Z$19=Takstblad!J$3,VLOOKUP($A43,takstblad,10,FALSE)*J43,"fejl i år"),0)</f>
        <v>0</v>
      </c>
      <c r="AA43" s="215">
        <f>+IFERROR(IF(AA$19=Takstblad!K$3,VLOOKUP($A43,takstblad,11,FALSE)*K43,"fejl i år"),0)</f>
        <v>0</v>
      </c>
      <c r="AB43" s="215">
        <f>+IFERROR(IF(AB$19=Takstblad!L$3,VLOOKUP($A43,takstblad,12,FALSE)*L43,"fejl i år"),0)</f>
        <v>0</v>
      </c>
      <c r="AC43" s="216">
        <f>SUM(S43:AB43)</f>
        <v>0</v>
      </c>
      <c r="AD43" s="221"/>
      <c r="AE43" s="217">
        <f t="shared" ref="AE43:AE52" si="56">+M43*($C$7/12)</f>
        <v>0</v>
      </c>
      <c r="AF43" s="217">
        <f t="shared" ref="AF43:AF53" si="57">IFERROR(AC43/AE43,0)</f>
        <v>0</v>
      </c>
      <c r="AG43" s="221"/>
      <c r="AH43" s="217">
        <f t="shared" ref="AH43:AH53" si="58">+C43*($C$7/12)</f>
        <v>0</v>
      </c>
      <c r="AI43" s="217">
        <f t="shared" ref="AI43:AI56" si="59">IFERROR(S43/AH43,0)</f>
        <v>0</v>
      </c>
      <c r="AJ43" s="221"/>
      <c r="AK43" s="215">
        <f t="shared" ref="AK43:AK53" si="60">+D43*($C$7/12)</f>
        <v>0</v>
      </c>
      <c r="AL43" s="215">
        <f t="shared" ref="AL43:AL56" si="61">IFERROR(T43/AK43,0)</f>
        <v>0</v>
      </c>
      <c r="AM43" s="221"/>
      <c r="AN43" s="215">
        <f t="shared" ref="AN43:AN53" si="62">+E43*($C$7/12)</f>
        <v>0</v>
      </c>
      <c r="AO43" s="215">
        <f t="shared" ref="AO43:AO56" si="63">IFERROR(U43/AN43,0)</f>
        <v>0</v>
      </c>
      <c r="AP43" s="221"/>
      <c r="AQ43" s="215">
        <f t="shared" ref="AQ43:AQ53" si="64">+F43*($C$7/12)</f>
        <v>0</v>
      </c>
      <c r="AR43" s="215">
        <f t="shared" ref="AR43:AR56" si="65">IFERROR(V43/AQ43,0)</f>
        <v>0</v>
      </c>
      <c r="AS43" s="221"/>
      <c r="AT43" s="215">
        <f t="shared" ref="AT43:AT53" si="66">+G43*($C$7/12)</f>
        <v>0</v>
      </c>
      <c r="AU43" s="215">
        <f t="shared" ref="AU43:AU56" si="67">IFERROR(W43/AT43,0)</f>
        <v>0</v>
      </c>
      <c r="AV43" s="221"/>
      <c r="AW43" s="215">
        <f t="shared" ref="AW43:AW53" si="68">+H43*($C$7/12)</f>
        <v>0</v>
      </c>
      <c r="AX43" s="215">
        <f t="shared" ref="AX43:AX56" si="69">IFERROR(X43/AW43,0)</f>
        <v>0</v>
      </c>
      <c r="AY43" s="221"/>
      <c r="AZ43" s="215">
        <f>+I43*($C$7/12)</f>
        <v>0</v>
      </c>
      <c r="BA43" s="215">
        <f>IFERROR(Y43/AZ43,0)</f>
        <v>0</v>
      </c>
      <c r="BB43" s="221"/>
      <c r="BC43" s="215">
        <f>+J43*($C$7/12)</f>
        <v>0</v>
      </c>
      <c r="BD43" s="215">
        <f>IFERROR(Z43/BC43,0)</f>
        <v>0</v>
      </c>
      <c r="BE43" s="221"/>
      <c r="BF43" s="215">
        <f>+K43*($C$7/12)</f>
        <v>0</v>
      </c>
      <c r="BG43" s="215">
        <f>IFERROR(AB43/BF43,0)</f>
        <v>0</v>
      </c>
      <c r="BH43" s="221"/>
      <c r="BI43" s="215">
        <f>+L43*($C$7/12)</f>
        <v>0</v>
      </c>
      <c r="BJ43" s="215">
        <f>IFERROR(AB43/BI43,0)</f>
        <v>0</v>
      </c>
    </row>
    <row r="44" spans="1:62" ht="15.65" customHeight="1">
      <c r="A44" s="7" t="s">
        <v>1238</v>
      </c>
      <c r="B44" s="4" t="str">
        <f>+VLOOKUP(A44,Takstblad!$A$33:$B$54,2,FALSE)</f>
        <v/>
      </c>
      <c r="C44" s="287"/>
      <c r="D44" s="285"/>
      <c r="E44" s="285"/>
      <c r="F44" s="285"/>
      <c r="G44" s="285"/>
      <c r="H44" s="285"/>
      <c r="I44" s="285"/>
      <c r="J44" s="285"/>
      <c r="K44" s="285"/>
      <c r="L44" s="285"/>
      <c r="M44" s="19">
        <f t="shared" ref="M44:M56" si="70">SUM(C44:L44)</f>
        <v>0</v>
      </c>
      <c r="N44" s="285"/>
      <c r="O44" s="285" t="s">
        <v>113</v>
      </c>
      <c r="Q44" s="26"/>
      <c r="R44" s="21">
        <f>+AC44</f>
        <v>0</v>
      </c>
      <c r="S44" s="25">
        <f>+IFERROR(IF(S$19=Takstblad!C$3,VLOOKUP($A44,takstblad,3,FALSE)*C44,"fejl i år"),0)</f>
        <v>0</v>
      </c>
      <c r="T44" s="25">
        <f>+IFERROR(IF(T$19=Takstblad!D$3,VLOOKUP($A44,takstblad,4,FALSE)*D44,"fejl i år"),0)</f>
        <v>0</v>
      </c>
      <c r="U44" s="25">
        <f>+IFERROR(IF(U$19=Takstblad!E$3,VLOOKUP($A44,takstblad,5,FALSE)*E44,"fejl i år"),0)</f>
        <v>0</v>
      </c>
      <c r="V44" s="25">
        <f>+IFERROR(IF(V$19=Takstblad!F$3,VLOOKUP($A44,takstblad,6,FALSE)*F44,"fejl i år"),0)</f>
        <v>0</v>
      </c>
      <c r="W44" s="25">
        <f>+IFERROR(IF(W$19=Takstblad!G$3,VLOOKUP($A44,takstblad,7,FALSE)*G44,"fejl i år"),0)</f>
        <v>0</v>
      </c>
      <c r="X44" s="25">
        <f>+IFERROR(IF(X$19=Takstblad!H$3,VLOOKUP($A44,takstblad,8,FALSE)*H44,"fejl i år"),0)</f>
        <v>0</v>
      </c>
      <c r="Y44" s="25">
        <f>+IFERROR(IF(Y$19=Takstblad!I$3,VLOOKUP($A44,takstblad,9,FALSE)*I44,"fejl i år"),0)</f>
        <v>0</v>
      </c>
      <c r="Z44" s="25">
        <f>+IFERROR(IF(Z$19=Takstblad!J$3,VLOOKUP($A44,takstblad,10,FALSE)*J44,"fejl i år"),0)</f>
        <v>0</v>
      </c>
      <c r="AA44" s="25">
        <f>+IFERROR(IF(AA$19=Takstblad!K$3,VLOOKUP($A44,takstblad,11,FALSE)*K44,"fejl i år"),0)</f>
        <v>0</v>
      </c>
      <c r="AB44" s="25">
        <f>+IFERROR(IF(AB$19=Takstblad!L$3,VLOOKUP($A44,takstblad,12,FALSE)*L44,"fejl i år"),0)</f>
        <v>0</v>
      </c>
      <c r="AC44" s="21">
        <f t="shared" ref="AC44:AC56" si="71">SUM(S44:AB44)</f>
        <v>0</v>
      </c>
      <c r="AD44" s="221"/>
      <c r="AE44" s="25">
        <f t="shared" si="56"/>
        <v>0</v>
      </c>
      <c r="AF44" s="25">
        <f t="shared" si="57"/>
        <v>0</v>
      </c>
      <c r="AG44" s="221"/>
      <c r="AH44" s="25">
        <f t="shared" si="58"/>
        <v>0</v>
      </c>
      <c r="AI44" s="25">
        <f t="shared" si="59"/>
        <v>0</v>
      </c>
      <c r="AJ44" s="221"/>
      <c r="AK44" s="25">
        <f t="shared" si="60"/>
        <v>0</v>
      </c>
      <c r="AL44" s="25">
        <f t="shared" si="61"/>
        <v>0</v>
      </c>
      <c r="AM44" s="221"/>
      <c r="AN44" s="25">
        <f t="shared" si="62"/>
        <v>0</v>
      </c>
      <c r="AO44" s="25">
        <f t="shared" si="63"/>
        <v>0</v>
      </c>
      <c r="AP44" s="221"/>
      <c r="AQ44" s="25">
        <f t="shared" si="64"/>
        <v>0</v>
      </c>
      <c r="AR44" s="25">
        <f t="shared" si="65"/>
        <v>0</v>
      </c>
      <c r="AS44" s="221"/>
      <c r="AT44" s="25">
        <f>+G44*($C$7/12)</f>
        <v>0</v>
      </c>
      <c r="AU44" s="25">
        <f>IFERROR(W44/AT44,0)</f>
        <v>0</v>
      </c>
      <c r="AV44" s="221"/>
      <c r="AW44" s="25">
        <f t="shared" si="68"/>
        <v>0</v>
      </c>
      <c r="AX44" s="25">
        <f t="shared" si="69"/>
        <v>0</v>
      </c>
      <c r="AY44" s="221"/>
      <c r="AZ44" s="25">
        <f t="shared" ref="AZ44:AZ53" si="72">+I44*($C$7/12)</f>
        <v>0</v>
      </c>
      <c r="BA44" s="25">
        <f t="shared" ref="BA44:BA56" si="73">IFERROR(Y44/AZ44,0)</f>
        <v>0</v>
      </c>
      <c r="BB44" s="221"/>
      <c r="BC44" s="25">
        <f t="shared" ref="BC44:BC53" si="74">+J44*($C$7/12)</f>
        <v>0</v>
      </c>
      <c r="BD44" s="25">
        <f t="shared" ref="BD44:BD56" si="75">IFERROR(Z44/BC44,0)</f>
        <v>0</v>
      </c>
      <c r="BE44" s="221"/>
      <c r="BF44" s="25">
        <f t="shared" ref="BF44:BF55" si="76">+K44*($C$7/12)</f>
        <v>0</v>
      </c>
      <c r="BG44" s="25">
        <f t="shared" ref="BG44:BG55" si="77">IFERROR(AB44/BF44,0)</f>
        <v>0</v>
      </c>
      <c r="BH44" s="221"/>
      <c r="BI44" s="25">
        <f t="shared" ref="BI44:BI55" si="78">+L44*($C$7/12)</f>
        <v>0</v>
      </c>
      <c r="BJ44" s="25">
        <f t="shared" ref="BJ44:BJ55" si="79">IFERROR(AB44/BI44,0)</f>
        <v>0</v>
      </c>
    </row>
    <row r="45" spans="1:62" ht="15.65" customHeight="1">
      <c r="A45" s="212" t="s">
        <v>1238</v>
      </c>
      <c r="B45" s="213" t="str">
        <f>+VLOOKUP(A45,Takstblad!$A$33:$B$54,2,FALSE)</f>
        <v/>
      </c>
      <c r="C45" s="285"/>
      <c r="D45" s="285"/>
      <c r="E45" s="285"/>
      <c r="F45" s="285"/>
      <c r="G45" s="285"/>
      <c r="H45" s="285"/>
      <c r="I45" s="285"/>
      <c r="J45" s="285"/>
      <c r="K45" s="285"/>
      <c r="L45" s="285"/>
      <c r="M45" s="19">
        <f t="shared" si="70"/>
        <v>0</v>
      </c>
      <c r="N45" s="285"/>
      <c r="O45" s="285" t="s">
        <v>113</v>
      </c>
      <c r="P45" s="212"/>
      <c r="Q45" s="218"/>
      <c r="R45" s="216">
        <f>+AC45</f>
        <v>0</v>
      </c>
      <c r="S45" s="215">
        <f>+IFERROR(IF(S$19=Takstblad!C$3,VLOOKUP($A45,takstblad,3,FALSE)*C45,"fejl i år"),0)</f>
        <v>0</v>
      </c>
      <c r="T45" s="215">
        <f>+IFERROR(IF(T$19=Takstblad!D$3,VLOOKUP($A45,takstblad,4,FALSE)*D45,"fejl i år"),0)</f>
        <v>0</v>
      </c>
      <c r="U45" s="215">
        <f>+IFERROR(IF(U$19=Takstblad!E$3,VLOOKUP($A45,takstblad,5,FALSE)*E45,"fejl i år"),0)</f>
        <v>0</v>
      </c>
      <c r="V45" s="215">
        <f>+IFERROR(IF(V$19=Takstblad!F$3,VLOOKUP($A45,takstblad,6,FALSE)*F45,"fejl i år"),0)</f>
        <v>0</v>
      </c>
      <c r="W45" s="215">
        <f>+IFERROR(IF(W$19=Takstblad!G$3,VLOOKUP($A45,takstblad,7,FALSE)*G45,"fejl i år"),0)</f>
        <v>0</v>
      </c>
      <c r="X45" s="215">
        <f>+IFERROR(IF(X$19=Takstblad!H$3,VLOOKUP($A45,takstblad,8,FALSE)*H45,"fejl i år"),0)</f>
        <v>0</v>
      </c>
      <c r="Y45" s="215">
        <f>+IFERROR(IF(Y$19=Takstblad!I$3,VLOOKUP($A45,takstblad,9,FALSE)*I45,"fejl i år"),0)</f>
        <v>0</v>
      </c>
      <c r="Z45" s="215">
        <f>+IFERROR(IF(Z$19=Takstblad!J$3,VLOOKUP($A45,takstblad,10,FALSE)*J45,"fejl i år"),0)</f>
        <v>0</v>
      </c>
      <c r="AA45" s="215">
        <f>+IFERROR(IF(AA$19=Takstblad!K$3,VLOOKUP($A45,takstblad,11,FALSE)*K45,"fejl i år"),0)</f>
        <v>0</v>
      </c>
      <c r="AB45" s="215">
        <f>+IFERROR(IF(AB$19=Takstblad!L$3,VLOOKUP($A45,takstblad,12,FALSE)*L45,"fejl i år"),0)</f>
        <v>0</v>
      </c>
      <c r="AC45" s="216">
        <f t="shared" si="71"/>
        <v>0</v>
      </c>
      <c r="AD45" s="221"/>
      <c r="AE45" s="217">
        <f t="shared" si="56"/>
        <v>0</v>
      </c>
      <c r="AF45" s="217">
        <f t="shared" si="57"/>
        <v>0</v>
      </c>
      <c r="AG45" s="221"/>
      <c r="AH45" s="217">
        <f t="shared" si="58"/>
        <v>0</v>
      </c>
      <c r="AI45" s="217">
        <f t="shared" si="59"/>
        <v>0</v>
      </c>
      <c r="AJ45" s="221"/>
      <c r="AK45" s="215">
        <f t="shared" si="60"/>
        <v>0</v>
      </c>
      <c r="AL45" s="215">
        <f t="shared" si="61"/>
        <v>0</v>
      </c>
      <c r="AM45" s="221"/>
      <c r="AN45" s="215">
        <f t="shared" si="62"/>
        <v>0</v>
      </c>
      <c r="AO45" s="215">
        <f t="shared" si="63"/>
        <v>0</v>
      </c>
      <c r="AP45" s="221"/>
      <c r="AQ45" s="215">
        <f t="shared" si="64"/>
        <v>0</v>
      </c>
      <c r="AR45" s="215">
        <f t="shared" si="65"/>
        <v>0</v>
      </c>
      <c r="AS45" s="221"/>
      <c r="AT45" s="215">
        <f t="shared" si="66"/>
        <v>0</v>
      </c>
      <c r="AU45" s="215">
        <f t="shared" si="67"/>
        <v>0</v>
      </c>
      <c r="AV45" s="221"/>
      <c r="AW45" s="215">
        <f t="shared" si="68"/>
        <v>0</v>
      </c>
      <c r="AX45" s="215">
        <f t="shared" si="69"/>
        <v>0</v>
      </c>
      <c r="AY45" s="221"/>
      <c r="AZ45" s="215">
        <f t="shared" si="72"/>
        <v>0</v>
      </c>
      <c r="BA45" s="215">
        <f t="shared" si="73"/>
        <v>0</v>
      </c>
      <c r="BB45" s="221"/>
      <c r="BC45" s="215">
        <f t="shared" si="74"/>
        <v>0</v>
      </c>
      <c r="BD45" s="215">
        <f t="shared" si="75"/>
        <v>0</v>
      </c>
      <c r="BE45" s="221"/>
      <c r="BF45" s="215">
        <f t="shared" si="76"/>
        <v>0</v>
      </c>
      <c r="BG45" s="215">
        <f t="shared" si="77"/>
        <v>0</v>
      </c>
      <c r="BH45" s="221"/>
      <c r="BI45" s="215">
        <f t="shared" si="78"/>
        <v>0</v>
      </c>
      <c r="BJ45" s="215">
        <f t="shared" si="79"/>
        <v>0</v>
      </c>
    </row>
    <row r="46" spans="1:62" ht="15.65" customHeight="1">
      <c r="A46" s="7" t="s">
        <v>1238</v>
      </c>
      <c r="B46" s="4" t="str">
        <f>+VLOOKUP(A46,Takstblad!$A$33:$B$54,2,FALSE)</f>
        <v/>
      </c>
      <c r="C46" s="285"/>
      <c r="D46" s="285"/>
      <c r="E46" s="285"/>
      <c r="F46" s="285"/>
      <c r="G46" s="285"/>
      <c r="H46" s="285"/>
      <c r="I46" s="285"/>
      <c r="J46" s="285"/>
      <c r="K46" s="285"/>
      <c r="L46" s="285"/>
      <c r="M46" s="19">
        <f t="shared" si="70"/>
        <v>0</v>
      </c>
      <c r="N46" s="285"/>
      <c r="O46" s="285" t="s">
        <v>113</v>
      </c>
      <c r="Q46" s="26"/>
      <c r="R46" s="21">
        <f t="shared" si="55"/>
        <v>0</v>
      </c>
      <c r="S46" s="25">
        <f>+IFERROR(IF(S$19=Takstblad!C$3,VLOOKUP($A46,takstblad,3,FALSE)*C46,"fejl i år"),0)</f>
        <v>0</v>
      </c>
      <c r="T46" s="25">
        <f>+IFERROR(IF(T$19=Takstblad!D$3,VLOOKUP($A46,takstblad,4,FALSE)*D46,"fejl i år"),0)</f>
        <v>0</v>
      </c>
      <c r="U46" s="25">
        <f>+IFERROR(IF(U$19=Takstblad!E$3,VLOOKUP($A46,takstblad,5,FALSE)*E46,"fejl i år"),0)</f>
        <v>0</v>
      </c>
      <c r="V46" s="25">
        <f>+IFERROR(IF(V$19=Takstblad!F$3,VLOOKUP($A46,takstblad,6,FALSE)*F46,"fejl i år"),0)</f>
        <v>0</v>
      </c>
      <c r="W46" s="25">
        <f>+IFERROR(IF(W$19=Takstblad!G$3,VLOOKUP($A46,takstblad,7,FALSE)*G46,"fejl i år"),0)</f>
        <v>0</v>
      </c>
      <c r="X46" s="25">
        <f>+IFERROR(IF(X$19=Takstblad!H$3,VLOOKUP($A46,takstblad,8,FALSE)*H46,"fejl i år"),0)</f>
        <v>0</v>
      </c>
      <c r="Y46" s="25">
        <f>+IFERROR(IF(Y$19=Takstblad!I$3,VLOOKUP($A46,takstblad,9,FALSE)*I46,"fejl i år"),0)</f>
        <v>0</v>
      </c>
      <c r="Z46" s="25">
        <f>+IFERROR(IF(Z$19=Takstblad!J$3,VLOOKUP($A46,takstblad,10,FALSE)*J46,"fejl i år"),0)</f>
        <v>0</v>
      </c>
      <c r="AA46" s="25">
        <f>+IFERROR(IF(AA$19=Takstblad!K$3,VLOOKUP($A46,takstblad,11,FALSE)*K46,"fejl i år"),0)</f>
        <v>0</v>
      </c>
      <c r="AB46" s="25">
        <f>+IFERROR(IF(AB$19=Takstblad!L$3,VLOOKUP($A46,takstblad,12,FALSE)*L46,"fejl i år"),0)</f>
        <v>0</v>
      </c>
      <c r="AC46" s="21">
        <f t="shared" si="71"/>
        <v>0</v>
      </c>
      <c r="AD46" s="221"/>
      <c r="AE46" s="25">
        <f t="shared" si="56"/>
        <v>0</v>
      </c>
      <c r="AF46" s="25">
        <f t="shared" si="57"/>
        <v>0</v>
      </c>
      <c r="AG46" s="221"/>
      <c r="AH46" s="25">
        <f t="shared" si="58"/>
        <v>0</v>
      </c>
      <c r="AI46" s="25">
        <f t="shared" si="59"/>
        <v>0</v>
      </c>
      <c r="AJ46" s="221"/>
      <c r="AK46" s="25">
        <f t="shared" si="60"/>
        <v>0</v>
      </c>
      <c r="AL46" s="25">
        <f t="shared" si="61"/>
        <v>0</v>
      </c>
      <c r="AM46" s="221"/>
      <c r="AN46" s="25">
        <f t="shared" si="62"/>
        <v>0</v>
      </c>
      <c r="AO46" s="25">
        <f t="shared" si="63"/>
        <v>0</v>
      </c>
      <c r="AP46" s="221"/>
      <c r="AQ46" s="25">
        <f t="shared" si="64"/>
        <v>0</v>
      </c>
      <c r="AR46" s="25">
        <f t="shared" si="65"/>
        <v>0</v>
      </c>
      <c r="AS46" s="221"/>
      <c r="AT46" s="25">
        <f t="shared" si="66"/>
        <v>0</v>
      </c>
      <c r="AU46" s="25">
        <f t="shared" si="67"/>
        <v>0</v>
      </c>
      <c r="AV46" s="221"/>
      <c r="AW46" s="25">
        <f t="shared" si="68"/>
        <v>0</v>
      </c>
      <c r="AX46" s="25">
        <f t="shared" si="69"/>
        <v>0</v>
      </c>
      <c r="AY46" s="221"/>
      <c r="AZ46" s="25">
        <f t="shared" si="72"/>
        <v>0</v>
      </c>
      <c r="BA46" s="25">
        <f t="shared" si="73"/>
        <v>0</v>
      </c>
      <c r="BB46" s="221"/>
      <c r="BC46" s="25">
        <f t="shared" si="74"/>
        <v>0</v>
      </c>
      <c r="BD46" s="25">
        <f t="shared" si="75"/>
        <v>0</v>
      </c>
      <c r="BE46" s="221"/>
      <c r="BF46" s="25">
        <f t="shared" si="76"/>
        <v>0</v>
      </c>
      <c r="BG46" s="25">
        <f t="shared" si="77"/>
        <v>0</v>
      </c>
      <c r="BH46" s="221"/>
      <c r="BI46" s="25">
        <f t="shared" si="78"/>
        <v>0</v>
      </c>
      <c r="BJ46" s="25">
        <f t="shared" si="79"/>
        <v>0</v>
      </c>
    </row>
    <row r="47" spans="1:62" ht="15.65" customHeight="1">
      <c r="A47" s="212" t="s">
        <v>1238</v>
      </c>
      <c r="B47" s="213" t="str">
        <f>+VLOOKUP(A47,Takstblad!$A$33:$B$54,2,FALSE)</f>
        <v/>
      </c>
      <c r="C47" s="285"/>
      <c r="D47" s="285"/>
      <c r="E47" s="285"/>
      <c r="F47" s="285"/>
      <c r="G47" s="285"/>
      <c r="H47" s="285"/>
      <c r="I47" s="285"/>
      <c r="J47" s="285"/>
      <c r="K47" s="285"/>
      <c r="L47" s="285"/>
      <c r="M47" s="19">
        <f t="shared" si="70"/>
        <v>0</v>
      </c>
      <c r="N47" s="285"/>
      <c r="O47" s="285" t="s">
        <v>113</v>
      </c>
      <c r="P47" s="212"/>
      <c r="Q47" s="218"/>
      <c r="R47" s="216">
        <f t="shared" si="55"/>
        <v>0</v>
      </c>
      <c r="S47" s="215">
        <f>+IFERROR(IF(S$19=Takstblad!C$3,VLOOKUP($A47,takstblad,3,FALSE)*C47,"fejl i år"),0)</f>
        <v>0</v>
      </c>
      <c r="T47" s="215">
        <f>+IFERROR(IF(T$19=Takstblad!D$3,VLOOKUP($A47,takstblad,4,FALSE)*D47,"fejl i år"),0)</f>
        <v>0</v>
      </c>
      <c r="U47" s="215">
        <f>+IFERROR(IF(U$19=Takstblad!E$3,VLOOKUP($A47,takstblad,5,FALSE)*E47,"fejl i år"),0)</f>
        <v>0</v>
      </c>
      <c r="V47" s="215">
        <f>+IFERROR(IF(V$19=Takstblad!F$3,VLOOKUP($A47,takstblad,6,FALSE)*F47,"fejl i år"),0)</f>
        <v>0</v>
      </c>
      <c r="W47" s="215">
        <f>+IFERROR(IF(W$19=Takstblad!G$3,VLOOKUP($A47,takstblad,7,FALSE)*G47,"fejl i år"),0)</f>
        <v>0</v>
      </c>
      <c r="X47" s="215">
        <f>+IFERROR(IF(X$19=Takstblad!H$3,VLOOKUP($A47,takstblad,8,FALSE)*H47,"fejl i år"),0)</f>
        <v>0</v>
      </c>
      <c r="Y47" s="215">
        <f>+IFERROR(IF(Y$19=Takstblad!I$3,VLOOKUP($A47,takstblad,9,FALSE)*I47,"fejl i år"),0)</f>
        <v>0</v>
      </c>
      <c r="Z47" s="215">
        <f>+IFERROR(IF(Z$19=Takstblad!J$3,VLOOKUP($A47,takstblad,10,FALSE)*J47,"fejl i år"),0)</f>
        <v>0</v>
      </c>
      <c r="AA47" s="215">
        <f>+IFERROR(IF(AA$19=Takstblad!K$3,VLOOKUP($A47,takstblad,11,FALSE)*K47,"fejl i år"),0)</f>
        <v>0</v>
      </c>
      <c r="AB47" s="215">
        <f>+IFERROR(IF(AB$19=Takstblad!L$3,VLOOKUP($A47,takstblad,12,FALSE)*L47,"fejl i år"),0)</f>
        <v>0</v>
      </c>
      <c r="AC47" s="216">
        <f t="shared" si="71"/>
        <v>0</v>
      </c>
      <c r="AD47" s="221"/>
      <c r="AE47" s="217">
        <f t="shared" si="56"/>
        <v>0</v>
      </c>
      <c r="AF47" s="217">
        <f t="shared" si="57"/>
        <v>0</v>
      </c>
      <c r="AG47" s="221"/>
      <c r="AH47" s="217">
        <f t="shared" si="58"/>
        <v>0</v>
      </c>
      <c r="AI47" s="217">
        <f t="shared" si="59"/>
        <v>0</v>
      </c>
      <c r="AJ47" s="221"/>
      <c r="AK47" s="215">
        <f t="shared" si="60"/>
        <v>0</v>
      </c>
      <c r="AL47" s="215">
        <f t="shared" si="61"/>
        <v>0</v>
      </c>
      <c r="AM47" s="221"/>
      <c r="AN47" s="215">
        <f t="shared" si="62"/>
        <v>0</v>
      </c>
      <c r="AO47" s="215">
        <f t="shared" si="63"/>
        <v>0</v>
      </c>
      <c r="AP47" s="221"/>
      <c r="AQ47" s="215">
        <f t="shared" si="64"/>
        <v>0</v>
      </c>
      <c r="AR47" s="215">
        <f t="shared" si="65"/>
        <v>0</v>
      </c>
      <c r="AS47" s="221"/>
      <c r="AT47" s="215">
        <f t="shared" si="66"/>
        <v>0</v>
      </c>
      <c r="AU47" s="215">
        <f t="shared" si="67"/>
        <v>0</v>
      </c>
      <c r="AV47" s="221"/>
      <c r="AW47" s="215">
        <f t="shared" si="68"/>
        <v>0</v>
      </c>
      <c r="AX47" s="215">
        <f t="shared" si="69"/>
        <v>0</v>
      </c>
      <c r="AY47" s="221"/>
      <c r="AZ47" s="215">
        <f t="shared" si="72"/>
        <v>0</v>
      </c>
      <c r="BA47" s="215">
        <f t="shared" si="73"/>
        <v>0</v>
      </c>
      <c r="BB47" s="221"/>
      <c r="BC47" s="215">
        <f t="shared" si="74"/>
        <v>0</v>
      </c>
      <c r="BD47" s="215">
        <f t="shared" si="75"/>
        <v>0</v>
      </c>
      <c r="BE47" s="221"/>
      <c r="BF47" s="215">
        <f t="shared" si="76"/>
        <v>0</v>
      </c>
      <c r="BG47" s="215">
        <f t="shared" si="77"/>
        <v>0</v>
      </c>
      <c r="BH47" s="221"/>
      <c r="BI47" s="215">
        <f t="shared" si="78"/>
        <v>0</v>
      </c>
      <c r="BJ47" s="215">
        <f t="shared" si="79"/>
        <v>0</v>
      </c>
    </row>
    <row r="48" spans="1:62" ht="15.65" customHeight="1">
      <c r="A48" s="7" t="s">
        <v>1238</v>
      </c>
      <c r="B48" s="4" t="str">
        <f>+VLOOKUP(A48,Takstblad!$A$33:$B$54,2,FALSE)</f>
        <v/>
      </c>
      <c r="C48" s="285"/>
      <c r="D48" s="285"/>
      <c r="E48" s="285"/>
      <c r="F48" s="285"/>
      <c r="G48" s="285"/>
      <c r="H48" s="285"/>
      <c r="I48" s="285"/>
      <c r="J48" s="285"/>
      <c r="K48" s="285"/>
      <c r="L48" s="285"/>
      <c r="M48" s="19">
        <f t="shared" si="70"/>
        <v>0</v>
      </c>
      <c r="N48" s="285"/>
      <c r="O48" s="285" t="s">
        <v>113</v>
      </c>
      <c r="Q48" s="26"/>
      <c r="R48" s="21">
        <f t="shared" si="55"/>
        <v>0</v>
      </c>
      <c r="S48" s="25">
        <f>+IFERROR(IF(S$19=Takstblad!C$3,VLOOKUP($A48,takstblad,3,FALSE)*C48,"fejl i år"),0)</f>
        <v>0</v>
      </c>
      <c r="T48" s="25">
        <f>+IFERROR(IF(T$19=Takstblad!D$3,VLOOKUP($A48,takstblad,4,FALSE)*D48,"fejl i år"),0)</f>
        <v>0</v>
      </c>
      <c r="U48" s="25">
        <f>+IFERROR(IF(U$19=Takstblad!E$3,VLOOKUP($A48,takstblad,5,FALSE)*E48,"fejl i år"),0)</f>
        <v>0</v>
      </c>
      <c r="V48" s="25">
        <f>+IFERROR(IF(V$19=Takstblad!F$3,VLOOKUP($A48,takstblad,6,FALSE)*F48,"fejl i år"),0)</f>
        <v>0</v>
      </c>
      <c r="W48" s="25">
        <f>+IFERROR(IF(W$19=Takstblad!G$3,VLOOKUP($A48,takstblad,7,FALSE)*G48,"fejl i år"),0)</f>
        <v>0</v>
      </c>
      <c r="X48" s="25">
        <f>+IFERROR(IF(X$19=Takstblad!H$3,VLOOKUP($A48,takstblad,8,FALSE)*H48,"fejl i år"),0)</f>
        <v>0</v>
      </c>
      <c r="Y48" s="25">
        <f>+IFERROR(IF(Y$19=Takstblad!I$3,VLOOKUP($A48,takstblad,9,FALSE)*I48,"fejl i år"),0)</f>
        <v>0</v>
      </c>
      <c r="Z48" s="25">
        <f>+IFERROR(IF(Z$19=Takstblad!J$3,VLOOKUP($A48,takstblad,10,FALSE)*J48,"fejl i år"),0)</f>
        <v>0</v>
      </c>
      <c r="AA48" s="25">
        <f>+IFERROR(IF(AA$19=Takstblad!K$3,VLOOKUP($A48,takstblad,11,FALSE)*K48,"fejl i år"),0)</f>
        <v>0</v>
      </c>
      <c r="AB48" s="25">
        <f>+IFERROR(IF(AB$19=Takstblad!L$3,VLOOKUP($A48,takstblad,12,FALSE)*L48,"fejl i år"),0)</f>
        <v>0</v>
      </c>
      <c r="AC48" s="21">
        <f t="shared" si="71"/>
        <v>0</v>
      </c>
      <c r="AD48" s="221"/>
      <c r="AE48" s="25">
        <f t="shared" si="56"/>
        <v>0</v>
      </c>
      <c r="AF48" s="25">
        <f t="shared" si="57"/>
        <v>0</v>
      </c>
      <c r="AG48" s="221"/>
      <c r="AH48" s="25">
        <f t="shared" si="58"/>
        <v>0</v>
      </c>
      <c r="AI48" s="25">
        <f t="shared" si="59"/>
        <v>0</v>
      </c>
      <c r="AJ48" s="221"/>
      <c r="AK48" s="25">
        <f t="shared" si="60"/>
        <v>0</v>
      </c>
      <c r="AL48" s="25">
        <f t="shared" si="61"/>
        <v>0</v>
      </c>
      <c r="AM48" s="221"/>
      <c r="AN48" s="25">
        <f t="shared" si="62"/>
        <v>0</v>
      </c>
      <c r="AO48" s="25">
        <f t="shared" si="63"/>
        <v>0</v>
      </c>
      <c r="AP48" s="221"/>
      <c r="AQ48" s="25">
        <f t="shared" si="64"/>
        <v>0</v>
      </c>
      <c r="AR48" s="25">
        <f t="shared" si="65"/>
        <v>0</v>
      </c>
      <c r="AS48" s="221"/>
      <c r="AT48" s="25">
        <f t="shared" si="66"/>
        <v>0</v>
      </c>
      <c r="AU48" s="25">
        <f t="shared" si="67"/>
        <v>0</v>
      </c>
      <c r="AV48" s="221"/>
      <c r="AW48" s="25">
        <f t="shared" si="68"/>
        <v>0</v>
      </c>
      <c r="AX48" s="25">
        <f t="shared" si="69"/>
        <v>0</v>
      </c>
      <c r="AY48" s="221"/>
      <c r="AZ48" s="25">
        <f t="shared" si="72"/>
        <v>0</v>
      </c>
      <c r="BA48" s="25">
        <f t="shared" si="73"/>
        <v>0</v>
      </c>
      <c r="BB48" s="221"/>
      <c r="BC48" s="25">
        <f t="shared" si="74"/>
        <v>0</v>
      </c>
      <c r="BD48" s="25">
        <f t="shared" si="75"/>
        <v>0</v>
      </c>
      <c r="BE48" s="221"/>
      <c r="BF48" s="25">
        <f t="shared" si="76"/>
        <v>0</v>
      </c>
      <c r="BG48" s="25">
        <f t="shared" si="77"/>
        <v>0</v>
      </c>
      <c r="BH48" s="221"/>
      <c r="BI48" s="25">
        <f t="shared" si="78"/>
        <v>0</v>
      </c>
      <c r="BJ48" s="25">
        <f t="shared" si="79"/>
        <v>0</v>
      </c>
    </row>
    <row r="49" spans="1:66" ht="15.65" customHeight="1">
      <c r="A49" s="212" t="s">
        <v>1238</v>
      </c>
      <c r="B49" s="213" t="str">
        <f>+VLOOKUP(A49,Takstblad!$A$33:$B$54,2,FALSE)</f>
        <v/>
      </c>
      <c r="C49" s="285"/>
      <c r="D49" s="285"/>
      <c r="E49" s="285"/>
      <c r="F49" s="285"/>
      <c r="G49" s="285"/>
      <c r="H49" s="285"/>
      <c r="I49" s="285"/>
      <c r="J49" s="285"/>
      <c r="K49" s="285"/>
      <c r="L49" s="285"/>
      <c r="M49" s="19">
        <f t="shared" si="70"/>
        <v>0</v>
      </c>
      <c r="N49" s="285"/>
      <c r="O49" s="285" t="s">
        <v>113</v>
      </c>
      <c r="P49" s="212"/>
      <c r="Q49" s="218"/>
      <c r="R49" s="216">
        <f t="shared" si="55"/>
        <v>0</v>
      </c>
      <c r="S49" s="215">
        <f>+IFERROR(IF(S$19=Takstblad!C$3,VLOOKUP($A49,takstblad,3,FALSE)*C49,"fejl i år"),0)</f>
        <v>0</v>
      </c>
      <c r="T49" s="215">
        <f>+IFERROR(IF(T$19=Takstblad!D$3,VLOOKUP($A49,takstblad,4,FALSE)*D49,"fejl i år"),0)</f>
        <v>0</v>
      </c>
      <c r="U49" s="215">
        <f>+IFERROR(IF(U$19=Takstblad!E$3,VLOOKUP($A49,takstblad,5,FALSE)*E49,"fejl i år"),0)</f>
        <v>0</v>
      </c>
      <c r="V49" s="215">
        <f>+IFERROR(IF(V$19=Takstblad!F$3,VLOOKUP($A49,takstblad,6,FALSE)*F49,"fejl i år"),0)</f>
        <v>0</v>
      </c>
      <c r="W49" s="215">
        <f>+IFERROR(IF(W$19=Takstblad!G$3,VLOOKUP($A49,takstblad,7,FALSE)*G49,"fejl i år"),0)</f>
        <v>0</v>
      </c>
      <c r="X49" s="215">
        <f>+IFERROR(IF(X$19=Takstblad!H$3,VLOOKUP($A49,takstblad,8,FALSE)*H49,"fejl i år"),0)</f>
        <v>0</v>
      </c>
      <c r="Y49" s="215">
        <f>+IFERROR(IF(Y$19=Takstblad!I$3,VLOOKUP($A49,takstblad,9,FALSE)*I49,"fejl i år"),0)</f>
        <v>0</v>
      </c>
      <c r="Z49" s="215">
        <f>+IFERROR(IF(Z$19=Takstblad!J$3,VLOOKUP($A49,takstblad,10,FALSE)*J49,"fejl i år"),0)</f>
        <v>0</v>
      </c>
      <c r="AA49" s="215">
        <f>+IFERROR(IF(AA$19=Takstblad!K$3,VLOOKUP($A49,takstblad,11,FALSE)*K49,"fejl i år"),0)</f>
        <v>0</v>
      </c>
      <c r="AB49" s="215">
        <f>+IFERROR(IF(AB$19=Takstblad!L$3,VLOOKUP($A49,takstblad,12,FALSE)*L49,"fejl i år"),0)</f>
        <v>0</v>
      </c>
      <c r="AC49" s="216">
        <f t="shared" si="71"/>
        <v>0</v>
      </c>
      <c r="AD49" s="221"/>
      <c r="AE49" s="217">
        <f t="shared" si="56"/>
        <v>0</v>
      </c>
      <c r="AF49" s="217">
        <f t="shared" si="57"/>
        <v>0</v>
      </c>
      <c r="AG49" s="221"/>
      <c r="AH49" s="217">
        <f t="shared" si="58"/>
        <v>0</v>
      </c>
      <c r="AI49" s="217">
        <f t="shared" si="59"/>
        <v>0</v>
      </c>
      <c r="AJ49" s="221"/>
      <c r="AK49" s="215">
        <f t="shared" si="60"/>
        <v>0</v>
      </c>
      <c r="AL49" s="215">
        <f t="shared" si="61"/>
        <v>0</v>
      </c>
      <c r="AM49" s="221"/>
      <c r="AN49" s="215">
        <f t="shared" si="62"/>
        <v>0</v>
      </c>
      <c r="AO49" s="215">
        <f t="shared" si="63"/>
        <v>0</v>
      </c>
      <c r="AP49" s="221"/>
      <c r="AQ49" s="215">
        <f t="shared" si="64"/>
        <v>0</v>
      </c>
      <c r="AR49" s="215">
        <f t="shared" si="65"/>
        <v>0</v>
      </c>
      <c r="AS49" s="221"/>
      <c r="AT49" s="215">
        <f t="shared" si="66"/>
        <v>0</v>
      </c>
      <c r="AU49" s="215">
        <f t="shared" si="67"/>
        <v>0</v>
      </c>
      <c r="AV49" s="221"/>
      <c r="AW49" s="215">
        <f t="shared" si="68"/>
        <v>0</v>
      </c>
      <c r="AX49" s="215">
        <f t="shared" si="69"/>
        <v>0</v>
      </c>
      <c r="AY49" s="221"/>
      <c r="AZ49" s="215">
        <f t="shared" si="72"/>
        <v>0</v>
      </c>
      <c r="BA49" s="215">
        <f t="shared" si="73"/>
        <v>0</v>
      </c>
      <c r="BB49" s="221"/>
      <c r="BC49" s="215">
        <f t="shared" si="74"/>
        <v>0</v>
      </c>
      <c r="BD49" s="215">
        <f t="shared" si="75"/>
        <v>0</v>
      </c>
      <c r="BE49" s="221"/>
      <c r="BF49" s="215">
        <f t="shared" si="76"/>
        <v>0</v>
      </c>
      <c r="BG49" s="215">
        <f t="shared" si="77"/>
        <v>0</v>
      </c>
      <c r="BH49" s="221"/>
      <c r="BI49" s="215">
        <f t="shared" si="78"/>
        <v>0</v>
      </c>
      <c r="BJ49" s="215">
        <f t="shared" si="79"/>
        <v>0</v>
      </c>
    </row>
    <row r="50" spans="1:66" ht="15.65" customHeight="1">
      <c r="A50" s="7" t="s">
        <v>1238</v>
      </c>
      <c r="B50" s="4" t="str">
        <f>+VLOOKUP(A50,Takstblad!$A$33:$B$54,2,FALSE)</f>
        <v/>
      </c>
      <c r="C50" s="285"/>
      <c r="D50" s="285"/>
      <c r="E50" s="285"/>
      <c r="F50" s="285"/>
      <c r="G50" s="285"/>
      <c r="H50" s="285"/>
      <c r="I50" s="285"/>
      <c r="J50" s="285"/>
      <c r="K50" s="285"/>
      <c r="L50" s="285"/>
      <c r="M50" s="19">
        <f t="shared" si="70"/>
        <v>0</v>
      </c>
      <c r="N50" s="285"/>
      <c r="O50" s="285" t="s">
        <v>113</v>
      </c>
      <c r="Q50" s="26"/>
      <c r="R50" s="21">
        <f t="shared" si="55"/>
        <v>0</v>
      </c>
      <c r="S50" s="25">
        <f>+IFERROR(IF(S$19=Takstblad!C$3,VLOOKUP($A50,takstblad,3,FALSE)*C50,"fejl i år"),0)</f>
        <v>0</v>
      </c>
      <c r="T50" s="25">
        <f>+IFERROR(IF(T$19=Takstblad!D$3,VLOOKUP($A50,takstblad,4,FALSE)*D50,"fejl i år"),0)</f>
        <v>0</v>
      </c>
      <c r="U50" s="25">
        <f>+IFERROR(IF(U$19=Takstblad!E$3,VLOOKUP($A50,takstblad,5,FALSE)*E50,"fejl i år"),0)</f>
        <v>0</v>
      </c>
      <c r="V50" s="25">
        <f>+IFERROR(IF(V$19=Takstblad!F$3,VLOOKUP($A50,takstblad,6,FALSE)*F50,"fejl i år"),0)</f>
        <v>0</v>
      </c>
      <c r="W50" s="25">
        <f>+IFERROR(IF(W$19=Takstblad!G$3,VLOOKUP($A50,takstblad,7,FALSE)*G50,"fejl i år"),0)</f>
        <v>0</v>
      </c>
      <c r="X50" s="25">
        <f>+IFERROR(IF(X$19=Takstblad!H$3,VLOOKUP($A50,takstblad,8,FALSE)*H50,"fejl i år"),0)</f>
        <v>0</v>
      </c>
      <c r="Y50" s="25">
        <f>+IFERROR(IF(Y$19=Takstblad!I$3,VLOOKUP($A50,takstblad,9,FALSE)*I50,"fejl i år"),0)</f>
        <v>0</v>
      </c>
      <c r="Z50" s="25">
        <f>+IFERROR(IF(Z$19=Takstblad!J$3,VLOOKUP($A50,takstblad,10,FALSE)*J50,"fejl i år"),0)</f>
        <v>0</v>
      </c>
      <c r="AA50" s="25">
        <f>+IFERROR(IF(AA$19=Takstblad!K$3,VLOOKUP($A50,takstblad,11,FALSE)*K50,"fejl i år"),0)</f>
        <v>0</v>
      </c>
      <c r="AB50" s="25">
        <f>+IFERROR(IF(AB$19=Takstblad!L$3,VLOOKUP($A50,takstblad,12,FALSE)*L50,"fejl i år"),0)</f>
        <v>0</v>
      </c>
      <c r="AC50" s="21">
        <f t="shared" si="71"/>
        <v>0</v>
      </c>
      <c r="AD50" s="221"/>
      <c r="AE50" s="25">
        <f t="shared" si="56"/>
        <v>0</v>
      </c>
      <c r="AF50" s="25">
        <f t="shared" si="57"/>
        <v>0</v>
      </c>
      <c r="AG50" s="221"/>
      <c r="AH50" s="25">
        <f t="shared" si="58"/>
        <v>0</v>
      </c>
      <c r="AI50" s="25">
        <f t="shared" si="59"/>
        <v>0</v>
      </c>
      <c r="AJ50" s="221"/>
      <c r="AK50" s="25">
        <f t="shared" si="60"/>
        <v>0</v>
      </c>
      <c r="AL50" s="25">
        <f t="shared" si="61"/>
        <v>0</v>
      </c>
      <c r="AM50" s="221"/>
      <c r="AN50" s="25">
        <f t="shared" si="62"/>
        <v>0</v>
      </c>
      <c r="AO50" s="25">
        <f t="shared" si="63"/>
        <v>0</v>
      </c>
      <c r="AP50" s="221"/>
      <c r="AQ50" s="25">
        <f t="shared" si="64"/>
        <v>0</v>
      </c>
      <c r="AR50" s="25">
        <f t="shared" si="65"/>
        <v>0</v>
      </c>
      <c r="AS50" s="221"/>
      <c r="AT50" s="25">
        <f t="shared" si="66"/>
        <v>0</v>
      </c>
      <c r="AU50" s="25">
        <f t="shared" si="67"/>
        <v>0</v>
      </c>
      <c r="AV50" s="221"/>
      <c r="AW50" s="25">
        <f t="shared" si="68"/>
        <v>0</v>
      </c>
      <c r="AX50" s="25">
        <f t="shared" si="69"/>
        <v>0</v>
      </c>
      <c r="AY50" s="221"/>
      <c r="AZ50" s="25">
        <f t="shared" si="72"/>
        <v>0</v>
      </c>
      <c r="BA50" s="25">
        <f t="shared" si="73"/>
        <v>0</v>
      </c>
      <c r="BB50" s="221"/>
      <c r="BC50" s="25">
        <f t="shared" si="74"/>
        <v>0</v>
      </c>
      <c r="BD50" s="25">
        <f t="shared" si="75"/>
        <v>0</v>
      </c>
      <c r="BE50" s="221"/>
      <c r="BF50" s="25">
        <f t="shared" si="76"/>
        <v>0</v>
      </c>
      <c r="BG50" s="25">
        <f t="shared" si="77"/>
        <v>0</v>
      </c>
      <c r="BH50" s="221"/>
      <c r="BI50" s="25">
        <f t="shared" si="78"/>
        <v>0</v>
      </c>
      <c r="BJ50" s="25">
        <f t="shared" si="79"/>
        <v>0</v>
      </c>
    </row>
    <row r="51" spans="1:66" ht="15.65" customHeight="1">
      <c r="A51" s="212" t="s">
        <v>1238</v>
      </c>
      <c r="B51" s="213" t="str">
        <f>+VLOOKUP(A51,Takstblad!$A$33:$B$54,2,FALSE)</f>
        <v/>
      </c>
      <c r="C51" s="285"/>
      <c r="D51" s="285"/>
      <c r="E51" s="285"/>
      <c r="F51" s="285"/>
      <c r="G51" s="285"/>
      <c r="H51" s="285"/>
      <c r="I51" s="285"/>
      <c r="J51" s="285"/>
      <c r="K51" s="285"/>
      <c r="L51" s="285"/>
      <c r="M51" s="19">
        <f t="shared" si="70"/>
        <v>0</v>
      </c>
      <c r="N51" s="285"/>
      <c r="O51" s="285" t="s">
        <v>113</v>
      </c>
      <c r="P51" s="212"/>
      <c r="Q51" s="218"/>
      <c r="R51" s="216">
        <f t="shared" si="55"/>
        <v>0</v>
      </c>
      <c r="S51" s="215">
        <f>+IFERROR(IF(S$19=Takstblad!C$3,VLOOKUP($A51,takstblad,3,FALSE)*C51,"fejl i år"),0)</f>
        <v>0</v>
      </c>
      <c r="T51" s="215">
        <f>+IFERROR(IF(T$19=Takstblad!D$3,VLOOKUP($A51,takstblad,4,FALSE)*D51,"fejl i år"),0)</f>
        <v>0</v>
      </c>
      <c r="U51" s="215">
        <f>+IFERROR(IF(U$19=Takstblad!E$3,VLOOKUP($A51,takstblad,5,FALSE)*E51,"fejl i år"),0)</f>
        <v>0</v>
      </c>
      <c r="V51" s="215">
        <f>+IFERROR(IF(V$19=Takstblad!F$3,VLOOKUP($A51,takstblad,6,FALSE)*F51,"fejl i år"),0)</f>
        <v>0</v>
      </c>
      <c r="W51" s="215">
        <f>+IFERROR(IF(W$19=Takstblad!G$3,VLOOKUP($A51,takstblad,7,FALSE)*G51,"fejl i år"),0)</f>
        <v>0</v>
      </c>
      <c r="X51" s="215">
        <f>+IFERROR(IF(X$19=Takstblad!H$3,VLOOKUP($A51,takstblad,8,FALSE)*H51,"fejl i år"),0)</f>
        <v>0</v>
      </c>
      <c r="Y51" s="215">
        <f>+IFERROR(IF(Y$19=Takstblad!I$3,VLOOKUP($A51,takstblad,9,FALSE)*I51,"fejl i år"),0)</f>
        <v>0</v>
      </c>
      <c r="Z51" s="215">
        <f>+IFERROR(IF(Z$19=Takstblad!J$3,VLOOKUP($A51,takstblad,10,FALSE)*J51,"fejl i år"),0)</f>
        <v>0</v>
      </c>
      <c r="AA51" s="215">
        <f>+IFERROR(IF(AA$19=Takstblad!K$3,VLOOKUP($A51,takstblad,11,FALSE)*K51,"fejl i år"),0)</f>
        <v>0</v>
      </c>
      <c r="AB51" s="215">
        <f>+IFERROR(IF(AB$19=Takstblad!L$3,VLOOKUP($A51,takstblad,12,FALSE)*L51,"fejl i år"),0)</f>
        <v>0</v>
      </c>
      <c r="AC51" s="216">
        <f t="shared" si="71"/>
        <v>0</v>
      </c>
      <c r="AD51" s="221"/>
      <c r="AE51" s="217">
        <f t="shared" si="56"/>
        <v>0</v>
      </c>
      <c r="AF51" s="217">
        <f t="shared" si="57"/>
        <v>0</v>
      </c>
      <c r="AG51" s="221"/>
      <c r="AH51" s="217">
        <f t="shared" si="58"/>
        <v>0</v>
      </c>
      <c r="AI51" s="217">
        <f t="shared" si="59"/>
        <v>0</v>
      </c>
      <c r="AJ51" s="221"/>
      <c r="AK51" s="215">
        <f t="shared" si="60"/>
        <v>0</v>
      </c>
      <c r="AL51" s="215">
        <f t="shared" si="61"/>
        <v>0</v>
      </c>
      <c r="AM51" s="221"/>
      <c r="AN51" s="215">
        <f t="shared" si="62"/>
        <v>0</v>
      </c>
      <c r="AO51" s="215">
        <f t="shared" si="63"/>
        <v>0</v>
      </c>
      <c r="AP51" s="221"/>
      <c r="AQ51" s="215">
        <f t="shared" si="64"/>
        <v>0</v>
      </c>
      <c r="AR51" s="215">
        <f t="shared" si="65"/>
        <v>0</v>
      </c>
      <c r="AS51" s="221"/>
      <c r="AT51" s="215">
        <f t="shared" si="66"/>
        <v>0</v>
      </c>
      <c r="AU51" s="215">
        <f t="shared" si="67"/>
        <v>0</v>
      </c>
      <c r="AV51" s="221"/>
      <c r="AW51" s="215">
        <f t="shared" si="68"/>
        <v>0</v>
      </c>
      <c r="AX51" s="215">
        <f t="shared" si="69"/>
        <v>0</v>
      </c>
      <c r="AY51" s="221"/>
      <c r="AZ51" s="215">
        <f t="shared" si="72"/>
        <v>0</v>
      </c>
      <c r="BA51" s="215">
        <f t="shared" si="73"/>
        <v>0</v>
      </c>
      <c r="BB51" s="221"/>
      <c r="BC51" s="215">
        <f t="shared" si="74"/>
        <v>0</v>
      </c>
      <c r="BD51" s="215">
        <f t="shared" si="75"/>
        <v>0</v>
      </c>
      <c r="BE51" s="221"/>
      <c r="BF51" s="215">
        <f t="shared" si="76"/>
        <v>0</v>
      </c>
      <c r="BG51" s="215">
        <f t="shared" si="77"/>
        <v>0</v>
      </c>
      <c r="BH51" s="221"/>
      <c r="BI51" s="215">
        <f t="shared" si="78"/>
        <v>0</v>
      </c>
      <c r="BJ51" s="215">
        <f t="shared" si="79"/>
        <v>0</v>
      </c>
    </row>
    <row r="52" spans="1:66" ht="15.65" customHeight="1">
      <c r="A52" s="7" t="s">
        <v>1238</v>
      </c>
      <c r="B52" s="4" t="str">
        <f>+VLOOKUP(A52,Takstblad!$A$33:$B$54,2,FALSE)</f>
        <v/>
      </c>
      <c r="C52" s="285"/>
      <c r="D52" s="285"/>
      <c r="E52" s="285"/>
      <c r="F52" s="285"/>
      <c r="G52" s="285"/>
      <c r="H52" s="285"/>
      <c r="I52" s="285"/>
      <c r="J52" s="285"/>
      <c r="K52" s="285"/>
      <c r="L52" s="285"/>
      <c r="M52" s="19">
        <f t="shared" si="70"/>
        <v>0</v>
      </c>
      <c r="N52" s="285"/>
      <c r="O52" s="285" t="s">
        <v>113</v>
      </c>
      <c r="Q52" s="23"/>
      <c r="R52" s="21">
        <f t="shared" si="55"/>
        <v>0</v>
      </c>
      <c r="S52" s="25">
        <f>+IFERROR(IF(S$19=Takstblad!C$3,VLOOKUP($A52,takstblad,3,FALSE)*C52,"fejl i år"),0)</f>
        <v>0</v>
      </c>
      <c r="T52" s="25">
        <f>+IFERROR(IF(T$19=Takstblad!D$3,VLOOKUP($A52,takstblad,4,FALSE)*D52,"fejl i år"),0)</f>
        <v>0</v>
      </c>
      <c r="U52" s="25">
        <f>+IFERROR(IF(U$19=Takstblad!E$3,VLOOKUP($A52,takstblad,5,FALSE)*E52,"fejl i år"),0)</f>
        <v>0</v>
      </c>
      <c r="V52" s="25">
        <f>+IFERROR(IF(V$19=Takstblad!F$3,VLOOKUP($A52,takstblad,6,FALSE)*F52,"fejl i år"),0)</f>
        <v>0</v>
      </c>
      <c r="W52" s="25">
        <f>+IFERROR(IF(W$19=Takstblad!G$3,VLOOKUP($A52,takstblad,7,FALSE)*G52,"fejl i år"),0)</f>
        <v>0</v>
      </c>
      <c r="X52" s="25">
        <f>+IFERROR(IF(X$19=Takstblad!H$3,VLOOKUP($A52,takstblad,8,FALSE)*H52,"fejl i år"),0)</f>
        <v>0</v>
      </c>
      <c r="Y52" s="25">
        <f>+IFERROR(IF(Y$19=Takstblad!I$3,VLOOKUP($A52,takstblad,9,FALSE)*I52,"fejl i år"),0)</f>
        <v>0</v>
      </c>
      <c r="Z52" s="25">
        <f>+IFERROR(IF(Z$19=Takstblad!J$3,VLOOKUP($A52,takstblad,10,FALSE)*J52,"fejl i år"),0)</f>
        <v>0</v>
      </c>
      <c r="AA52" s="25">
        <f>+IFERROR(IF(AA$19=Takstblad!K$3,VLOOKUP($A52,takstblad,11,FALSE)*K52,"fejl i år"),0)</f>
        <v>0</v>
      </c>
      <c r="AB52" s="25">
        <f>+IFERROR(IF(AB$19=Takstblad!L$3,VLOOKUP($A52,takstblad,12,FALSE)*L52,"fejl i år"),0)</f>
        <v>0</v>
      </c>
      <c r="AC52" s="21">
        <f t="shared" si="71"/>
        <v>0</v>
      </c>
      <c r="AD52" s="221"/>
      <c r="AE52" s="25">
        <f t="shared" si="56"/>
        <v>0</v>
      </c>
      <c r="AF52" s="25">
        <f t="shared" si="57"/>
        <v>0</v>
      </c>
      <c r="AG52" s="221"/>
      <c r="AH52" s="25">
        <f t="shared" si="58"/>
        <v>0</v>
      </c>
      <c r="AI52" s="25">
        <f t="shared" si="59"/>
        <v>0</v>
      </c>
      <c r="AJ52" s="221"/>
      <c r="AK52" s="25">
        <f t="shared" si="60"/>
        <v>0</v>
      </c>
      <c r="AL52" s="25">
        <f t="shared" si="61"/>
        <v>0</v>
      </c>
      <c r="AM52" s="221"/>
      <c r="AN52" s="25">
        <f t="shared" si="62"/>
        <v>0</v>
      </c>
      <c r="AO52" s="25">
        <f t="shared" si="63"/>
        <v>0</v>
      </c>
      <c r="AP52" s="221"/>
      <c r="AQ52" s="25">
        <f t="shared" si="64"/>
        <v>0</v>
      </c>
      <c r="AR52" s="25">
        <f t="shared" si="65"/>
        <v>0</v>
      </c>
      <c r="AS52" s="221"/>
      <c r="AT52" s="25">
        <f t="shared" si="66"/>
        <v>0</v>
      </c>
      <c r="AU52" s="25">
        <f t="shared" si="67"/>
        <v>0</v>
      </c>
      <c r="AV52" s="221"/>
      <c r="AW52" s="25">
        <f t="shared" si="68"/>
        <v>0</v>
      </c>
      <c r="AX52" s="25">
        <f t="shared" si="69"/>
        <v>0</v>
      </c>
      <c r="AY52" s="221"/>
      <c r="AZ52" s="25">
        <f t="shared" si="72"/>
        <v>0</v>
      </c>
      <c r="BA52" s="25">
        <f t="shared" si="73"/>
        <v>0</v>
      </c>
      <c r="BB52" s="221"/>
      <c r="BC52" s="25">
        <f t="shared" si="74"/>
        <v>0</v>
      </c>
      <c r="BD52" s="25">
        <f t="shared" si="75"/>
        <v>0</v>
      </c>
      <c r="BE52" s="221"/>
      <c r="BF52" s="25">
        <f t="shared" si="76"/>
        <v>0</v>
      </c>
      <c r="BG52" s="25">
        <f t="shared" si="77"/>
        <v>0</v>
      </c>
      <c r="BH52" s="221"/>
      <c r="BI52" s="25">
        <f t="shared" si="78"/>
        <v>0</v>
      </c>
      <c r="BJ52" s="25">
        <f t="shared" si="79"/>
        <v>0</v>
      </c>
    </row>
    <row r="53" spans="1:66" s="11" customFormat="1" ht="15.65" customHeight="1">
      <c r="A53" s="5" t="s">
        <v>231</v>
      </c>
      <c r="B53" s="4"/>
      <c r="C53" s="157">
        <f>IF($C$12=2,0,IF(OR($G$7="Salary and operations",$G$7="Salary"),S53/Takstblad!C57,0))</f>
        <v>0</v>
      </c>
      <c r="D53" s="157">
        <f>IF($C$12=2,0,IF(OR($G$7="Salary and operations",$G$7="Salary"),T53/Takstblad!D57,0))</f>
        <v>0</v>
      </c>
      <c r="E53" s="157">
        <f>IF($C$12=2,0,IF(OR($G$7="Salary and operations",$G$7="Salary"),U53/Takstblad!E57,0))</f>
        <v>0</v>
      </c>
      <c r="F53" s="157">
        <f>IF($C$12=2,0,IF(OR($G$7="Salary and operations",$G$7="Salary"),V53/Takstblad!F57,0))</f>
        <v>0</v>
      </c>
      <c r="G53" s="157">
        <f>IF($C$12=2,0,IF(OR($G$7="Salary and operations",$G$7="Salary"),W53/Takstblad!G57,0))</f>
        <v>0</v>
      </c>
      <c r="H53" s="157">
        <f>IF($C$12=2,0,IF(OR($G$7="Salary and operations",$G$7="Salary"),X53/Takstblad!H57,0))</f>
        <v>0</v>
      </c>
      <c r="I53" s="157">
        <f>IF($C$12=2,0,IF(OR($G$7="Salary and operations",$G$7="Salary"),Y53/Takstblad!I57,0))</f>
        <v>0</v>
      </c>
      <c r="J53" s="157">
        <f>IF($C$12=2,0,IF(OR($G$7="Salary and operations",$G$7="Salary"),Z53/Takstblad!J57,0))</f>
        <v>0</v>
      </c>
      <c r="K53" s="157">
        <f>IF($C$12=2,0,IF(OR($G$7="Salary and operations",$G$7="Salary"),AA53/Takstblad!K57,0))</f>
        <v>0</v>
      </c>
      <c r="L53" s="157">
        <f>IF($C$12=2,0,IF(OR($G$7="Salary and operations",$G$7="Salary"),AB53/Takstblad!L57,0))</f>
        <v>0</v>
      </c>
      <c r="M53" s="65">
        <f t="shared" si="70"/>
        <v>0</v>
      </c>
      <c r="N53" s="20"/>
      <c r="O53" s="159" t="s">
        <v>152</v>
      </c>
      <c r="Q53" s="27"/>
      <c r="R53" s="21">
        <f>+AC53</f>
        <v>0</v>
      </c>
      <c r="S53" s="25">
        <f>IFERROR(IF($C$12=2,0,IF(OR($G$7="Salary and operations",$G$7="Salary"),VLOOKUP($C$2,Takstblad!$B$58:$L$70,2,FALSE)*C$58,0)),0)</f>
        <v>0</v>
      </c>
      <c r="T53" s="25">
        <f>IFERROR(IF($C$12=2,0,IF(OR($G$7="Salary and operations",$G$7="Salary"),VLOOKUP($C$2,Takstblad!$B$58:$L$70,3,FALSE)*D$58,0)),0)</f>
        <v>0</v>
      </c>
      <c r="U53" s="25">
        <f>IFERROR(IF($C$12=2,0,IF(OR($G$7="Salary and operations",$G$7="Salary"),VLOOKUP($C$2,Takstblad!$B$58:$L$70,4,FALSE)*E$58,0)),0)</f>
        <v>0</v>
      </c>
      <c r="V53" s="25">
        <f>IFERROR(IF($C$12=2,0,IF(OR($G$7="Salary and operations",$G$7="Salary"),VLOOKUP($C$2,Takstblad!$B$58:$L$70,5,FALSE)*F$58,0)),0)</f>
        <v>0</v>
      </c>
      <c r="W53" s="25">
        <f>IFERROR(IF($C$12=2,0,IF(OR($G$7="Salary and operations",$G$7="Salary"),VLOOKUP($C$2,Takstblad!$B$58:$L$70,6,FALSE)*G$58,0)),0)</f>
        <v>0</v>
      </c>
      <c r="X53" s="25">
        <f>IFERROR(IF($C$12=2,0,IF(OR($G$7="Salary and operations",$G$7="Salary"),VLOOKUP($C$2,Takstblad!$B$58:$L$70,7,FALSE)*H$58,0)),0)</f>
        <v>0</v>
      </c>
      <c r="Y53" s="25">
        <f>IFERROR(IF($C$12=2,0,IF(OR($G$7="salary and operations",$G$7="Salary"),VLOOKUP($C$2,Takstblad!$B$58:$L$70,8,FALSE)*I$58,0)),0)</f>
        <v>0</v>
      </c>
      <c r="Z53" s="25">
        <f>IFERROR(IF($C$12=2,0,IF(OR($G$7="salary and operations",$G$7="Salary"),VLOOKUP($C$2,Takstblad!$B$58:$L$70,9,FALSE)*J$58,0)),0)</f>
        <v>0</v>
      </c>
      <c r="AA53" s="25">
        <f>IFERROR(IF($C$12=2,0,IF(OR($G$7="salary and operations",$G$7="Salary"),VLOOKUP($C$2,Takstblad!$B$58:$L$70,10,FALSE)*K$58,0)),0)</f>
        <v>0</v>
      </c>
      <c r="AB53" s="25">
        <f>IFERROR(IF($C$12=2,0,IF(OR($G$7="salary and operations",$G$7="Salary"),VLOOKUP($C$2,Takstblad!$B$58:$L$70,11,FALSE)*L$58,0)),0)</f>
        <v>0</v>
      </c>
      <c r="AC53" s="21">
        <f t="shared" si="71"/>
        <v>0</v>
      </c>
      <c r="AD53" s="221"/>
      <c r="AE53" s="25">
        <f>+M53*($C$7/12)</f>
        <v>0</v>
      </c>
      <c r="AF53" s="25">
        <f t="shared" si="57"/>
        <v>0</v>
      </c>
      <c r="AG53" s="7"/>
      <c r="AH53" s="25">
        <f t="shared" si="58"/>
        <v>0</v>
      </c>
      <c r="AI53" s="25">
        <f t="shared" si="59"/>
        <v>0</v>
      </c>
      <c r="AJ53" s="7"/>
      <c r="AK53" s="25">
        <f t="shared" si="60"/>
        <v>0</v>
      </c>
      <c r="AL53" s="25">
        <f t="shared" si="61"/>
        <v>0</v>
      </c>
      <c r="AM53" s="221"/>
      <c r="AN53" s="25">
        <f t="shared" si="62"/>
        <v>0</v>
      </c>
      <c r="AO53" s="25">
        <f t="shared" si="63"/>
        <v>0</v>
      </c>
      <c r="AP53" s="221"/>
      <c r="AQ53" s="25">
        <f t="shared" si="64"/>
        <v>0</v>
      </c>
      <c r="AR53" s="25">
        <f t="shared" si="65"/>
        <v>0</v>
      </c>
      <c r="AS53" s="221"/>
      <c r="AT53" s="25">
        <f t="shared" si="66"/>
        <v>0</v>
      </c>
      <c r="AU53" s="25">
        <f t="shared" si="67"/>
        <v>0</v>
      </c>
      <c r="AV53" s="221"/>
      <c r="AW53" s="25">
        <f t="shared" si="68"/>
        <v>0</v>
      </c>
      <c r="AX53" s="25">
        <f t="shared" si="69"/>
        <v>0</v>
      </c>
      <c r="AY53" s="7"/>
      <c r="AZ53" s="25">
        <f t="shared" si="72"/>
        <v>0</v>
      </c>
      <c r="BA53" s="25">
        <f t="shared" si="73"/>
        <v>0</v>
      </c>
      <c r="BB53" s="7"/>
      <c r="BC53" s="25">
        <f t="shared" si="74"/>
        <v>0</v>
      </c>
      <c r="BD53" s="25">
        <f t="shared" si="75"/>
        <v>0</v>
      </c>
      <c r="BE53" s="7"/>
      <c r="BF53" s="25">
        <f t="shared" si="76"/>
        <v>0</v>
      </c>
      <c r="BG53" s="25">
        <f t="shared" si="77"/>
        <v>0</v>
      </c>
      <c r="BH53" s="7"/>
      <c r="BI53" s="25">
        <f t="shared" si="78"/>
        <v>0</v>
      </c>
      <c r="BJ53" s="25">
        <f t="shared" si="79"/>
        <v>0</v>
      </c>
      <c r="BK53" s="7"/>
      <c r="BL53" s="7"/>
      <c r="BM53" s="7"/>
      <c r="BN53" s="7"/>
    </row>
    <row r="54" spans="1:66" s="11" customFormat="1" ht="15.65" customHeight="1">
      <c r="A54" s="5" t="s">
        <v>232</v>
      </c>
      <c r="B54" s="4"/>
      <c r="C54" s="157">
        <f>IF($C$12=2,0,IF(OR($G$7="Salary and operations",$G$7="Salary"),S54/Takstblad!C57,0))</f>
        <v>0</v>
      </c>
      <c r="D54" s="157">
        <f>IF($C$12=2,0,IF(OR($G$7="Salary and operations",$G$7="Salary"),T54/Takstblad!D57,0))</f>
        <v>0</v>
      </c>
      <c r="E54" s="157">
        <f>IF($C$12=2,0,IF(OR($G$7="Salary and operations",$G$7="Salary"),U54/Takstblad!E57,0))</f>
        <v>0</v>
      </c>
      <c r="F54" s="157">
        <f>IF($C$12=2,0,IF(OR($G$7="Salary and operations",$G$7="Salary"),V54/Takstblad!F57,0))</f>
        <v>0</v>
      </c>
      <c r="G54" s="157">
        <f>IF($C$12=2,0,IF(OR($G$7="Salary and operations",$G$7="Salary"),W54/Takstblad!G57,0))</f>
        <v>0</v>
      </c>
      <c r="H54" s="157">
        <f>IF($C$12=2,0,IF(OR($G$7="Salary and operations",$G$7="Salary"),X54/Takstblad!H57,0))</f>
        <v>0</v>
      </c>
      <c r="I54" s="157">
        <f>IF($C$12=2,0,IF(OR($G$7="Salary and operations",$G$7="Salary"),Y54/Takstblad!I57,0))</f>
        <v>0</v>
      </c>
      <c r="J54" s="157">
        <f>IF($C$12=2,0,IF(OR($G$7="Salary and operations",$G$7="Salary"),Z54/Takstblad!J57,0))</f>
        <v>0</v>
      </c>
      <c r="K54" s="157">
        <f>IF($C$12=2,0,IF(OR($G$7="Salary and operations",$G$7="Salary"),AA54/Takstblad!K57,0))</f>
        <v>0</v>
      </c>
      <c r="L54" s="157">
        <f>IF($C$12=2,0,IF(OR($G$7="Salary and operations",$G$7="Salary"),AB54/Takstblad!L57,0))</f>
        <v>0</v>
      </c>
      <c r="M54" s="65">
        <f t="shared" si="70"/>
        <v>0</v>
      </c>
      <c r="N54" s="94"/>
      <c r="O54" s="159" t="s">
        <v>112</v>
      </c>
      <c r="Q54" s="27"/>
      <c r="R54" s="21">
        <f t="shared" si="55"/>
        <v>0</v>
      </c>
      <c r="S54" s="25">
        <f>IFERROR(IF($C$12=2,0,IF(OR($G$7="Salary and operations",$G$7="Salary"),VLOOKUP($C$2,Takstblad!$B$58:$L$70,2,FALSE)*C$59,0)),0)</f>
        <v>0</v>
      </c>
      <c r="T54" s="25">
        <f>IFERROR(IF($C$12=2,0,IF(OR($G$7="Salary and operations",$G$7="Salary"),VLOOKUP($C$2,Takstblad!$B$58:$L$70,3,FALSE)*D$59,0)),0)</f>
        <v>0</v>
      </c>
      <c r="U54" s="25">
        <f>IFERROR(IF($C$12=2,0,IF(OR($G$7="Salary and operations",$G$7="Salary"),VLOOKUP($C$2,Takstblad!$B$58:$L$70,4,FALSE)*E$59,0)),0)</f>
        <v>0</v>
      </c>
      <c r="V54" s="25">
        <f>IFERROR(IF($C$12=2,0,IF(OR($G$7="Salary and operations",$G$7="Salary"),VLOOKUP($C$2,Takstblad!$B$58:$L$70,5,FALSE)*F$59,0)),0)</f>
        <v>0</v>
      </c>
      <c r="W54" s="25">
        <f>IFERROR(IF($C$12=2,0,IF(OR($G$7="Salary and operations",$G$7="Salary"),VLOOKUP($C$2,Takstblad!$B$58:$L$70,6,FALSE)*G$59,0)),0)</f>
        <v>0</v>
      </c>
      <c r="X54" s="25">
        <f>IFERROR(IF($C$12=2,0,IF(OR($G$7="Salary and operations",$G$7="Salary"),VLOOKUP($C$2,Takstblad!$B$58:$L$70,7,FALSE)*H$59,0)),0)</f>
        <v>0</v>
      </c>
      <c r="Y54" s="25">
        <f>IFERROR(IF($C$12=2,0,IF(OR($G$7="salary and operations",$G$7="Salary"),VLOOKUP($C$2,Takstblad!$B$58:$L$70,8,FALSE)*I$59,0)),0)</f>
        <v>0</v>
      </c>
      <c r="Z54" s="25">
        <f>IFERROR(IF($C$12=2,0,IF(OR($G$7="salary and operations",$G$7="Salary"),VLOOKUP($C$2,Takstblad!$B$58:$L$70,9,FALSE)*J$59,0)),0)</f>
        <v>0</v>
      </c>
      <c r="AA54" s="25">
        <f>IFERROR(IF($C$12=2,0,IF(OR($G$7="salary and operations",$G$7="Salary"),VLOOKUP($C$2,Takstblad!$B$58:$L$70,10,FALSE)*K$59,0)),0)</f>
        <v>0</v>
      </c>
      <c r="AB54" s="25">
        <f>IFERROR(IF($C$12=2,0,IF(OR($G$7="salary and operations",$G$7="Salary"),VLOOKUP($C$2,Takstblad!$B$58:$L$70,11,FALSE)*L$59,0)),0)</f>
        <v>0</v>
      </c>
      <c r="AC54" s="21">
        <f t="shared" si="71"/>
        <v>0</v>
      </c>
      <c r="AD54" s="7"/>
      <c r="AE54" s="25">
        <f>+M54*($C$7/12)</f>
        <v>0</v>
      </c>
      <c r="AF54" s="25">
        <f>IFERROR(AC54/AE54,0)</f>
        <v>0</v>
      </c>
      <c r="AG54" s="7"/>
      <c r="AH54" s="25">
        <f>+C54*($C$7/12)</f>
        <v>0</v>
      </c>
      <c r="AI54" s="25">
        <f>IFERROR(S54/AH54,0)</f>
        <v>0</v>
      </c>
      <c r="AJ54" s="7"/>
      <c r="AK54" s="25">
        <f>+D54*($C$7/12)</f>
        <v>0</v>
      </c>
      <c r="AL54" s="25">
        <f>IFERROR(T54/AK54,0)</f>
        <v>0</v>
      </c>
      <c r="AM54" s="7"/>
      <c r="AN54" s="25">
        <f>+E54*($C$7/12)</f>
        <v>0</v>
      </c>
      <c r="AO54" s="25">
        <f>IFERROR(U54/AN54,0)</f>
        <v>0</v>
      </c>
      <c r="AP54" s="221"/>
      <c r="AQ54" s="25">
        <f>+F54*($C$7/12)</f>
        <v>0</v>
      </c>
      <c r="AR54" s="25">
        <f>IFERROR(V54/AQ54,0)</f>
        <v>0</v>
      </c>
      <c r="AS54" s="7"/>
      <c r="AT54" s="25">
        <f>+G54*($C$7/12)</f>
        <v>0</v>
      </c>
      <c r="AU54" s="25">
        <f>IFERROR(W54/AT54,0)</f>
        <v>0</v>
      </c>
      <c r="AV54" s="7"/>
      <c r="AW54" s="25">
        <f>+H54*($C$7/12)</f>
        <v>0</v>
      </c>
      <c r="AX54" s="25">
        <f>IFERROR(X54/AW54,0)</f>
        <v>0</v>
      </c>
      <c r="AY54" s="7"/>
      <c r="AZ54" s="25">
        <f>+I54*($C$7/12)</f>
        <v>0</v>
      </c>
      <c r="BA54" s="25">
        <f>IFERROR(Y54/AZ54,0)</f>
        <v>0</v>
      </c>
      <c r="BB54" s="7"/>
      <c r="BC54" s="25">
        <f>+J54*($C$7/12)</f>
        <v>0</v>
      </c>
      <c r="BD54" s="25">
        <f>IFERROR(Z54/BC54,0)</f>
        <v>0</v>
      </c>
      <c r="BE54" s="7"/>
      <c r="BF54" s="25">
        <f t="shared" si="76"/>
        <v>0</v>
      </c>
      <c r="BG54" s="25">
        <f t="shared" si="77"/>
        <v>0</v>
      </c>
      <c r="BH54" s="7"/>
      <c r="BI54" s="25">
        <f t="shared" si="78"/>
        <v>0</v>
      </c>
      <c r="BJ54" s="25">
        <f t="shared" si="79"/>
        <v>0</v>
      </c>
      <c r="BK54" s="7"/>
      <c r="BL54" s="7"/>
      <c r="BM54" s="7"/>
      <c r="BN54" s="7"/>
    </row>
    <row r="55" spans="1:66" ht="15.65" customHeight="1" thickBot="1">
      <c r="A55" s="5" t="s">
        <v>719</v>
      </c>
      <c r="B55" s="4"/>
      <c r="C55" s="160">
        <f>IF($C$10="Yes",((SUMIFS(C$20:C$29,$O$20:$O$29,Lister!$D$29,$A$20:$A$29,Takstblad!$A$18)+SUMIFS(C$20:C$29,$O$20:$O$29,Lister!$D$29,$A$20:$A$29,Takstblad!$A$19)+SUMIFS(C$20:C$29,$O$20:$O$29,Lister!$D$29,$A$20:$A$29,Takstblad!$A$20)+SUMIFS(C$20:C$29,$O$20:$O$29,Lister!$D$29,$A$20:$A$29,Takstblad!$A$21)+SUMIFS(C$20:C$29,$O$20:$O$29,Lister!$D$29,$A$20:$A$29,Takstblad!$A$22)+SUMIFS(C$20:C$29,$O$20:$O$29,Lister!$D$29,$A$20:$A$29,Takstblad!$A$23)+SUMIFS(C$20:C$29,$O$20:$O$29,Lister!$D$30,$A$20:$A$29,Takstblad!$A$18)+SUMIFS(C$20:C$29,$O$20:$O$29,Lister!$D$30,$A$20:$A$29,Takstblad!$A$19)+SUMIFS(C$20:C$29,$O$20:$O$29,Lister!$D$30,$A$20:$A$29,Takstblad!$A$20)+SUMIFS(C$20:C$29,$O$20:$O$29,Lister!$D$30,$A$20:$A$29,Takstblad!$A$21)+SUMIFS(C$20:C$29,$O$20:$O$29,Lister!$D$30,$A$20:$A$29,Takstblad!$A$22)+SUMIFS(C$20:C$29,$O$20:$O$29,Lister!$D$30,$A$20:$A$29,Takstblad!$A$23))/12)*0.5+((+SUMIF($O$43:$O$52,Lister!$D$29,C$43:C$52)-SUMIFS(C$43:C$52,$O$43:$O$52,Lister!$D$29,$A$43:$A$52,Takstblad!$A$34)-SUMIFS(C$43:C$52,$O$43:$O$52,Lister!$D$29,$A$43:$A$52,Takstblad!$A$36)-SUMIFS(C$43:C$52,$O$43:$O$52,Lister!$D$29,$A$43:$A$52,Takstblad!$A$43)-SUMIFS(C$43:C$52,$O$43:$O$52,Lister!$D$29,$A$43:$A$52,Takstblad!$A$44)+SUMIF($O$43:$O$52,Lister!$D$30,C$43:C$52)-SUMIFS(C$43:C$52,$O$43:$O$52,Lister!$D$30,$A$43:$A$52,Takstblad!$A$34)-SUMIFS(C$43:C$52,$O$43:$O$52,Lister!$D$30,$A$43:$A$52,Takstblad!$A$36)-SUMIFS(C$43:C$52,$O$43:$O$52,Lister!$D$30,$A$43:$A$52,Takstblad!$A$43)-SUMIFS(C$43:C$52,$O$43:$O$52,Lister!$D$30,$A$43:$A$52,Takstblad!$A$44))*0.3),0)</f>
        <v>0</v>
      </c>
      <c r="D55" s="160">
        <f>IF($C$10="Yes",((SUMIFS(D$20:D$29,$O$20:$O$29,Lister!$D$29,$A$20:$A$29,Takstblad!$A$18)+SUMIFS(D$20:D$29,$O$20:$O$29,Lister!$D$29,$A$20:$A$29,Takstblad!$A$19)+SUMIFS(D$20:D$29,$O$20:$O$29,Lister!$D$29,$A$20:$A$29,Takstblad!$A$20)+SUMIFS(D$20:D$29,$O$20:$O$29,Lister!$D$29,$A$20:$A$29,Takstblad!$A$21)+SUMIFS(D$20:D$29,$O$20:$O$29,Lister!$D$29,$A$20:$A$29,Takstblad!$A$22)+SUMIFS(D$20:D$29,$O$20:$O$29,Lister!$D$29,$A$20:$A$29,Takstblad!$A$23)+SUMIFS(D$20:D$29,$O$20:$O$29,Lister!$D$30,$A$20:$A$29,Takstblad!$A$18)+SUMIFS(D$20:D$29,$O$20:$O$29,Lister!$D$30,$A$20:$A$29,Takstblad!$A$19)+SUMIFS(D$20:D$29,$O$20:$O$29,Lister!$D$30,$A$20:$A$29,Takstblad!$A$20)+SUMIFS(D$20:D$29,$O$20:$O$29,Lister!$D$30,$A$20:$A$29,Takstblad!$A$21)+SUMIFS(D$20:D$29,$O$20:$O$29,Lister!$D$30,$A$20:$A$29,Takstblad!$A$22)+SUMIFS(D$20:D$29,$O$20:$O$29,Lister!$D$30,$A$20:$A$29,Takstblad!$A$23))/12)*0.5+((+SUMIF($O$43:$O$52,Lister!$D$29,D$43:D$52)-SUMIFS(D$43:D$52,$O$43:$O$52,Lister!$D$29,$A$43:$A$52,Takstblad!$A$34)-SUMIFS(D$43:D$52,$O$43:$O$52,Lister!$D$29,$A$43:$A$52,Takstblad!$A$36)-SUMIFS(D$43:D$52,$O$43:$O$52,Lister!$D$29,$A$43:$A$52,Takstblad!$A$43)-SUMIFS(D$43:D$52,$O$43:$O$52,Lister!$D$29,$A$43:$A$52,Takstblad!$A$44)+SUMIF($O$43:$O$52,Lister!$D$30,D$43:D$52)-SUMIFS(D$43:D$52,$O$43:$O$52,Lister!$D$30,$A$43:$A$52,Takstblad!$A$34)-SUMIFS(D$43:D$52,$O$43:$O$52,Lister!$D$30,$A$43:$A$52,Takstblad!$A$36)-SUMIFS(D$43:D$52,$O$43:$O$52,Lister!$D$30,$A$43:$A$52,Takstblad!$A$43)-SUMIFS(D$43:D$52,$O$43:$O$52,Lister!$D$30,$A$43:$A$52,Takstblad!$A$44))*0.3),0)</f>
        <v>0</v>
      </c>
      <c r="E55" s="160">
        <f>IF($C$10="Yes",((SUMIFS(E$20:E$29,$O$20:$O$29,Lister!$D$29,$A$20:$A$29,Takstblad!$A$18)+SUMIFS(E$20:E$29,$O$20:$O$29,Lister!$D$29,$A$20:$A$29,Takstblad!$A$19)+SUMIFS(E$20:E$29,$O$20:$O$29,Lister!$D$29,$A$20:$A$29,Takstblad!$A$20)+SUMIFS(E$20:E$29,$O$20:$O$29,Lister!$D$29,$A$20:$A$29,Takstblad!$A$21)+SUMIFS(E$20:E$29,$O$20:$O$29,Lister!$D$29,$A$20:$A$29,Takstblad!$A$22)+SUMIFS(E$20:E$29,$O$20:$O$29,Lister!$D$29,$A$20:$A$29,Takstblad!$A$23)+SUMIFS(E$20:E$29,$O$20:$O$29,Lister!$D$30,$A$20:$A$29,Takstblad!$A$18)+SUMIFS(E$20:E$29,$O$20:$O$29,Lister!$D$30,$A$20:$A$29,Takstblad!$A$19)+SUMIFS(E$20:E$29,$O$20:$O$29,Lister!$D$30,$A$20:$A$29,Takstblad!$A$20)+SUMIFS(E$20:E$29,$O$20:$O$29,Lister!$D$30,$A$20:$A$29,Takstblad!$A$21)+SUMIFS(E$20:E$29,$O$20:$O$29,Lister!$D$30,$A$20:$A$29,Takstblad!$A$22)+SUMIFS(E$20:E$29,$O$20:$O$29,Lister!$D$30,$A$20:$A$29,Takstblad!$A$23))/12)*0.5+((+SUMIF($O$43:$O$52,Lister!$D$29,E$43:E$52)-SUMIFS(E$43:E$52,$O$43:$O$52,Lister!$D$29,$A$43:$A$52,Takstblad!$A$34)-SUMIFS(E$43:E$52,$O$43:$O$52,Lister!$D$29,$A$43:$A$52,Takstblad!$A$36)-SUMIFS(E$43:E$52,$O$43:$O$52,Lister!$D$29,$A$43:$A$52,Takstblad!$A$43)-SUMIFS(E$43:E$52,$O$43:$O$52,Lister!$D$29,$A$43:$A$52,Takstblad!$A$44)+SUMIF($O$43:$O$52,Lister!$D$30,E$43:E$52)-SUMIFS(E$43:E$52,$O$43:$O$52,Lister!$D$30,$A$43:$A$52,Takstblad!$A$34)-SUMIFS(E$43:E$52,$O$43:$O$52,Lister!$D$30,$A$43:$A$52,Takstblad!$A$36)-SUMIFS(E$43:E$52,$O$43:$O$52,Lister!$D$30,$A$43:$A$52,Takstblad!$A$43)-SUMIFS(E$43:E$52,$O$43:$O$52,Lister!$D$30,$A$43:$A$52,Takstblad!$A$44))*0.3),0)</f>
        <v>0</v>
      </c>
      <c r="F55" s="160">
        <f>IF($C$10="Yes",((SUMIFS(F$20:F$29,$O$20:$O$29,Lister!$D$29,$A$20:$A$29,Takstblad!$A$18)+SUMIFS(F$20:F$29,$O$20:$O$29,Lister!$D$29,$A$20:$A$29,Takstblad!$A$19)+SUMIFS(F$20:F$29,$O$20:$O$29,Lister!$D$29,$A$20:$A$29,Takstblad!$A$20)+SUMIFS(F$20:F$29,$O$20:$O$29,Lister!$D$29,$A$20:$A$29,Takstblad!$A$21)+SUMIFS(F$20:F$29,$O$20:$O$29,Lister!$D$29,$A$20:$A$29,Takstblad!$A$22)+SUMIFS(F$20:F$29,$O$20:$O$29,Lister!$D$29,$A$20:$A$29,Takstblad!$A$23)+SUMIFS(F$20:F$29,$O$20:$O$29,Lister!$D$30,$A$20:$A$29,Takstblad!$A$18)+SUMIFS(F$20:F$29,$O$20:$O$29,Lister!$D$30,$A$20:$A$29,Takstblad!$A$19)+SUMIFS(F$20:F$29,$O$20:$O$29,Lister!$D$30,$A$20:$A$29,Takstblad!$A$20)+SUMIFS(F$20:F$29,$O$20:$O$29,Lister!$D$30,$A$20:$A$29,Takstblad!$A$21)+SUMIFS(F$20:F$29,$O$20:$O$29,Lister!$D$30,$A$20:$A$29,Takstblad!$A$22)+SUMIFS(F$20:F$29,$O$20:$O$29,Lister!$D$30,$A$20:$A$29,Takstblad!$A$23))/12)*0.5+((+SUMIF($O$43:$O$52,Lister!$D$29,F$43:F$52)-SUMIFS(F$43:F$52,$O$43:$O$52,Lister!$D$29,$A$43:$A$52,Takstblad!$A$34)-SUMIFS(F$43:F$52,$O$43:$O$52,Lister!$D$29,$A$43:$A$52,Takstblad!$A$36)-SUMIFS(F$43:F$52,$O$43:$O$52,Lister!$D$29,$A$43:$A$52,Takstblad!$A$43)-SUMIFS(F$43:F$52,$O$43:$O$52,Lister!$D$29,$A$43:$A$52,Takstblad!$A$44)+SUMIF($O$43:$O$52,Lister!$D$30,F$43:F$52)-SUMIFS(F$43:F$52,$O$43:$O$52,Lister!$D$30,$A$43:$A$52,Takstblad!$A$34)-SUMIFS(F$43:F$52,$O$43:$O$52,Lister!$D$30,$A$43:$A$52,Takstblad!$A$36)-SUMIFS(F$43:F$52,$O$43:$O$52,Lister!$D$30,$A$43:$A$52,Takstblad!$A$43)-SUMIFS(F$43:F$52,$O$43:$O$52,Lister!$D$30,$A$43:$A$52,Takstblad!$A$44))*0.3),0)</f>
        <v>0</v>
      </c>
      <c r="G55" s="160">
        <f>IF($C$10="Yes",((SUMIFS(G$20:G$29,$O$20:$O$29,Lister!$D$29,$A$20:$A$29,Takstblad!$A$18)+SUMIFS(G$20:G$29,$O$20:$O$29,Lister!$D$29,$A$20:$A$29,Takstblad!$A$19)+SUMIFS(G$20:G$29,$O$20:$O$29,Lister!$D$29,$A$20:$A$29,Takstblad!$A$20)+SUMIFS(G$20:G$29,$O$20:$O$29,Lister!$D$29,$A$20:$A$29,Takstblad!$A$21)+SUMIFS(G$20:G$29,$O$20:$O$29,Lister!$D$29,$A$20:$A$29,Takstblad!$A$22)+SUMIFS(G$20:G$29,$O$20:$O$29,Lister!$D$29,$A$20:$A$29,Takstblad!$A$23)+SUMIFS(G$20:G$29,$O$20:$O$29,Lister!$D$30,$A$20:$A$29,Takstblad!$A$18)+SUMIFS(G$20:G$29,$O$20:$O$29,Lister!$D$30,$A$20:$A$29,Takstblad!$A$19)+SUMIFS(G$20:G$29,$O$20:$O$29,Lister!$D$30,$A$20:$A$29,Takstblad!$A$20)+SUMIFS(G$20:G$29,$O$20:$O$29,Lister!$D$30,$A$20:$A$29,Takstblad!$A$21)+SUMIFS(G$20:G$29,$O$20:$O$29,Lister!$D$30,$A$20:$A$29,Takstblad!$A$22)+SUMIFS(G$20:G$29,$O$20:$O$29,Lister!$D$30,$A$20:$A$29,Takstblad!$A$23))/12)*0.5+((+SUMIF($O$43:$O$52,Lister!$D$29,G$43:G$52)-SUMIFS(G$43:G$52,$O$43:$O$52,Lister!$D$29,$A$43:$A$52,Takstblad!$A$34)-SUMIFS(G$43:G$52,$O$43:$O$52,Lister!$D$29,$A$43:$A$52,Takstblad!$A$36)-SUMIFS(G$43:G$52,$O$43:$O$52,Lister!$D$29,$A$43:$A$52,Takstblad!$A$43)-SUMIFS(G$43:G$52,$O$43:$O$52,Lister!$D$29,$A$43:$A$52,Takstblad!$A$44)+SUMIF($O$43:$O$52,Lister!$D$30,G$43:G$52)-SUMIFS(G$43:G$52,$O$43:$O$52,Lister!$D$30,$A$43:$A$52,Takstblad!$A$34)-SUMIFS(G$43:G$52,$O$43:$O$52,Lister!$D$30,$A$43:$A$52,Takstblad!$A$36)-SUMIFS(G$43:G$52,$O$43:$O$52,Lister!$D$30,$A$43:$A$52,Takstblad!$A$43)-SUMIFS(G$43:G$52,$O$43:$O$52,Lister!$D$30,$A$43:$A$52,Takstblad!$A$44))*0.3),0)</f>
        <v>0</v>
      </c>
      <c r="H55" s="160">
        <f>IF($C$10="Yes",((SUMIFS(H$20:H$29,$O$20:$O$29,Lister!$D$29,$A$20:$A$29,Takstblad!$A$18)+SUMIFS(H$20:H$29,$O$20:$O$29,Lister!$D$29,$A$20:$A$29,Takstblad!$A$19)+SUMIFS(H$20:H$29,$O$20:$O$29,Lister!$D$29,$A$20:$A$29,Takstblad!$A$20)+SUMIFS(H$20:H$29,$O$20:$O$29,Lister!$D$29,$A$20:$A$29,Takstblad!$A$21)+SUMIFS(H$20:H$29,$O$20:$O$29,Lister!$D$29,$A$20:$A$29,Takstblad!$A$22)+SUMIFS(H$20:H$29,$O$20:$O$29,Lister!$D$29,$A$20:$A$29,Takstblad!$A$23)+SUMIFS(H$20:H$29,$O$20:$O$29,Lister!$D$30,$A$20:$A$29,Takstblad!$A$18)+SUMIFS(H$20:H$29,$O$20:$O$29,Lister!$D$30,$A$20:$A$29,Takstblad!$A$19)+SUMIFS(H$20:H$29,$O$20:$O$29,Lister!$D$30,$A$20:$A$29,Takstblad!$A$20)+SUMIFS(H$20:H$29,$O$20:$O$29,Lister!$D$30,$A$20:$A$29,Takstblad!$A$21)+SUMIFS(H$20:H$29,$O$20:$O$29,Lister!$D$30,$A$20:$A$29,Takstblad!$A$22)+SUMIFS(H$20:H$29,$O$20:$O$29,Lister!$D$30,$A$20:$A$29,Takstblad!$A$23))/12)*0.5+((+SUMIF($O$43:$O$52,Lister!$D$29,H$43:H$52)-SUMIFS(H$43:H$52,$O$43:$O$52,Lister!$D$29,$A$43:$A$52,Takstblad!$A$34)-SUMIFS(H$43:H$52,$O$43:$O$52,Lister!$D$29,$A$43:$A$52,Takstblad!$A$36)-SUMIFS(H$43:H$52,$O$43:$O$52,Lister!$D$29,$A$43:$A$52,Takstblad!$A$43)-SUMIFS(H$43:H$52,$O$43:$O$52,Lister!$D$29,$A$43:$A$52,Takstblad!$A$44)+SUMIF($O$43:$O$52,Lister!$D$30,H$43:H$52)-SUMIFS(H$43:H$52,$O$43:$O$52,Lister!$D$30,$A$43:$A$52,Takstblad!$A$34)-SUMIFS(H$43:H$52,$O$43:$O$52,Lister!$D$30,$A$43:$A$52,Takstblad!$A$36)-SUMIFS(H$43:H$52,$O$43:$O$52,Lister!$D$30,$A$43:$A$52,Takstblad!$A$43)-SUMIFS(H$43:H$52,$O$43:$O$52,Lister!$D$30,$A$43:$A$52,Takstblad!$A$44))*0.3),0)</f>
        <v>0</v>
      </c>
      <c r="I55" s="161">
        <f>IF($C$10="Yes",((SUMIFS(I$20:I$29,$O$20:$O$29,Lister!$D$29,$A$20:$A$29,Takstblad!$A$18)+SUMIFS(I$20:I$29,$O$20:$O$29,Lister!$D$29,$A$20:$A$29,Takstblad!$A$19)+SUMIFS(I$20:I$29,$O$20:$O$29,Lister!$D$29,$A$20:$A$29,Takstblad!$A$20)+SUMIFS(I$20:I$29,$O$20:$O$29,Lister!$D$29,$A$20:$A$29,Takstblad!$A$21)+SUMIFS(I$20:I$29,$O$20:$O$29,Lister!$D$29,$A$20:$A$29,Takstblad!$A$22)+SUMIFS(I$20:I$29,$O$20:$O$29,Lister!$D$29,$A$20:$A$29,Takstblad!$A$23)+SUMIFS(I$20:I$29,$O$20:$O$29,Lister!$D$30,$A$20:$A$29,Takstblad!$A$18)+SUMIFS(I$20:I$29,$O$20:$O$29,Lister!$D$30,$A$20:$A$29,Takstblad!$A$19)+SUMIFS(I$20:I$29,$O$20:$O$29,Lister!$D$30,$A$20:$A$29,Takstblad!$A$20)+SUMIFS(I$20:I$29,$O$20:$O$29,Lister!$D$30,$A$20:$A$29,Takstblad!$A$21)+SUMIFS(I$20:I$29,$O$20:$O$29,Lister!$D$30,$A$20:$A$29,Takstblad!$A$22)+SUMIFS(I$20:I$29,$O$20:$O$29,Lister!$D$30,$A$20:$A$29,Takstblad!$A$23))/12)*0.5+((+SUMIF($O$43:$O$52,Lister!$D$29,I$43:I$52)-SUMIFS(I$43:I$52,$O$43:$O$52,Lister!$D$29,$A$43:$A$52,Takstblad!$A$34)-SUMIFS(I$43:I$52,$O$43:$O$52,Lister!$D$29,$A$43:$A$52,Takstblad!$A$36)-SUMIFS(I$43:I$52,$O$43:$O$52,Lister!$D$29,$A$43:$A$52,Takstblad!$A$43)-SUMIFS(I$43:I$52,$O$43:$O$52,Lister!$D$29,$A$43:$A$52,Takstblad!$A$44)+SUMIF($O$43:$O$52,Lister!$D$30,I$43:I$52)-SUMIFS(I$43:I$52,$O$43:$O$52,Lister!$D$30,$A$43:$A$52,Takstblad!$A$34)-SUMIFS(I$43:I$52,$O$43:$O$52,Lister!$D$30,$A$43:$A$52,Takstblad!$A$36)-SUMIFS(I$43:I$52,$O$43:$O$52,Lister!$D$30,$A$43:$A$52,Takstblad!$A$43)-SUMIFS(I$43:I$52,$O$43:$O$52,Lister!$D$30,$A$43:$A$52,Takstblad!$A$44))*0.3),0)</f>
        <v>0</v>
      </c>
      <c r="J55" s="161">
        <f>IF($C$10="Yes",((SUMIFS(J$20:J$29,$O$20:$O$29,Lister!$D$29,$A$20:$A$29,Takstblad!$A$18)+SUMIFS(J$20:J$29,$O$20:$O$29,Lister!$D$29,$A$20:$A$29,Takstblad!$A$19)+SUMIFS(J$20:J$29,$O$20:$O$29,Lister!$D$29,$A$20:$A$29,Takstblad!$A$20)+SUMIFS(J$20:J$29,$O$20:$O$29,Lister!$D$29,$A$20:$A$29,Takstblad!$A$21)+SUMIFS(J$20:J$29,$O$20:$O$29,Lister!$D$29,$A$20:$A$29,Takstblad!$A$22)+SUMIFS(J$20:J$29,$O$20:$O$29,Lister!$D$29,$A$20:$A$29,Takstblad!$A$23)+SUMIFS(J$20:J$29,$O$20:$O$29,Lister!$D$30,$A$20:$A$29,Takstblad!$A$18)+SUMIFS(J$20:J$29,$O$20:$O$29,Lister!$D$30,$A$20:$A$29,Takstblad!$A$19)+SUMIFS(J$20:J$29,$O$20:$O$29,Lister!$D$30,$A$20:$A$29,Takstblad!$A$20)+SUMIFS(J$20:J$29,$O$20:$O$29,Lister!$D$30,$A$20:$A$29,Takstblad!$A$21)+SUMIFS(J$20:J$29,$O$20:$O$29,Lister!$D$30,$A$20:$A$29,Takstblad!$A$22)+SUMIFS(J$20:J$29,$O$20:$O$29,Lister!$D$30,$A$20:$A$29,Takstblad!$A$23))/12)*0.5+((+SUMIF($O$43:$O$52,Lister!$D$29,J$43:J$52)-SUMIFS(J$43:J$52,$O$43:$O$52,Lister!$D$29,$A$43:$A$52,Takstblad!$A$34)-SUMIFS(J$43:J$52,$O$43:$O$52,Lister!$D$29,$A$43:$A$52,Takstblad!$A$36)-SUMIFS(J$43:J$52,$O$43:$O$52,Lister!$D$29,$A$43:$A$52,Takstblad!$A$43)-SUMIFS(J$43:J$52,$O$43:$O$52,Lister!$D$29,$A$43:$A$52,Takstblad!$A$44)+SUMIF($O$43:$O$52,Lister!$D$30,J$43:J$52)-SUMIFS(J$43:J$52,$O$43:$O$52,Lister!$D$30,$A$43:$A$52,Takstblad!$A$34)-SUMIFS(J$43:J$52,$O$43:$O$52,Lister!$D$30,$A$43:$A$52,Takstblad!$A$36)-SUMIFS(J$43:J$52,$O$43:$O$52,Lister!$D$30,$A$43:$A$52,Takstblad!$A$43)-SUMIFS(J$43:J$52,$O$43:$O$52,Lister!$D$30,$A$43:$A$52,Takstblad!$A$44))*0.3),0)</f>
        <v>0</v>
      </c>
      <c r="K55" s="161">
        <f>IF($C$10="Yes",((SUMIFS(K$20:K$29,$O$20:$O$29,Lister!$D$29,$A$20:$A$29,Takstblad!$A$18)+SUMIFS(K$20:K$29,$O$20:$O$29,Lister!$D$29,$A$20:$A$29,Takstblad!$A$19)+SUMIFS(K$20:K$29,$O$20:$O$29,Lister!$D$29,$A$20:$A$29,Takstblad!$A$20)+SUMIFS(K$20:K$29,$O$20:$O$29,Lister!$D$29,$A$20:$A$29,Takstblad!$A$21)+SUMIFS(K$20:K$29,$O$20:$O$29,Lister!$D$29,$A$20:$A$29,Takstblad!$A$22)+SUMIFS(K$20:K$29,$O$20:$O$29,Lister!$D$29,$A$20:$A$29,Takstblad!$A$23)+SUMIFS(K$20:K$29,$O$20:$O$29,Lister!$D$30,$A$20:$A$29,Takstblad!$A$18)+SUMIFS(K$20:K$29,$O$20:$O$29,Lister!$D$30,$A$20:$A$29,Takstblad!$A$19)+SUMIFS(K$20:K$29,$O$20:$O$29,Lister!$D$30,$A$20:$A$29,Takstblad!$A$20)+SUMIFS(K$20:K$29,$O$20:$O$29,Lister!$D$30,$A$20:$A$29,Takstblad!$A$21)+SUMIFS(K$20:K$29,$O$20:$O$29,Lister!$D$30,$A$20:$A$29,Takstblad!$A$22)+SUMIFS(K$20:K$29,$O$20:$O$29,Lister!$D$30,$A$20:$A$29,Takstblad!$A$23))/12)*0.5+((+SUMIF($O$43:$O$52,Lister!$D$29,K$43:K$52)-SUMIFS(K$43:K$52,$O$43:$O$52,Lister!$D$29,$A$43:$A$52,Takstblad!$A$34)-SUMIFS(K$43:K$52,$O$43:$O$52,Lister!$D$29,$A$43:$A$52,Takstblad!$A$36)-SUMIFS(K$43:K$52,$O$43:$O$52,Lister!$D$29,$A$43:$A$52,Takstblad!$A$43)-SUMIFS(K$43:K$52,$O$43:$O$52,Lister!$D$29,$A$43:$A$52,Takstblad!$A$44)+SUMIF($O$43:$O$52,Lister!$D$30,K$43:K$52)-SUMIFS(K$43:K$52,$O$43:$O$52,Lister!$D$30,$A$43:$A$52,Takstblad!$A$34)-SUMIFS(K$43:K$52,$O$43:$O$52,Lister!$D$30,$A$43:$A$52,Takstblad!$A$36)-SUMIFS(K$43:K$52,$O$43:$O$52,Lister!$D$30,$A$43:$A$52,Takstblad!$A$43)-SUMIFS(K$43:K$52,$O$43:$O$52,Lister!$D$30,$A$43:$A$52,Takstblad!$A$44))*0.3),0)</f>
        <v>0</v>
      </c>
      <c r="L55" s="161">
        <f>IF($C$10="Yes",((SUMIFS(L$20:L$29,$O$20:$O$29,Lister!$D$29,$A$20:$A$29,Takstblad!$A$18)+SUMIFS(L$20:L$29,$O$20:$O$29,Lister!$D$29,$A$20:$A$29,Takstblad!$A$19)+SUMIFS(L$20:L$29,$O$20:$O$29,Lister!$D$29,$A$20:$A$29,Takstblad!$A$20)+SUMIFS(L$20:L$29,$O$20:$O$29,Lister!$D$29,$A$20:$A$29,Takstblad!$A$21)+SUMIFS(L$20:L$29,$O$20:$O$29,Lister!$D$29,$A$20:$A$29,Takstblad!$A$22)+SUMIFS(L$20:L$29,$O$20:$O$29,Lister!$D$29,$A$20:$A$29,Takstblad!$A$23)+SUMIFS(L$20:L$29,$O$20:$O$29,Lister!$D$30,$A$20:$A$29,Takstblad!$A$18)+SUMIFS(L$20:L$29,$O$20:$O$29,Lister!$D$30,$A$20:$A$29,Takstblad!$A$19)+SUMIFS(L$20:L$29,$O$20:$O$29,Lister!$D$30,$A$20:$A$29,Takstblad!$A$20)+SUMIFS(L$20:L$29,$O$20:$O$29,Lister!$D$30,$A$20:$A$29,Takstblad!$A$21)+SUMIFS(L$20:L$29,$O$20:$O$29,Lister!$D$30,$A$20:$A$29,Takstblad!$A$22)+SUMIFS(L$20:L$29,$O$20:$O$29,Lister!$D$30,$A$20:$A$29,Takstblad!$A$23))/12)*0.5+((+SUMIF($O$43:$O$52,Lister!$D$29,L$43:L$52)-SUMIFS(L$43:L$52,$O$43:$O$52,Lister!$D$29,$A$43:$A$52,Takstblad!$A$34)-SUMIFS(L$43:L$52,$O$43:$O$52,Lister!$D$29,$A$43:$A$52,Takstblad!$A$36)-SUMIFS(L$43:L$52,$O$43:$O$52,Lister!$D$29,$A$43:$A$52,Takstblad!$A$43)-SUMIFS(L$43:L$52,$O$43:$O$52,Lister!$D$29,$A$43:$A$52,Takstblad!$A$44)+SUMIF($O$43:$O$52,Lister!$D$30,L$43:L$52)-SUMIFS(L$43:L$52,$O$43:$O$52,Lister!$D$30,$A$43:$A$52,Takstblad!$A$34)-SUMIFS(L$43:L$52,$O$43:$O$52,Lister!$D$30,$A$43:$A$52,Takstblad!$A$36)-SUMIFS(L$43:L$52,$O$43:$O$52,Lister!$D$30,$A$43:$A$52,Takstblad!$A$43)-SUMIFS(L$43:L$52,$O$43:$O$52,Lister!$D$30,$A$43:$A$52,Takstblad!$A$44))*0.3),0)</f>
        <v>0</v>
      </c>
      <c r="M55" s="65">
        <f t="shared" si="70"/>
        <v>0</v>
      </c>
      <c r="N55" s="162"/>
      <c r="O55" s="159" t="s">
        <v>152</v>
      </c>
      <c r="P55" s="11"/>
      <c r="Q55" s="27"/>
      <c r="R55" s="202">
        <f t="shared" si="55"/>
        <v>0</v>
      </c>
      <c r="S55" s="25">
        <f>+C55*Takstblad!C39</f>
        <v>0</v>
      </c>
      <c r="T55" s="25">
        <f>+D55*Takstblad!D39</f>
        <v>0</v>
      </c>
      <c r="U55" s="25">
        <f>+E55*Takstblad!E39</f>
        <v>0</v>
      </c>
      <c r="V55" s="25">
        <f>+F55*Takstblad!F39</f>
        <v>0</v>
      </c>
      <c r="W55" s="25">
        <f>+G55*Takstblad!G39</f>
        <v>0</v>
      </c>
      <c r="X55" s="25">
        <f>+H55*Takstblad!H39</f>
        <v>0</v>
      </c>
      <c r="Y55" s="25">
        <f>+I55*Takstblad!I39</f>
        <v>0</v>
      </c>
      <c r="Z55" s="25">
        <f>+J55*Takstblad!J39</f>
        <v>0</v>
      </c>
      <c r="AA55" s="25">
        <f>+K55*Takstblad!K39</f>
        <v>0</v>
      </c>
      <c r="AB55" s="25">
        <f>+L55*Takstblad!L39</f>
        <v>0</v>
      </c>
      <c r="AC55" s="25">
        <f t="shared" si="71"/>
        <v>0</v>
      </c>
      <c r="AE55" s="25">
        <f>+M55*($C$7/12)</f>
        <v>0</v>
      </c>
      <c r="AF55" s="25">
        <f>IFERROR(AC55/AE55,0)</f>
        <v>0</v>
      </c>
      <c r="AH55" s="25">
        <f>+C55*($C$7/12)</f>
        <v>0</v>
      </c>
      <c r="AI55" s="25">
        <f>IFERROR(S55/AH55,0)</f>
        <v>0</v>
      </c>
      <c r="AK55" s="25">
        <f>+D55*($C$7/12)</f>
        <v>0</v>
      </c>
      <c r="AL55" s="25">
        <f>IFERROR(T55/AK55,0)</f>
        <v>0</v>
      </c>
      <c r="AN55" s="25">
        <f>+E55*($C$7/12)</f>
        <v>0</v>
      </c>
      <c r="AO55" s="25">
        <f>IFERROR(U55/AN55,0)</f>
        <v>0</v>
      </c>
      <c r="AQ55" s="25">
        <f>+F55*($C$7/12)</f>
        <v>0</v>
      </c>
      <c r="AR55" s="25">
        <f>IFERROR(V55/AQ55,0)</f>
        <v>0</v>
      </c>
      <c r="AT55" s="25">
        <f>+G55*($C$7/12)</f>
        <v>0</v>
      </c>
      <c r="AU55" s="25">
        <f>IFERROR(W55/AT55,0)</f>
        <v>0</v>
      </c>
      <c r="AW55" s="25">
        <f>+H55*($C$7/12)</f>
        <v>0</v>
      </c>
      <c r="AX55" s="25">
        <f>IFERROR(X55/AW55,0)</f>
        <v>0</v>
      </c>
      <c r="AZ55" s="25">
        <f>+I55*($C$7/12)</f>
        <v>0</v>
      </c>
      <c r="BA55" s="25">
        <f>IFERROR(Y55/AZ55,0)</f>
        <v>0</v>
      </c>
      <c r="BC55" s="25">
        <f>+J55*($C$7/12)</f>
        <v>0</v>
      </c>
      <c r="BD55" s="25">
        <f>IFERROR(Z55/BC55,0)</f>
        <v>0</v>
      </c>
      <c r="BF55" s="25">
        <f t="shared" si="76"/>
        <v>0</v>
      </c>
      <c r="BG55" s="25">
        <f t="shared" si="77"/>
        <v>0</v>
      </c>
      <c r="BI55" s="25">
        <f t="shared" si="78"/>
        <v>0</v>
      </c>
      <c r="BJ55" s="25">
        <f t="shared" si="79"/>
        <v>0</v>
      </c>
    </row>
    <row r="56" spans="1:66" ht="15.65" customHeight="1" thickBot="1">
      <c r="A56" s="4" t="s">
        <v>71</v>
      </c>
      <c r="B56" s="4"/>
      <c r="C56" s="12">
        <f t="shared" ref="C56:J56" si="80">SUM(C43:C55)</f>
        <v>0</v>
      </c>
      <c r="D56" s="12">
        <f t="shared" si="80"/>
        <v>0</v>
      </c>
      <c r="E56" s="12">
        <f t="shared" si="80"/>
        <v>0</v>
      </c>
      <c r="F56" s="12">
        <f t="shared" si="80"/>
        <v>0</v>
      </c>
      <c r="G56" s="12">
        <f t="shared" si="80"/>
        <v>0</v>
      </c>
      <c r="H56" s="12">
        <f t="shared" si="80"/>
        <v>0</v>
      </c>
      <c r="I56" s="12">
        <f t="shared" si="80"/>
        <v>0</v>
      </c>
      <c r="J56" s="12">
        <f t="shared" si="80"/>
        <v>0</v>
      </c>
      <c r="K56" s="12">
        <f>SUM(K43:K55)</f>
        <v>0</v>
      </c>
      <c r="L56" s="12">
        <f>SUM(L43:L55)</f>
        <v>0</v>
      </c>
      <c r="M56" s="12">
        <f t="shared" si="70"/>
        <v>0</v>
      </c>
      <c r="N56" s="12"/>
      <c r="O56" s="48"/>
      <c r="P56" s="48"/>
      <c r="Q56" s="23" t="s">
        <v>75</v>
      </c>
      <c r="R56" s="46">
        <f t="shared" si="55"/>
        <v>0</v>
      </c>
      <c r="S56" s="22">
        <f t="shared" ref="S56:Z56" si="81">SUM(S43:S55)</f>
        <v>0</v>
      </c>
      <c r="T56" s="22">
        <f t="shared" si="81"/>
        <v>0</v>
      </c>
      <c r="U56" s="22">
        <f t="shared" si="81"/>
        <v>0</v>
      </c>
      <c r="V56" s="22">
        <f t="shared" si="81"/>
        <v>0</v>
      </c>
      <c r="W56" s="22">
        <f t="shared" si="81"/>
        <v>0</v>
      </c>
      <c r="X56" s="22">
        <f t="shared" si="81"/>
        <v>0</v>
      </c>
      <c r="Y56" s="51">
        <f t="shared" si="81"/>
        <v>0</v>
      </c>
      <c r="Z56" s="51">
        <f t="shared" si="81"/>
        <v>0</v>
      </c>
      <c r="AA56" s="51">
        <f>SUM(AA43:AA55)</f>
        <v>0</v>
      </c>
      <c r="AB56" s="51">
        <f>SUM(AB43:AB55)</f>
        <v>0</v>
      </c>
      <c r="AC56" s="46">
        <f t="shared" si="71"/>
        <v>0</v>
      </c>
      <c r="AE56" s="22">
        <f>SUM(AE43:AE55)</f>
        <v>0</v>
      </c>
      <c r="AF56" s="13">
        <f>IFERROR(AC56/AE56,0)</f>
        <v>0</v>
      </c>
      <c r="AH56" s="22">
        <f>SUM(AH43:AH55)</f>
        <v>0</v>
      </c>
      <c r="AI56" s="13">
        <f t="shared" si="59"/>
        <v>0</v>
      </c>
      <c r="AK56" s="22">
        <f>SUM(AK43:AK55)</f>
        <v>0</v>
      </c>
      <c r="AL56" s="13">
        <f t="shared" si="61"/>
        <v>0</v>
      </c>
      <c r="AN56" s="22">
        <f>SUM(AN43:AN55)</f>
        <v>0</v>
      </c>
      <c r="AO56" s="13">
        <f t="shared" si="63"/>
        <v>0</v>
      </c>
      <c r="AQ56" s="22">
        <f>SUM(AQ43:AQ55)</f>
        <v>0</v>
      </c>
      <c r="AR56" s="13">
        <f t="shared" si="65"/>
        <v>0</v>
      </c>
      <c r="AT56" s="22">
        <f>SUM(AT43:AT55)</f>
        <v>0</v>
      </c>
      <c r="AU56" s="13">
        <f t="shared" si="67"/>
        <v>0</v>
      </c>
      <c r="AW56" s="22">
        <f>SUM(AW43:AW55)</f>
        <v>0</v>
      </c>
      <c r="AX56" s="13">
        <f t="shared" si="69"/>
        <v>0</v>
      </c>
      <c r="AZ56" s="22">
        <f>SUM(AZ43:AZ55)</f>
        <v>0</v>
      </c>
      <c r="BA56" s="13">
        <f t="shared" si="73"/>
        <v>0</v>
      </c>
      <c r="BC56" s="22">
        <f>SUM(BC43:BC55)</f>
        <v>0</v>
      </c>
      <c r="BD56" s="13">
        <f t="shared" si="75"/>
        <v>0</v>
      </c>
      <c r="BF56" s="22">
        <f>SUM(BF43:BF55)</f>
        <v>0</v>
      </c>
      <c r="BG56" s="13">
        <f>IFERROR(AC56/BF56,0)</f>
        <v>0</v>
      </c>
      <c r="BI56" s="22">
        <f>SUM(BI43:BI55)</f>
        <v>0</v>
      </c>
      <c r="BJ56" s="13">
        <f>IFERROR(AF56/BI56,0)</f>
        <v>0</v>
      </c>
      <c r="BK56" s="70"/>
      <c r="BL56" s="70"/>
      <c r="BM56" s="70"/>
    </row>
    <row r="57" spans="1:66" ht="15.65" customHeight="1">
      <c r="A57" s="9"/>
      <c r="B57" s="48"/>
      <c r="C57" s="48"/>
      <c r="D57" s="48"/>
      <c r="E57" s="48"/>
      <c r="F57" s="48"/>
      <c r="G57" s="48"/>
      <c r="H57" s="48"/>
      <c r="I57" s="48"/>
      <c r="J57" s="48"/>
      <c r="K57" s="48"/>
      <c r="L57" s="48"/>
      <c r="M57" s="48"/>
      <c r="N57" s="48"/>
      <c r="O57" s="48"/>
      <c r="P57" s="48"/>
      <c r="Q57" s="23"/>
      <c r="R57" s="5"/>
      <c r="S57" s="4"/>
      <c r="T57" s="4"/>
      <c r="U57" s="4"/>
      <c r="V57" s="4"/>
      <c r="W57" s="4"/>
      <c r="X57" s="4"/>
      <c r="Y57" s="4"/>
      <c r="Z57" s="4"/>
      <c r="AA57" s="4"/>
      <c r="AB57" s="4"/>
      <c r="AC57" s="5"/>
      <c r="AD57" s="70"/>
      <c r="AE57" s="76"/>
      <c r="AF57" s="76"/>
      <c r="AG57" s="70"/>
      <c r="AH57" s="77"/>
      <c r="AI57" s="70"/>
      <c r="AJ57" s="70"/>
      <c r="AK57" s="70"/>
      <c r="AL57" s="70"/>
      <c r="AM57" s="70"/>
      <c r="AN57" s="70"/>
      <c r="AO57" s="70"/>
      <c r="AP57" s="70"/>
      <c r="AQ57" s="70"/>
      <c r="AR57" s="70"/>
      <c r="AS57" s="70"/>
      <c r="AT57" s="70"/>
      <c r="AU57" s="70"/>
      <c r="AV57" s="70"/>
      <c r="AW57" s="70"/>
      <c r="AX57" s="70"/>
      <c r="AY57" s="70"/>
      <c r="AZ57" s="70"/>
      <c r="BA57" s="70"/>
      <c r="BB57" s="70"/>
      <c r="BC57" s="70"/>
      <c r="BD57" s="70"/>
      <c r="BE57" s="70"/>
      <c r="BF57" s="70"/>
      <c r="BG57" s="70"/>
      <c r="BH57" s="70"/>
      <c r="BI57" s="70"/>
      <c r="BJ57" s="70"/>
      <c r="BK57" s="70"/>
      <c r="BL57" s="70"/>
      <c r="BM57" s="70"/>
    </row>
    <row r="58" spans="1:66" ht="15.65" hidden="1" customHeight="1">
      <c r="A58" s="9" t="s">
        <v>185</v>
      </c>
      <c r="B58" s="48"/>
      <c r="C58" s="100">
        <f>+SUMIF($O$20:$O$29,Lister!$D$30,C20:C29)-SUMIFS(C20:C29,$O$20:$O$29,Lister!$D$30,$B$20:$B$29,Lister!$B$20)-+SUMIFS(C43:C52,$O$43:$O$52,Lister!$D$30,$B$43:$B$52,Lister!$A$24)+SUMIF($O$20:$O$29,Lister!$D$29,C20:C29)-SUMIFS(C20:C29,$O$20:$O$29,Lister!$D$29,$B$20:$B$29,Lister!$B$20)+SUMIFS(C43:C52,$O$43:$O$52,Lister!$D$29,$B$43:$B$52,Lister!$A$24)</f>
        <v>0</v>
      </c>
      <c r="D58" s="100">
        <f>+SUMIF($O$20:$O$29,Lister!$D$30,D20:D29)-SUMIFS(D20:D29,$O$20:$O$29,Lister!$D$30,$B$20:$B$29,Lister!$B$20)-+SUMIFS(D43:D52,$O$43:$O$52,Lister!$D$30,$B$43:$B$52,Lister!$A$24)+SUMIF($O$20:$O$29,Lister!$D$29,D20:D29)-SUMIFS(D20:D29,$O$20:$O$29,Lister!$D$29,$B$20:$B$29,Lister!$B$20)+SUMIFS(D43:D52,$O$43:$O$52,Lister!$D$29,$B$43:$B$52,Lister!$A$24)</f>
        <v>0</v>
      </c>
      <c r="E58" s="100">
        <f>+SUMIF($O$20:$O$39,Lister!$D$30,E20:E39)-SUMIFS(E20:E39,$O$20:$O$39,Lister!$D$30,$B$20:$B$39,Lister!$B$20)+SUMIFS(E43:E52,$O$43:$O$52,Lister!$D$30,$B$43:$B$52,Lister!$A$24)+SUMIF($O$20:$O$39,Lister!$D$29,E20:E39)-SUMIFS(E20:E39,$O$20:$O$39,Lister!$D$29,$B$20:$B$39,Lister!$B$20)+SUMIFS(E43:E52,$O$43:$O$52,Lister!$D$29,$B$43:$B$52,Lister!$A$24)</f>
        <v>0</v>
      </c>
      <c r="F58" s="100">
        <f>+SUMIF($O$20:$O$29,Lister!$D$30,F20:F29)-SUMIFS(F20:F29,$O$20:$O$29,Lister!$D$30,$B$20:$B$29,Lister!$B$20)-+SUMIFS(F43:F52,$O$43:$O$52,Lister!$D$30,$B$43:$B$52,Lister!$A$24)+SUMIF($O$20:$O$29,Lister!$D$29,F20:F29)-SUMIFS(F20:F29,$O$20:$O$29,Lister!$D$29,$B$20:$B$29,Lister!$B$20)+SUMIFS(F43:F52,$O$43:$O$52,Lister!$D$29,$B$43:$B$52,Lister!$A$24)</f>
        <v>0</v>
      </c>
      <c r="G58" s="100">
        <f>+SUMIF($O$20:$O$39,Lister!$D$30,G20:G39)-SUMIFS(G20:G39,$O$20:$O$39,Lister!$D$30,$B$20:$B$39,Lister!$B$20)+SUMIFS(G43:G52,$O$43:$O$52,Lister!$D$30,$B$43:$B$52,Lister!$A$24)+SUMIF($O$20:$O$39,Lister!$D$29,G20:G39)-SUMIFS(G20:G39,$O$20:$O$39,Lister!$D$29,$B$20:$B$39,Lister!$B$20)+SUMIFS(G43:G52,$O$43:$O$52,Lister!$D$29,$B$43:$B$52,Lister!$A$24)</f>
        <v>0</v>
      </c>
      <c r="H58" s="100">
        <f>+SUMIF($O$20:$O$39,Lister!$D$30,H20:H39)-SUMIFS(H20:H39,$O$20:$O$39,Lister!$D$30,$B$20:$B$39,Lister!$B$20)+SUMIFS(H43:H52,$O$43:$O$52,Lister!$D$30,$B$43:$B$52,Lister!$A$24)+SUMIF($O$20:$O$39,Lister!$D$29,H20:H39)-SUMIFS(H20:H39,$O$20:$O$39,Lister!$D$29,$B$20:$B$39,Lister!$B$20)+SUMIFS(H43:H52,$O$43:$O$52,Lister!$D$29,$B$43:$B$52,Lister!$A$24)</f>
        <v>0</v>
      </c>
      <c r="I58" s="100">
        <f>+SUMIF($O$20:$O$29,Lister!$D$30,I20:I29)-SUMIFS(I20:I29,$O$20:$O$29,Lister!$D$30,$B$20:$B$29,Lister!$B$20)-+SUMIFS(I43:I52,$O$43:$O$52,Lister!$D$30,$B$43:$B$52,Lister!$A$24)+SUMIF($O$20:$O$29,Lister!$D$29,I20:I29)-SUMIFS(I20:I29,$O$20:$O$29,Lister!$D$29,$B$20:$B$29,Lister!$B$20)+SUMIFS(I43:I52,$O$43:$O$52,Lister!$D$29,$B$43:$B$52,Lister!$A$24)</f>
        <v>0</v>
      </c>
      <c r="J58" s="100">
        <f>+SUMIF($O$20:$O$29,Lister!$D$30,J20:J29)-SUMIFS(J20:J29,$O$20:$O$29,Lister!$D$30,$B$20:$B$29,Lister!$B$20)-+SUMIFS(J43:J52,$O$43:$O$52,Lister!$D$30,$B$43:$B$52,Lister!$A$24)+SUMIF($O$20:$O$29,Lister!$D$29,J20:J29)-SUMIFS(J20:J29,$O$20:$O$29,Lister!$D$29,$B$20:$B$29,Lister!$B$20)+SUMIFS(J43:J52,$O$43:$O$52,Lister!$D$29,$B$43:$B$52,Lister!$A$24)</f>
        <v>0</v>
      </c>
      <c r="K58" s="100">
        <f>+SUMIF($O$20:$O$29,Lister!$D$30,K20:K29)-SUMIFS(K20:K29,$O$20:$O$29,Lister!$D$30,$B$20:$B$29,Lister!$B$20)-+SUMIFS(K43:K52,$O$43:$O$52,Lister!$D$30,$B$43:$B$52,Lister!$A$24)+SUMIF($O$20:$O$29,Lister!$D$29,K20:K29)-SUMIFS(K20:K29,$O$20:$O$29,Lister!$D$29,$B$20:$B$29,Lister!$B$20)+SUMIFS(K43:K52,$O$43:$O$52,Lister!$D$29,$B$43:$B$52,Lister!$A$24)</f>
        <v>0</v>
      </c>
      <c r="L58" s="100">
        <f>+SUMIF($O$20:$O$29,Lister!$D$30,L20:L29)-SUMIFS(L20:L29,$O$20:$O$29,Lister!$D$30,$B$20:$B$29,Lister!$B$20)-+SUMIFS(L43:L52,$O$43:$O$52,Lister!$D$30,$B$43:$B$52,Lister!$A$24)+SUMIF($O$20:$O$29,Lister!$D$29,L20:L29)-SUMIFS(L20:L29,$O$20:$O$29,Lister!$D$29,$B$20:$B$29,Lister!$B$20)+SUMIFS(L43:L52,$O$43:$O$52,Lister!$D$29,$B$43:$B$52,Lister!$A$24)</f>
        <v>0</v>
      </c>
      <c r="M58" s="48"/>
      <c r="N58" s="48"/>
      <c r="O58" s="48"/>
      <c r="P58" s="48"/>
      <c r="Q58" s="23"/>
      <c r="R58" s="5"/>
      <c r="S58" s="4"/>
      <c r="T58" s="4"/>
      <c r="U58" s="4"/>
      <c r="V58" s="4"/>
      <c r="W58" s="4"/>
      <c r="X58" s="4"/>
      <c r="Y58" s="4"/>
      <c r="Z58" s="4"/>
      <c r="AA58" s="4"/>
      <c r="AB58" s="4"/>
      <c r="AC58" s="5"/>
      <c r="AD58" s="70"/>
      <c r="AE58" s="76"/>
      <c r="AF58" s="76"/>
      <c r="AG58" s="70"/>
      <c r="AH58" s="77"/>
      <c r="AI58" s="70"/>
      <c r="AJ58" s="70"/>
      <c r="AK58" s="70"/>
      <c r="AL58" s="70"/>
      <c r="AM58" s="70"/>
      <c r="AN58" s="70"/>
      <c r="AO58" s="70"/>
      <c r="AP58" s="70"/>
      <c r="AQ58" s="70"/>
      <c r="AR58" s="70"/>
      <c r="AS58" s="70"/>
      <c r="AT58" s="70"/>
      <c r="AU58" s="70"/>
      <c r="AV58" s="70"/>
      <c r="AW58" s="70"/>
      <c r="AX58" s="70"/>
      <c r="AY58" s="70"/>
      <c r="AZ58" s="70"/>
      <c r="BA58" s="70"/>
      <c r="BB58" s="70"/>
      <c r="BC58" s="70"/>
      <c r="BD58" s="70"/>
      <c r="BE58" s="70"/>
      <c r="BF58" s="70"/>
      <c r="BG58" s="70"/>
      <c r="BH58" s="70"/>
      <c r="BI58" s="70"/>
      <c r="BJ58" s="70"/>
      <c r="BK58" s="70"/>
      <c r="BL58" s="70"/>
      <c r="BM58" s="70"/>
    </row>
    <row r="59" spans="1:66" ht="15.65" hidden="1" customHeight="1">
      <c r="A59" s="9" t="s">
        <v>186</v>
      </c>
      <c r="B59" s="48"/>
      <c r="C59" s="100">
        <f>+SUMIF($O$20:$O$39,Lister!$D$31,C20:C39)-SUMIFS(C20:C39,$O$20:$O$39,Lister!$D$31,$B$20:$B$39,Lister!$B$20)+SUMIFS(C43:C52,$O$43:$O$52,Lister!$D$31,$B$43:$B$52,Lister!$A$24)</f>
        <v>0</v>
      </c>
      <c r="D59" s="100">
        <f>+SUMIF($O$20:$O$39,Lister!$D$31,D20:D39)-SUMIFS(D20:D39,$O$20:$O$39,Lister!$D$31,$B$20:$B$39,Lister!$B$20)+SUMIFS(D43:D52,$O$43:$O$52,Lister!$D$31,$B$43:$B$52,Lister!$A$24)</f>
        <v>0</v>
      </c>
      <c r="E59" s="100">
        <f>+SUMIF($O$20:$O$39,Lister!$D$31,E20:E39)-SUMIFS(E20:E39,$O$20:$O$39,Lister!$D$31,$B$20:$B$39,Lister!$B$20)+SUMIFS(E43:E52,$O$43:$O$52,Lister!$D$31,$B$43:$B$52,Lister!$A$24)</f>
        <v>0</v>
      </c>
      <c r="F59" s="100">
        <f>+SUMIF($O$20:$O$39,Lister!$D$31,F20:F39)-SUMIFS(F20:F39,$O$20:$O$39,Lister!$D$31,$B$20:$B$39,Lister!$B$20)+SUMIFS(F43:F52,$O$43:$O$52,Lister!$D$31,$B$43:$B$52,Lister!$A$24)</f>
        <v>0</v>
      </c>
      <c r="G59" s="100">
        <f>+SUMIF($O$20:$O$39,Lister!$D$31,G20:G39)-SUMIFS(G20:G39,$O$20:$O$39,Lister!$D$31,$B$20:$B$39,Lister!$B$20)+SUMIFS(G43:G52,$O$43:$O$52,Lister!$D$31,$B$43:$B$52,Lister!$A$24)</f>
        <v>0</v>
      </c>
      <c r="H59" s="100">
        <f>+SUMIF($O$20:$O$39,Lister!$D$31,H20:H39)-SUMIFS(H20:H39,$O$20:$O$39,Lister!$D$31,$B$20:$B$39,Lister!$B$20)+SUMIFS(H43:H52,$O$43:$O$52,Lister!$D$31,$B$43:$B$52,Lister!$A$24)</f>
        <v>0</v>
      </c>
      <c r="I59" s="100">
        <f>+SUMIF($O$20:$O$39,Lister!$D$31,I20:I39)-SUMIFS(I20:I39,$O$20:$O$39,Lister!$D$31,$B$20:$B$39,Lister!$B$20)+SUMIFS(I43:I52,$O$43:$O$52,Lister!$D$31,$B$43:$B$52,Lister!$A$24)</f>
        <v>0</v>
      </c>
      <c r="J59" s="100">
        <f>+SUMIF($O$20:$O$39,Lister!$D$31,J20:J39)-SUMIFS(J20:J39,$O$20:$O$39,Lister!$D$31,$B$20:$B$39,Lister!$B$20)+SUMIFS(J43:J52,$O$43:$O$52,Lister!$D$31,$B$43:$B$52,Lister!$A$24)</f>
        <v>0</v>
      </c>
      <c r="K59" s="100">
        <f>+SUMIF($O$20:$O$39,Lister!$D$31,K20:K39)-SUMIFS(K20:K39,$O$20:$O$39,Lister!$D$31,$B$20:$B$39,Lister!$B$20)+SUMIFS(K43:K52,$O$43:$O$52,Lister!$D$31,$B$43:$B$52,Lister!$A$24)</f>
        <v>0</v>
      </c>
      <c r="L59" s="100">
        <f>+SUMIF($O$20:$O$39,Lister!$D$31,L20:L39)-SUMIFS(L20:L39,$O$20:$O$39,Lister!$D$31,$B$20:$B$39,Lister!$B$20)+SUMIFS(L43:L52,$O$43:$O$52,Lister!$D$31,$B$43:$B$52,Lister!$A$24)</f>
        <v>0</v>
      </c>
      <c r="M59" s="48"/>
      <c r="N59" s="48"/>
      <c r="O59" s="48"/>
      <c r="P59" s="48"/>
      <c r="Q59" s="23"/>
      <c r="R59" s="5"/>
      <c r="S59" s="4"/>
      <c r="T59" s="4"/>
      <c r="U59" s="4"/>
      <c r="V59" s="4"/>
      <c r="W59" s="4"/>
      <c r="X59" s="4"/>
      <c r="Y59" s="4"/>
      <c r="Z59" s="4"/>
      <c r="AA59" s="4"/>
      <c r="AB59" s="4"/>
      <c r="AC59" s="5"/>
      <c r="AD59" s="70"/>
      <c r="AE59" s="76"/>
      <c r="AF59" s="76"/>
      <c r="AG59" s="70"/>
      <c r="AH59" s="77"/>
      <c r="AI59" s="70"/>
      <c r="AJ59" s="70"/>
      <c r="AK59" s="70"/>
      <c r="AL59" s="70"/>
      <c r="AM59" s="70"/>
      <c r="AN59" s="70"/>
      <c r="AO59" s="70"/>
      <c r="AP59" s="70"/>
      <c r="AQ59" s="70"/>
      <c r="AR59" s="70"/>
      <c r="AS59" s="70"/>
      <c r="AT59" s="70"/>
      <c r="AU59" s="70"/>
      <c r="AV59" s="70"/>
      <c r="AW59" s="70"/>
      <c r="AX59" s="70"/>
      <c r="AY59" s="70"/>
      <c r="AZ59" s="70"/>
      <c r="BA59" s="70"/>
      <c r="BB59" s="70"/>
      <c r="BC59" s="70"/>
      <c r="BD59" s="70"/>
      <c r="BE59" s="70"/>
      <c r="BF59" s="70"/>
      <c r="BG59" s="70"/>
      <c r="BH59" s="70"/>
      <c r="BI59" s="70"/>
      <c r="BJ59" s="70"/>
      <c r="BK59" s="70"/>
      <c r="BL59" s="70"/>
      <c r="BM59" s="70"/>
    </row>
    <row r="60" spans="1:66" ht="15" customHeight="1">
      <c r="A60" s="9"/>
      <c r="B60" s="48"/>
      <c r="C60" s="48"/>
      <c r="D60" s="48"/>
      <c r="E60" s="48"/>
      <c r="F60" s="48"/>
      <c r="G60" s="48"/>
      <c r="H60" s="48"/>
      <c r="I60" s="48"/>
      <c r="J60" s="48"/>
      <c r="K60" s="48"/>
      <c r="L60" s="48"/>
      <c r="M60" s="48"/>
      <c r="N60" s="48"/>
      <c r="O60" s="48"/>
      <c r="P60" s="48"/>
      <c r="Q60" s="70"/>
      <c r="R60" s="70"/>
      <c r="S60" s="77"/>
      <c r="T60" s="70"/>
      <c r="U60" s="70"/>
      <c r="V60" s="70"/>
      <c r="W60" s="70"/>
      <c r="X60" s="70"/>
      <c r="Y60" s="70"/>
      <c r="Z60" s="70"/>
      <c r="AA60" s="70"/>
      <c r="AB60" s="70"/>
      <c r="AC60" s="70"/>
      <c r="AD60" s="70"/>
      <c r="AE60" s="70"/>
      <c r="AF60" s="70"/>
      <c r="AG60" s="70"/>
      <c r="AH60" s="70"/>
      <c r="AI60" s="70"/>
      <c r="AJ60" s="70"/>
      <c r="AK60" s="70"/>
      <c r="AL60" s="70"/>
      <c r="AM60" s="70"/>
      <c r="AN60" s="70"/>
      <c r="AO60" s="70"/>
      <c r="AP60" s="70"/>
      <c r="AQ60" s="70"/>
      <c r="AR60" s="70"/>
      <c r="AS60" s="70"/>
      <c r="AT60" s="70"/>
      <c r="AU60" s="70"/>
      <c r="AV60" s="70"/>
      <c r="AW60" s="70"/>
      <c r="AX60" s="70"/>
      <c r="AY60" s="70"/>
      <c r="AZ60" s="70"/>
    </row>
    <row r="61" spans="1:66" ht="15" customHeight="1" thickBot="1">
      <c r="A61" s="4" t="s">
        <v>91</v>
      </c>
      <c r="B61" s="8"/>
      <c r="C61" s="8">
        <f t="shared" ref="C61:L61" si="82">+C19</f>
        <v>2026</v>
      </c>
      <c r="D61" s="8">
        <f t="shared" si="82"/>
        <v>2027</v>
      </c>
      <c r="E61" s="8">
        <f t="shared" si="82"/>
        <v>2028</v>
      </c>
      <c r="F61" s="8">
        <f t="shared" si="82"/>
        <v>2029</v>
      </c>
      <c r="G61" s="8">
        <f t="shared" si="82"/>
        <v>2030</v>
      </c>
      <c r="H61" s="8">
        <f t="shared" si="82"/>
        <v>2031</v>
      </c>
      <c r="I61" s="8">
        <f t="shared" si="82"/>
        <v>2032</v>
      </c>
      <c r="J61" s="8">
        <f t="shared" si="82"/>
        <v>2033</v>
      </c>
      <c r="K61" s="8">
        <f t="shared" si="82"/>
        <v>2034</v>
      </c>
      <c r="L61" s="8">
        <f t="shared" si="82"/>
        <v>2035</v>
      </c>
      <c r="M61" s="8" t="s">
        <v>34</v>
      </c>
      <c r="N61" s="8"/>
      <c r="O61" s="8"/>
      <c r="P61" s="8"/>
      <c r="Q61" s="70"/>
      <c r="R61" s="70"/>
      <c r="S61" s="70"/>
      <c r="T61" s="70"/>
      <c r="U61" s="70"/>
      <c r="V61" s="70"/>
      <c r="W61" s="70"/>
      <c r="X61" s="70"/>
      <c r="Y61" s="70"/>
      <c r="Z61" s="70"/>
      <c r="AA61" s="70"/>
      <c r="AB61" s="70"/>
      <c r="AC61" s="70"/>
      <c r="AD61" s="70"/>
      <c r="AE61" s="70"/>
      <c r="AF61" s="70"/>
      <c r="AG61" s="70"/>
      <c r="AH61" s="70"/>
      <c r="AI61" s="70"/>
      <c r="AJ61" s="70"/>
      <c r="AK61" s="70"/>
      <c r="AL61" s="70"/>
      <c r="AM61" s="70"/>
      <c r="AN61" s="70"/>
      <c r="AO61" s="70"/>
      <c r="AP61" s="70"/>
      <c r="AQ61" s="70"/>
      <c r="AR61" s="70"/>
      <c r="AS61" s="70"/>
      <c r="AT61" s="70"/>
      <c r="AU61" s="70"/>
      <c r="AV61" s="70"/>
      <c r="AW61" s="70"/>
      <c r="AX61" s="70"/>
      <c r="AY61" s="70"/>
      <c r="AZ61" s="70"/>
    </row>
    <row r="62" spans="1:66" s="9" customFormat="1" ht="15" customHeight="1">
      <c r="A62" s="219" t="s">
        <v>114</v>
      </c>
      <c r="B62" s="220"/>
      <c r="C62" s="288"/>
      <c r="D62" s="288"/>
      <c r="E62" s="288"/>
      <c r="F62" s="288"/>
      <c r="G62" s="288"/>
      <c r="H62" s="288"/>
      <c r="I62" s="288"/>
      <c r="J62" s="288"/>
      <c r="K62" s="288"/>
      <c r="L62" s="288"/>
      <c r="M62" s="21">
        <f>SUM(C62:L62)</f>
        <v>0</v>
      </c>
      <c r="N62" s="285"/>
      <c r="O62" s="285" t="s">
        <v>113</v>
      </c>
      <c r="P62" s="7"/>
      <c r="Q62" s="120" t="s">
        <v>101</v>
      </c>
      <c r="R62" s="123"/>
      <c r="S62" s="121"/>
      <c r="T62" s="135"/>
      <c r="U62" s="135"/>
      <c r="V62" s="135"/>
      <c r="W62" s="135"/>
      <c r="X62" s="304"/>
      <c r="Y62" s="135"/>
      <c r="Z62" s="135"/>
      <c r="AA62" s="135"/>
      <c r="AB62" s="135"/>
      <c r="AC62" s="123"/>
      <c r="AF62" s="70"/>
      <c r="AG62" s="70"/>
      <c r="AH62" s="70"/>
      <c r="AI62" s="70"/>
      <c r="AJ62" s="70"/>
      <c r="AK62" s="70"/>
      <c r="AL62" s="70"/>
      <c r="AM62" s="70"/>
      <c r="AN62" s="70"/>
      <c r="AO62" s="70"/>
      <c r="AP62" s="70"/>
      <c r="AQ62" s="70"/>
      <c r="AR62" s="71"/>
      <c r="AS62" s="71"/>
      <c r="AT62" s="71"/>
      <c r="AU62" s="71"/>
      <c r="AV62" s="71"/>
      <c r="AW62" s="71"/>
      <c r="AX62" s="71"/>
      <c r="AY62" s="71"/>
      <c r="AZ62" s="71"/>
    </row>
    <row r="63" spans="1:66" ht="15" customHeight="1">
      <c r="A63" s="201" t="s">
        <v>114</v>
      </c>
      <c r="B63" s="16"/>
      <c r="C63" s="288"/>
      <c r="D63" s="288"/>
      <c r="E63" s="288"/>
      <c r="F63" s="288"/>
      <c r="G63" s="288"/>
      <c r="H63" s="288"/>
      <c r="I63" s="288"/>
      <c r="J63" s="288"/>
      <c r="K63" s="288"/>
      <c r="L63" s="288"/>
      <c r="M63" s="21">
        <f t="shared" ref="M63:M75" si="83">SUM(C63:L63)</f>
        <v>0</v>
      </c>
      <c r="N63" s="285"/>
      <c r="O63" s="285" t="s">
        <v>113</v>
      </c>
      <c r="Q63" s="107" t="s">
        <v>22</v>
      </c>
      <c r="R63" s="124" t="s">
        <v>34</v>
      </c>
      <c r="S63" s="45">
        <f>+S19</f>
        <v>2026</v>
      </c>
      <c r="T63" s="45">
        <f>+S63+1</f>
        <v>2027</v>
      </c>
      <c r="U63" s="8">
        <f t="shared" ref="U63:Z63" si="84">+T63+1</f>
        <v>2028</v>
      </c>
      <c r="V63" s="8">
        <f t="shared" si="84"/>
        <v>2029</v>
      </c>
      <c r="W63" s="8">
        <f t="shared" si="84"/>
        <v>2030</v>
      </c>
      <c r="X63" s="124">
        <f t="shared" si="84"/>
        <v>2031</v>
      </c>
      <c r="Y63" s="8">
        <f t="shared" si="84"/>
        <v>2032</v>
      </c>
      <c r="Z63" s="8">
        <f t="shared" si="84"/>
        <v>2033</v>
      </c>
      <c r="AA63" s="8">
        <f>+Z63+1</f>
        <v>2034</v>
      </c>
      <c r="AB63" s="8">
        <f>+AA63+1</f>
        <v>2035</v>
      </c>
      <c r="AC63" s="124" t="s">
        <v>34</v>
      </c>
      <c r="AF63" s="71"/>
      <c r="AG63" s="71"/>
      <c r="AH63" s="71"/>
      <c r="AI63" s="71"/>
      <c r="AJ63" s="71"/>
      <c r="AK63" s="71"/>
      <c r="AL63" s="71"/>
      <c r="AM63" s="71"/>
      <c r="AN63" s="71"/>
      <c r="AO63" s="71"/>
      <c r="AP63" s="71"/>
      <c r="AQ63" s="71"/>
      <c r="AR63" s="70"/>
      <c r="AS63" s="70"/>
      <c r="AT63" s="70"/>
      <c r="AU63" s="70"/>
      <c r="AV63" s="70"/>
      <c r="AW63" s="70"/>
      <c r="AX63" s="70"/>
      <c r="AY63" s="70"/>
      <c r="AZ63" s="70"/>
    </row>
    <row r="64" spans="1:66" ht="15" customHeight="1">
      <c r="A64" s="219" t="s">
        <v>114</v>
      </c>
      <c r="B64" s="220"/>
      <c r="C64" s="288"/>
      <c r="D64" s="288"/>
      <c r="E64" s="288"/>
      <c r="F64" s="288"/>
      <c r="G64" s="288"/>
      <c r="H64" s="288"/>
      <c r="I64" s="288"/>
      <c r="J64" s="288"/>
      <c r="K64" s="288"/>
      <c r="L64" s="288"/>
      <c r="M64" s="21">
        <f t="shared" si="83"/>
        <v>0</v>
      </c>
      <c r="N64" s="285"/>
      <c r="O64" s="285" t="s">
        <v>113</v>
      </c>
      <c r="P64" s="119"/>
      <c r="Q64" s="147" t="s">
        <v>74</v>
      </c>
      <c r="R64" s="318">
        <f t="shared" ref="R64:R73" si="85">+AC64</f>
        <v>0</v>
      </c>
      <c r="S64" s="316">
        <f>+S40</f>
        <v>0</v>
      </c>
      <c r="T64" s="316">
        <f t="shared" ref="T64:Z64" si="86">+T40</f>
        <v>0</v>
      </c>
      <c r="U64" s="316">
        <f t="shared" si="86"/>
        <v>0</v>
      </c>
      <c r="V64" s="316">
        <f t="shared" si="86"/>
        <v>0</v>
      </c>
      <c r="W64" s="316">
        <f t="shared" si="86"/>
        <v>0</v>
      </c>
      <c r="X64" s="317">
        <f t="shared" si="86"/>
        <v>0</v>
      </c>
      <c r="Y64" s="294">
        <f t="shared" si="86"/>
        <v>0</v>
      </c>
      <c r="Z64" s="28">
        <f t="shared" si="86"/>
        <v>0</v>
      </c>
      <c r="AA64" s="28">
        <f>+AA40</f>
        <v>0</v>
      </c>
      <c r="AB64" s="28">
        <f>+AB40</f>
        <v>0</v>
      </c>
      <c r="AC64" s="125">
        <f>SUM(S64:AB64)</f>
        <v>0</v>
      </c>
      <c r="AF64" s="70"/>
      <c r="AG64" s="70"/>
      <c r="AH64" s="70"/>
      <c r="AI64" s="70"/>
      <c r="AJ64" s="70"/>
      <c r="AK64" s="70"/>
      <c r="AL64" s="70"/>
      <c r="AM64" s="70"/>
      <c r="AN64" s="70"/>
      <c r="AO64" s="70"/>
      <c r="AP64" s="70"/>
      <c r="AQ64" s="70"/>
      <c r="AR64" s="70"/>
      <c r="AS64" s="70"/>
      <c r="AT64" s="70"/>
      <c r="AU64" s="70"/>
      <c r="AV64" s="70"/>
      <c r="AW64" s="70"/>
      <c r="AX64" s="70"/>
      <c r="AY64" s="70"/>
      <c r="AZ64" s="70"/>
    </row>
    <row r="65" spans="1:52" ht="15" customHeight="1">
      <c r="A65" s="201" t="s">
        <v>114</v>
      </c>
      <c r="B65" s="16"/>
      <c r="C65" s="288"/>
      <c r="D65" s="288"/>
      <c r="E65" s="288"/>
      <c r="F65" s="288"/>
      <c r="G65" s="288"/>
      <c r="H65" s="288"/>
      <c r="I65" s="288"/>
      <c r="J65" s="288"/>
      <c r="K65" s="288"/>
      <c r="L65" s="288"/>
      <c r="M65" s="21">
        <f t="shared" si="83"/>
        <v>0</v>
      </c>
      <c r="N65" s="285"/>
      <c r="O65" s="285" t="s">
        <v>113</v>
      </c>
      <c r="P65" s="119"/>
      <c r="Q65" s="148" t="s">
        <v>75</v>
      </c>
      <c r="R65" s="309">
        <f>+AC65</f>
        <v>0</v>
      </c>
      <c r="S65" s="310">
        <f t="shared" ref="S65:Z65" si="87">+S56</f>
        <v>0</v>
      </c>
      <c r="T65" s="310">
        <f t="shared" si="87"/>
        <v>0</v>
      </c>
      <c r="U65" s="310">
        <f t="shared" si="87"/>
        <v>0</v>
      </c>
      <c r="V65" s="310">
        <f t="shared" si="87"/>
        <v>0</v>
      </c>
      <c r="W65" s="310">
        <f t="shared" si="87"/>
        <v>0</v>
      </c>
      <c r="X65" s="311">
        <f t="shared" si="87"/>
        <v>0</v>
      </c>
      <c r="Y65" s="295">
        <f t="shared" si="87"/>
        <v>0</v>
      </c>
      <c r="Z65" s="113">
        <f t="shared" si="87"/>
        <v>0</v>
      </c>
      <c r="AA65" s="113">
        <f>+AA56</f>
        <v>0</v>
      </c>
      <c r="AB65" s="113">
        <f>+AB56</f>
        <v>0</v>
      </c>
      <c r="AC65" s="141">
        <f t="shared" ref="AC65:AC73" si="88">SUM(S65:AB65)</f>
        <v>0</v>
      </c>
      <c r="AF65" s="70"/>
      <c r="AG65" s="70"/>
      <c r="AH65" s="70"/>
      <c r="AI65" s="70"/>
      <c r="AJ65" s="70"/>
      <c r="AK65" s="70"/>
      <c r="AL65" s="70"/>
      <c r="AM65" s="70"/>
      <c r="AN65" s="70"/>
      <c r="AO65" s="70"/>
      <c r="AP65" s="70"/>
      <c r="AQ65" s="70"/>
      <c r="AR65" s="70"/>
      <c r="AS65" s="70"/>
      <c r="AT65" s="70"/>
      <c r="AU65" s="70"/>
      <c r="AV65" s="70"/>
      <c r="AW65" s="70"/>
      <c r="AX65" s="70"/>
      <c r="AY65" s="70"/>
      <c r="AZ65" s="70"/>
    </row>
    <row r="66" spans="1:52" ht="15" customHeight="1">
      <c r="A66" s="219" t="s">
        <v>114</v>
      </c>
      <c r="B66" s="220"/>
      <c r="C66" s="288"/>
      <c r="D66" s="288"/>
      <c r="E66" s="288"/>
      <c r="F66" s="288"/>
      <c r="G66" s="288"/>
      <c r="H66" s="288"/>
      <c r="I66" s="288"/>
      <c r="J66" s="288"/>
      <c r="K66" s="288"/>
      <c r="L66" s="288"/>
      <c r="M66" s="21">
        <f t="shared" si="83"/>
        <v>0</v>
      </c>
      <c r="N66" s="285"/>
      <c r="O66" s="285" t="s">
        <v>113</v>
      </c>
      <c r="P66" s="119"/>
      <c r="Q66" s="149" t="s">
        <v>76</v>
      </c>
      <c r="R66" s="312">
        <f t="shared" si="85"/>
        <v>0</v>
      </c>
      <c r="S66" s="313">
        <f>+SUM(S64:S65)</f>
        <v>0</v>
      </c>
      <c r="T66" s="313">
        <f t="shared" ref="T66:Z66" si="89">+SUM(T64:T65)</f>
        <v>0</v>
      </c>
      <c r="U66" s="313">
        <f t="shared" si="89"/>
        <v>0</v>
      </c>
      <c r="V66" s="313">
        <f t="shared" si="89"/>
        <v>0</v>
      </c>
      <c r="W66" s="313">
        <f t="shared" si="89"/>
        <v>0</v>
      </c>
      <c r="X66" s="314">
        <f t="shared" si="89"/>
        <v>0</v>
      </c>
      <c r="Y66" s="296">
        <f t="shared" si="89"/>
        <v>0</v>
      </c>
      <c r="Z66" s="137">
        <f t="shared" si="89"/>
        <v>0</v>
      </c>
      <c r="AA66" s="137">
        <f>+SUM(AA64:AA65)</f>
        <v>0</v>
      </c>
      <c r="AB66" s="137">
        <f>+SUM(AB64:AB65)</f>
        <v>0</v>
      </c>
      <c r="AC66" s="138">
        <f t="shared" si="88"/>
        <v>0</v>
      </c>
      <c r="AF66" s="70"/>
      <c r="AG66" s="70"/>
      <c r="AH66" s="70"/>
      <c r="AI66" s="70"/>
      <c r="AJ66" s="70"/>
      <c r="AK66" s="70"/>
      <c r="AL66" s="70"/>
      <c r="AM66" s="70"/>
      <c r="AN66" s="70"/>
      <c r="AO66" s="70"/>
      <c r="AP66" s="70"/>
      <c r="AQ66" s="70"/>
      <c r="AR66" s="70"/>
      <c r="AS66" s="70"/>
      <c r="AT66" s="70"/>
      <c r="AU66" s="70"/>
      <c r="AV66" s="70"/>
      <c r="AW66" s="70"/>
      <c r="AX66" s="70"/>
      <c r="AY66" s="70"/>
      <c r="AZ66" s="70"/>
    </row>
    <row r="67" spans="1:52" ht="15" customHeight="1">
      <c r="A67" s="201" t="s">
        <v>114</v>
      </c>
      <c r="B67" s="16"/>
      <c r="C67" s="288"/>
      <c r="D67" s="288"/>
      <c r="E67" s="288"/>
      <c r="F67" s="288"/>
      <c r="G67" s="288"/>
      <c r="H67" s="288"/>
      <c r="I67" s="288"/>
      <c r="J67" s="288"/>
      <c r="K67" s="288"/>
      <c r="L67" s="288"/>
      <c r="M67" s="21">
        <f t="shared" si="83"/>
        <v>0</v>
      </c>
      <c r="N67" s="285"/>
      <c r="O67" s="285" t="s">
        <v>113</v>
      </c>
      <c r="P67" s="119"/>
      <c r="Q67" s="149" t="s">
        <v>77</v>
      </c>
      <c r="R67" s="312">
        <f t="shared" si="85"/>
        <v>0</v>
      </c>
      <c r="S67" s="313">
        <f>+C75</f>
        <v>0</v>
      </c>
      <c r="T67" s="313">
        <f t="shared" ref="T67:AB67" si="90">+D75</f>
        <v>0</v>
      </c>
      <c r="U67" s="313">
        <f t="shared" si="90"/>
        <v>0</v>
      </c>
      <c r="V67" s="313">
        <f t="shared" si="90"/>
        <v>0</v>
      </c>
      <c r="W67" s="313">
        <f t="shared" si="90"/>
        <v>0</v>
      </c>
      <c r="X67" s="314">
        <f t="shared" si="90"/>
        <v>0</v>
      </c>
      <c r="Y67" s="296">
        <f t="shared" si="90"/>
        <v>0</v>
      </c>
      <c r="Z67" s="137">
        <f t="shared" si="90"/>
        <v>0</v>
      </c>
      <c r="AA67" s="137">
        <f t="shared" si="90"/>
        <v>0</v>
      </c>
      <c r="AB67" s="137">
        <f t="shared" si="90"/>
        <v>0</v>
      </c>
      <c r="AC67" s="138">
        <f t="shared" si="88"/>
        <v>0</v>
      </c>
      <c r="AF67" s="70"/>
      <c r="AG67" s="70"/>
      <c r="AH67" s="70"/>
      <c r="AI67" s="70"/>
      <c r="AJ67" s="70"/>
      <c r="AK67" s="70"/>
      <c r="AL67" s="70"/>
      <c r="AM67" s="70"/>
      <c r="AN67" s="70"/>
      <c r="AO67" s="70"/>
      <c r="AP67" s="70"/>
      <c r="AQ67" s="70"/>
      <c r="AR67" s="70"/>
      <c r="AS67" s="70"/>
      <c r="AT67" s="70"/>
      <c r="AU67" s="70"/>
      <c r="AV67" s="70"/>
      <c r="AW67" s="70"/>
      <c r="AX67" s="70"/>
      <c r="AY67" s="70"/>
      <c r="AZ67" s="70"/>
    </row>
    <row r="68" spans="1:52" ht="15" customHeight="1">
      <c r="A68" s="219" t="s">
        <v>114</v>
      </c>
      <c r="B68" s="220"/>
      <c r="C68" s="288"/>
      <c r="D68" s="288"/>
      <c r="E68" s="288"/>
      <c r="F68" s="288"/>
      <c r="G68" s="288"/>
      <c r="H68" s="288"/>
      <c r="I68" s="288"/>
      <c r="J68" s="288"/>
      <c r="K68" s="288"/>
      <c r="L68" s="288"/>
      <c r="M68" s="21">
        <f t="shared" si="83"/>
        <v>0</v>
      </c>
      <c r="N68" s="285"/>
      <c r="O68" s="285" t="s">
        <v>113</v>
      </c>
      <c r="P68" s="119"/>
      <c r="Q68" s="149" t="s">
        <v>78</v>
      </c>
      <c r="R68" s="312">
        <f t="shared" si="85"/>
        <v>0</v>
      </c>
      <c r="S68" s="313">
        <f>+S67+S66</f>
        <v>0</v>
      </c>
      <c r="T68" s="313">
        <f t="shared" ref="T68:Z68" si="91">+T67+T66</f>
        <v>0</v>
      </c>
      <c r="U68" s="313">
        <f t="shared" si="91"/>
        <v>0</v>
      </c>
      <c r="V68" s="313">
        <f t="shared" si="91"/>
        <v>0</v>
      </c>
      <c r="W68" s="313">
        <f t="shared" si="91"/>
        <v>0</v>
      </c>
      <c r="X68" s="314">
        <f t="shared" si="91"/>
        <v>0</v>
      </c>
      <c r="Y68" s="296">
        <f t="shared" si="91"/>
        <v>0</v>
      </c>
      <c r="Z68" s="137">
        <f t="shared" si="91"/>
        <v>0</v>
      </c>
      <c r="AA68" s="137">
        <f>+AA67+AA66</f>
        <v>0</v>
      </c>
      <c r="AB68" s="137">
        <f>+AB67+AB66</f>
        <v>0</v>
      </c>
      <c r="AC68" s="138">
        <f t="shared" si="88"/>
        <v>0</v>
      </c>
      <c r="AF68" s="70"/>
      <c r="AG68" s="70"/>
      <c r="AH68" s="70"/>
      <c r="AI68" s="70"/>
      <c r="AJ68" s="70"/>
      <c r="AK68" s="70"/>
      <c r="AL68" s="70"/>
      <c r="AM68" s="70"/>
      <c r="AN68" s="70"/>
      <c r="AO68" s="70"/>
      <c r="AP68" s="70"/>
      <c r="AQ68" s="70"/>
      <c r="AR68" s="70"/>
      <c r="AS68" s="70"/>
      <c r="AT68" s="70"/>
      <c r="AU68" s="70"/>
      <c r="AV68" s="70"/>
      <c r="AW68" s="70"/>
      <c r="AX68" s="70"/>
      <c r="AY68" s="70"/>
      <c r="AZ68" s="70"/>
    </row>
    <row r="69" spans="1:52" ht="15" customHeight="1">
      <c r="A69" s="201" t="s">
        <v>114</v>
      </c>
      <c r="B69" s="16"/>
      <c r="C69" s="288"/>
      <c r="D69" s="288"/>
      <c r="E69" s="288"/>
      <c r="F69" s="288"/>
      <c r="G69" s="288"/>
      <c r="H69" s="288"/>
      <c r="I69" s="288"/>
      <c r="J69" s="288"/>
      <c r="K69" s="288"/>
      <c r="L69" s="288"/>
      <c r="M69" s="21">
        <f t="shared" si="83"/>
        <v>0</v>
      </c>
      <c r="N69" s="285"/>
      <c r="O69" s="285" t="s">
        <v>113</v>
      </c>
      <c r="P69" s="119"/>
      <c r="Q69" s="150" t="s">
        <v>0</v>
      </c>
      <c r="R69" s="312">
        <f t="shared" si="85"/>
        <v>0</v>
      </c>
      <c r="S69" s="153">
        <f>IF($C$12=2,S66*$C$6/100,
IF($G$6=Lister!$D$4,S66*$C$6/100,
IF($G$6=Lister!$D$5,S68*$C$6/100,
IF($G$6=Lister!$D$6,(S68-SUMIF($A$62:$A$72,Lister!$M$10,C62:C72))*$C$6/100,
IF($G$6=Lister!$D$7,(S68-SUMIF($A$62:$A$72,Lister!$M$10,C62:C72)-SUMIF($A$62:$A$72,Lister!$M$7,C62:C72))*$C$6/100,
IF($G$6=Lister!$D$8,(S68+S70)*$C$6/100,
IF($G$6=Lister!$D$9,S67*$C$6/100,0)))))))</f>
        <v>0</v>
      </c>
      <c r="T69" s="153">
        <f>IF($C$12=2,T66*$C$6/100,
IF($G$6=Lister!$D$4,T66*$C$6/100,
IF($G$6=Lister!$D$5,T68*$C$6/100,
IF($G$6=Lister!$D$6,(T68-SUMIF($A$62:$A$72,Lister!$M$10,D62:D72))*$C$6/100,
IF($G$6=Lister!$D$7,(T68-SUMIF($A$62:$A$72,Lister!$M$10,D62:D72)-SUMIF($A$62:$A$72,Lister!$M$7,D62:D72))*$C$6/100,
IF($G$6=Lister!$D$8,(T68+T70)*$C$6/100,
IF($G$6=Lister!$D$9,T67*$C$6/100,0)))))))</f>
        <v>0</v>
      </c>
      <c r="U69" s="153">
        <f>IF($C$12=2,U66*$C$6/100,
IF($G$6=Lister!$D$4,U66*$C$6/100,
IF($G$6=Lister!$D$5,U68*$C$6/100,
IF($G$6=Lister!$D$6,(U68-SUMIF($A$62:$A$72,Lister!$M$10,E62:E72))*$C$6/100,
IF($G$6=Lister!$D$7,(U68-SUMIF($A$62:$A$72,Lister!$M$10,E62:E72)-SUMIF($A$62:$A$72,Lister!$M$7,E62:E72))*$C$6/100,
IF($G$6=Lister!$D$8,(U68+U70)*$C$6/100,
IF($G$6=Lister!$D$9,U67*$C$6/100,0)))))))</f>
        <v>0</v>
      </c>
      <c r="V69" s="153">
        <f>IF($C$12=2,V66*$C$6/100,
IF($G$6=Lister!$D$4,V66*$C$6/100,
IF($G$6=Lister!$D$5,V68*$C$6/100,
IF($G$6=Lister!$D$6,(V68-SUMIF($A$62:$A$72,Lister!$M$10,F62:F72))*$C$6/100,
IF($G$6=Lister!$D$7,(V68-SUMIF($A$62:$A$72,Lister!$M$10,F62:F72)-SUMIF($A$62:$A$72,Lister!$M$7,F62:F72))*$C$6/100,
IF($G$6=Lister!$D$8,(V68+V70)*$C$6/100,
IF($G$6=Lister!$D$9,V67*$C$6/100,0)))))))</f>
        <v>0</v>
      </c>
      <c r="W69" s="153">
        <f>IF($C$12=2,W66*$C$6/100,
IF($G$6=Lister!$D$4,W66*$C$6/100,
IF($G$6=Lister!$D$5,W68*$C$6/100,
IF($G$6=Lister!$D$6,(W68-SUMIF($A$62:$A$72,Lister!$M$10,G62:G72))*$C$6/100,
IF($G$6=Lister!$D$7,(W68-SUMIF($A$62:$A$72,Lister!$M$10,G62:G72)-SUMIF($A$62:$A$72,Lister!$M$7,G62:G72))*$C$6/100,
IF($G$6=Lister!$D$8,(W68+W70)*$C$6/100,
IF($G$6=Lister!$D$9,W67*$C$6/100,0)))))))</f>
        <v>0</v>
      </c>
      <c r="X69" s="300">
        <f>IF($C$12=2,X66*$C$6/100,
IF($G$6=Lister!$D$4,X66*$C$6/100,
IF($G$6=Lister!$D$5,X68*$C$6/100,
IF($G$6=Lister!$D$6,(X68-SUMIF($A$62:$A$72,Lister!$M$10,H62:H72))*$C$6/100,
IF($G$6=Lister!$D$7,(X68-SUMIF($A$62:$A$72,Lister!$M$10,H62:H72)-SUMIF($A$62:$A$72,Lister!$M$7,H62:H72))*$C$6/100,
IF($G$6=Lister!$D$8,(X68+X70)*$C$6/100,
IF($G$6=Lister!$D$9,X67*$C$6/100,0)))))))</f>
        <v>0</v>
      </c>
      <c r="Y69" s="297">
        <f>IF($C$12=2,Y66*$C$6/100,
IF($G$6=Lister!$D$4,Y66*$C$6/100,
IF($G$6=Lister!$D$5,Y68*$C$6/100,
IF($G$6=Lister!$D$6,(Y68-SUMIF($A$62:$A$72,Lister!$M$10,I62:I72))*$C$6/100,
IF($G$6=Lister!$D$7,(Y68-SUMIF($A$62:$A$72,Lister!$M$10,I62:I72)-SUMIF($A$62:$A$72,Lister!$M$7,I62:I72))*$C$6/100,
IF($G$6=Lister!$D$8,(Y68+Y70)*$C$6/100,
IF($G$6=Lister!$D$9,Y67*$C$6/100,0)))))))</f>
        <v>0</v>
      </c>
      <c r="Z69" s="21">
        <f>IF($C$12=2,Z66*$C$6/100,
IF($G$6=Lister!$D$4,Z66*$C$6/100,
IF($G$6=Lister!$D$5,Z68*$C$6/100,
IF($G$6=Lister!$D$6,(Z68-SUMIF($A$62:$A$72,Lister!$M$10,J62:J72))*$C$6/100,
IF($G$6=Lister!$D$7,(Z68-SUMIF($A$62:$A$72,Lister!$M$10,J62:J72)-SUMIF($A$62:$A$72,Lister!$M$7,J62:J72))*$C$6/100,
IF($G$6=Lister!$D$8,(Z68+Z70)*$C$6/100,
IF($G$6=Lister!$D$9,Z67*$C$6/100,0)))))))</f>
        <v>0</v>
      </c>
      <c r="AA69" s="21">
        <f>IF($C$12=2,AA66*$C$6/100,
IF($G$6=Lister!$D$4,AA66*$C$6/100,
IF($G$6=Lister!$D$5,AA68*$C$6/100,
IF($G$6=Lister!$D$6,(AA68-SUMIF($A$62:$A$72,Lister!$M$10,K62:K72))*$C$6/100,
IF($G$6=Lister!$D$7,(AA68-SUMIF($A$62:$A$72,Lister!$M$10,K62:K72)-SUMIF($A$62:$A$72,Lister!$M$7,K62:K72))*$C$6/100,
IF($G$6=Lister!$D$8,(AA68+AA70)*$C$6/100,
IF($G$6=Lister!$D$9,AA67*$C$6/100,0)))))))</f>
        <v>0</v>
      </c>
      <c r="AB69" s="21">
        <f>IF($C$12=2,AB66*$C$6/100,
IF($G$6=Lister!$D$4,AB66*$C$6/100,
IF($G$6=Lister!$D$5,AB68*$C$6/100,
IF($G$6=Lister!$D$6,(AB68-SUMIF($A$62:$A$72,Lister!$M$10,L62:L72))*$C$6/100,
IF($G$6=Lister!$D$7,(AB68-SUMIF($A$62:$A$72,Lister!$M$10,L62:L72)-SUMIF($A$62:$A$72,Lister!$M$7,L62:L72))*$C$6/100,
IF($G$6=Lister!$D$8,(AB68+AB70)*$C$6/100,
IF($G$6=Lister!$D$9,AB67*$C$6/100,0)))))))</f>
        <v>0</v>
      </c>
      <c r="AC69" s="138">
        <f t="shared" si="88"/>
        <v>0</v>
      </c>
      <c r="AF69" s="70"/>
      <c r="AG69" s="70"/>
      <c r="AH69" s="70"/>
      <c r="AI69" s="70"/>
      <c r="AJ69" s="70"/>
      <c r="AK69" s="70"/>
      <c r="AL69" s="70"/>
      <c r="AM69" s="70"/>
      <c r="AN69" s="70"/>
      <c r="AO69" s="70"/>
      <c r="AP69" s="70"/>
      <c r="AQ69" s="70"/>
      <c r="AR69" s="70"/>
      <c r="AS69" s="70"/>
      <c r="AT69" s="70"/>
      <c r="AU69" s="70"/>
      <c r="AV69" s="70"/>
      <c r="AW69" s="70"/>
      <c r="AX69" s="70"/>
      <c r="AY69" s="70"/>
      <c r="AZ69" s="70"/>
    </row>
    <row r="70" spans="1:52" ht="15" customHeight="1">
      <c r="A70" s="219" t="s">
        <v>114</v>
      </c>
      <c r="B70" s="220"/>
      <c r="C70" s="288"/>
      <c r="D70" s="288"/>
      <c r="E70" s="288"/>
      <c r="F70" s="288"/>
      <c r="G70" s="288"/>
      <c r="H70" s="288"/>
      <c r="I70" s="288"/>
      <c r="J70" s="288"/>
      <c r="K70" s="288"/>
      <c r="L70" s="288"/>
      <c r="M70" s="21">
        <f t="shared" si="83"/>
        <v>0</v>
      </c>
      <c r="N70" s="285"/>
      <c r="O70" s="285" t="s">
        <v>113</v>
      </c>
      <c r="P70" s="119"/>
      <c r="Q70" s="151" t="s">
        <v>103</v>
      </c>
      <c r="R70" s="312">
        <f t="shared" si="85"/>
        <v>0</v>
      </c>
      <c r="S70" s="153">
        <f>+IF($C$8=Lister!$O$5,C$40*Takstblad!C$84,0)</f>
        <v>0</v>
      </c>
      <c r="T70" s="153">
        <f>+IF($C$8=Lister!$O$5,D$40*Takstblad!D$84,0)</f>
        <v>0</v>
      </c>
      <c r="U70" s="153">
        <f>+IF($C$8=Lister!$O$5,E$40*Takstblad!E$84,0)</f>
        <v>0</v>
      </c>
      <c r="V70" s="153">
        <f>+IF($C$8=Lister!$O$5,F$40*Takstblad!F$84,0)</f>
        <v>0</v>
      </c>
      <c r="W70" s="153">
        <f>+IF($C$8=Lister!$O$5,G$40*Takstblad!G$84,0)</f>
        <v>0</v>
      </c>
      <c r="X70" s="300">
        <f>+IF($C$8=Lister!$O$5,H$40*Takstblad!H$84,0)</f>
        <v>0</v>
      </c>
      <c r="Y70" s="297">
        <f>+IF($C$8=Lister!$O$5,I$40*Takstblad!I$84,0)</f>
        <v>0</v>
      </c>
      <c r="Z70" s="21">
        <f>+IF($C$8=Lister!$O$5,J$40*Takstblad!J$84,0)</f>
        <v>0</v>
      </c>
      <c r="AA70" s="21">
        <f>+IF($C$8=Lister!$O$5,K$40*Takstblad!K$84,0)</f>
        <v>0</v>
      </c>
      <c r="AB70" s="21">
        <f>+IF($C$8=Lister!$O$5,L$40*Takstblad!L$84,0)</f>
        <v>0</v>
      </c>
      <c r="AC70" s="138">
        <f t="shared" si="88"/>
        <v>0</v>
      </c>
      <c r="AF70" s="70"/>
      <c r="AG70" s="70"/>
      <c r="AH70" s="70"/>
      <c r="AI70" s="70"/>
      <c r="AJ70" s="70"/>
      <c r="AK70" s="70"/>
      <c r="AL70" s="70"/>
      <c r="AM70" s="70"/>
      <c r="AN70" s="70"/>
      <c r="AO70" s="70"/>
      <c r="AP70" s="70"/>
      <c r="AQ70" s="70"/>
      <c r="AR70" s="70"/>
      <c r="AS70" s="70"/>
      <c r="AT70" s="70"/>
      <c r="AU70" s="70"/>
      <c r="AV70" s="70"/>
      <c r="AW70" s="70"/>
      <c r="AX70" s="70"/>
      <c r="AY70" s="70"/>
      <c r="AZ70" s="70"/>
    </row>
    <row r="71" spans="1:52" ht="15" customHeight="1">
      <c r="A71" s="201" t="s">
        <v>114</v>
      </c>
      <c r="B71" s="16"/>
      <c r="C71" s="288"/>
      <c r="D71" s="288"/>
      <c r="E71" s="288"/>
      <c r="F71" s="288"/>
      <c r="G71" s="288"/>
      <c r="H71" s="288"/>
      <c r="I71" s="288"/>
      <c r="J71" s="288"/>
      <c r="K71" s="288"/>
      <c r="L71" s="288"/>
      <c r="M71" s="21">
        <f t="shared" si="83"/>
        <v>0</v>
      </c>
      <c r="N71" s="285"/>
      <c r="O71" s="285" t="s">
        <v>113</v>
      </c>
      <c r="P71" s="119"/>
      <c r="Q71" s="151" t="s">
        <v>108</v>
      </c>
      <c r="R71" s="312">
        <f t="shared" si="85"/>
        <v>0</v>
      </c>
      <c r="S71" s="153">
        <f t="shared" ref="S71:X71" si="92">+S87+S101</f>
        <v>0</v>
      </c>
      <c r="T71" s="153">
        <f t="shared" si="92"/>
        <v>0</v>
      </c>
      <c r="U71" s="153">
        <f t="shared" si="92"/>
        <v>0</v>
      </c>
      <c r="V71" s="153">
        <f t="shared" si="92"/>
        <v>0</v>
      </c>
      <c r="W71" s="153">
        <f t="shared" si="92"/>
        <v>0</v>
      </c>
      <c r="X71" s="300">
        <f t="shared" si="92"/>
        <v>0</v>
      </c>
      <c r="Y71" s="297">
        <f>+IF($C$8="Project-Supplement",((SUMIF($A$20:$A$29,"PhD",I$20:I$29)+SUMIF($A$20:$A$29,"Research Assistant - avr. rate",I$20:I$29)+SUMIF($A$20:$A$29,"Research Assistant - low rate",I$20:I$29)+SUMIF($A$20:$A$29,"Post doc.",I$20:I$29))/12)*Takstblad!I$85,0)</f>
        <v>0</v>
      </c>
      <c r="Z71" s="21">
        <f>+IF($C$8="Project-Supplement",((SUMIF($A$20:$A$29,"PhD",J$20:J$29)+SUMIF($A$20:$A$29,"Research Assistant - avr. rate",J$20:J$29)+SUMIF($A$20:$A$29,"Research Assistant - low rate",J$20:J$29)+SUMIF($A$20:$A$29,"Post doc.",J$20:J$29))/12)*Takstblad!J$85,0)</f>
        <v>0</v>
      </c>
      <c r="AA71" s="21">
        <f>+IF($C$8="Project-Supplement",((SUMIF($A$20:$A$29,"PhD",K$20:K$29)+SUMIF($A$20:$A$29,"Research Assistant - avr. rate",K$20:K$29)+SUMIF($A$20:$A$29,"Research Assistant - low rate",K$20:K$29)+SUMIF($A$20:$A$29,"Post doc.",K$20:K$29))/12)*Takstblad!K$85,0)</f>
        <v>0</v>
      </c>
      <c r="AB71" s="21">
        <f>+IF($C$8="Project-Supplement",((SUMIF($A$20:$A$29,"PhD",L$20:L$29)+SUMIF($A$20:$A$29,"Research Assistant - avr. rate",L$20:L$29)+SUMIF($A$20:$A$29,"Research Assistant - low rate",L$20:L$29)+SUMIF($A$20:$A$29,"Post doc.",L$20:L$29))/12)*Takstblad!L$85,0)</f>
        <v>0</v>
      </c>
      <c r="AC71" s="138">
        <f t="shared" si="88"/>
        <v>0</v>
      </c>
      <c r="AF71" s="70"/>
      <c r="AG71" s="70"/>
      <c r="AH71" s="70"/>
      <c r="AI71" s="70"/>
      <c r="AJ71" s="70"/>
      <c r="AK71" s="70"/>
      <c r="AL71" s="70"/>
      <c r="AM71" s="70"/>
      <c r="AN71" s="70"/>
      <c r="AO71" s="70"/>
      <c r="AP71" s="70"/>
      <c r="AQ71" s="70"/>
      <c r="AR71" s="70"/>
      <c r="AS71" s="70"/>
      <c r="AT71" s="70"/>
      <c r="AU71" s="70"/>
      <c r="AV71" s="70"/>
      <c r="AW71" s="70"/>
      <c r="AX71" s="70"/>
      <c r="AY71" s="70"/>
      <c r="AZ71" s="70"/>
    </row>
    <row r="72" spans="1:52" s="11" customFormat="1" ht="15" customHeight="1">
      <c r="A72" s="219" t="s">
        <v>114</v>
      </c>
      <c r="B72" s="220"/>
      <c r="C72" s="288"/>
      <c r="D72" s="288"/>
      <c r="E72" s="288"/>
      <c r="F72" s="288"/>
      <c r="G72" s="288"/>
      <c r="H72" s="288"/>
      <c r="I72" s="288"/>
      <c r="J72" s="288"/>
      <c r="K72" s="288"/>
      <c r="L72" s="288"/>
      <c r="M72" s="21">
        <f t="shared" si="83"/>
        <v>0</v>
      </c>
      <c r="N72" s="285"/>
      <c r="O72" s="285" t="s">
        <v>113</v>
      </c>
      <c r="P72" s="119"/>
      <c r="Q72" s="150" t="s">
        <v>531</v>
      </c>
      <c r="R72" s="312">
        <f t="shared" si="85"/>
        <v>0</v>
      </c>
      <c r="S72" s="153" t="str">
        <f>IF($C$12=2,(SUM(S68:S71)*$C$13)/100,"0")</f>
        <v>0</v>
      </c>
      <c r="T72" s="153" t="str">
        <f t="shared" ref="T72:Z72" si="93">IF($C$12=2,(SUM(T68:T71)*$C$13)/100,"0")</f>
        <v>0</v>
      </c>
      <c r="U72" s="153" t="str">
        <f t="shared" si="93"/>
        <v>0</v>
      </c>
      <c r="V72" s="153" t="str">
        <f t="shared" si="93"/>
        <v>0</v>
      </c>
      <c r="W72" s="153" t="str">
        <f t="shared" si="93"/>
        <v>0</v>
      </c>
      <c r="X72" s="300" t="str">
        <f t="shared" si="93"/>
        <v>0</v>
      </c>
      <c r="Y72" s="298" t="str">
        <f t="shared" si="93"/>
        <v>0</v>
      </c>
      <c r="Z72" s="153" t="str">
        <f t="shared" si="93"/>
        <v>0</v>
      </c>
      <c r="AA72" s="153" t="str">
        <f>IF($C$12=2,(SUM(AA68:AA71)*$C$13)/100,"0")</f>
        <v>0</v>
      </c>
      <c r="AB72" s="153" t="str">
        <f>IF($C$12=2,(SUM(AB68:AB71)*$C$13)/100,"0")</f>
        <v>0</v>
      </c>
      <c r="AC72" s="138">
        <f t="shared" si="88"/>
        <v>0</v>
      </c>
      <c r="AF72" s="70"/>
      <c r="AG72" s="70"/>
      <c r="AH72" s="70"/>
      <c r="AI72" s="70"/>
      <c r="AJ72" s="70"/>
      <c r="AK72" s="70"/>
      <c r="AL72" s="70"/>
      <c r="AM72" s="70"/>
      <c r="AN72" s="70"/>
      <c r="AO72" s="70"/>
      <c r="AP72" s="70"/>
      <c r="AQ72" s="70"/>
      <c r="AR72" s="78"/>
      <c r="AS72" s="78"/>
      <c r="AT72" s="78"/>
      <c r="AU72" s="78"/>
      <c r="AV72" s="78"/>
      <c r="AW72" s="78"/>
      <c r="AX72" s="78"/>
      <c r="AY72" s="78"/>
      <c r="AZ72" s="78"/>
    </row>
    <row r="73" spans="1:52" s="11" customFormat="1" ht="15" customHeight="1">
      <c r="A73" s="5" t="s">
        <v>233</v>
      </c>
      <c r="B73" s="16"/>
      <c r="C73" s="28">
        <f>IFERROR(IF($C$12=2,0,IF($C$8="project-supplement",0,IF(OR($G$7="Salary and Operations",$G$7="Operations"),(VLOOKUP($C$2,Takstblad!$B$71:$L$83,2,FALSE)*C$77)))),0)</f>
        <v>0</v>
      </c>
      <c r="D73" s="28">
        <f>IFERROR(IF($C$12=2,0,IF($C$8="project-supplement",0,IF(OR($G$7="Salary and Operations",$G$7="Operations"),(VLOOKUP($C$2,Takstblad!$B$71:$L$83,3,FALSE)*D$77)))),0)</f>
        <v>0</v>
      </c>
      <c r="E73" s="28">
        <f>IFERROR(IF($C$12=2,0,IF($C$8="project-supplement",0,IF(OR($G$7="Salary and Operations",$G$7="Operations"),(VLOOKUP($C$2,Takstblad!$B$71:$L$83,4,FALSE)*E$77)))),0)</f>
        <v>0</v>
      </c>
      <c r="F73" s="28">
        <f>IFERROR(IF($C$12=2,0,IF($C$8="project-supplement",0,IF(OR($G$7="Salary and Operations",$G$7="Operations"),(VLOOKUP($C$2,Takstblad!$B$71:$L$83,5,FALSE)*F$77)))),0)</f>
        <v>0</v>
      </c>
      <c r="G73" s="28">
        <f>IFERROR(IF($C$12=2,0,IF($C$8="project-supplement",0,IF(OR($G$7="Salary and Operations",$G$7="Operations"),(VLOOKUP($C$2,Takstblad!$B$71:$L$83,6,FALSE)*G$77)))),0)</f>
        <v>0</v>
      </c>
      <c r="H73" s="28">
        <f>IFERROR(IF($C$12=2,0,IF($C$8="project-supplement",0,IF(OR($G$7="Salary and Operations",$G$7="Operations"),(VLOOKUP($C$2,Takstblad!$B$71:$L$83,7,FALSE)*H$77)))),0)</f>
        <v>0</v>
      </c>
      <c r="I73" s="28">
        <f>IFERROR(IF($C$12=2,0,IF($C$8="project-supplement",0,IF(OR($G$7="Salary and Operations",$G$7="Operations"),(VLOOKUP($C$2,Takstblad!$B$71:$L$83,8,FALSE)*I$77)))),0)</f>
        <v>0</v>
      </c>
      <c r="J73" s="28">
        <f>IFERROR(IF($C$12=2,0,IF($C$8="project-supplement",0,IF(OR($G$7="Salary and Operations",$G$7="Operations"),(VLOOKUP($C$2,Takstblad!$B$71:$L$83,9,FALSE)*J$77)))),0)</f>
        <v>0</v>
      </c>
      <c r="K73" s="28">
        <f>IFERROR(IF($C$12=2,0,IF($C$8="project-supplement",0,IF(OR($G$7="Salary and Operations",$G$7="Operations"),(VLOOKUP($C$2,Takstblad!$B$71:$L$83,10,FALSE)*K$77)))),0)</f>
        <v>0</v>
      </c>
      <c r="L73" s="28">
        <f>IFERROR(IF($C$12=2,0,IF($C$8="project-supplement",0,IF(OR($G$7="Salary and Operations",$G$7="Operations"),(VLOOKUP($C$2,Takstblad!$B$71:$L$83,11,FALSE)*L$77)))),0)</f>
        <v>0</v>
      </c>
      <c r="M73" s="21">
        <f t="shared" si="83"/>
        <v>0</v>
      </c>
      <c r="N73" s="21"/>
      <c r="O73" s="225" t="s">
        <v>152</v>
      </c>
      <c r="P73" s="118"/>
      <c r="Q73" s="149" t="s">
        <v>101</v>
      </c>
      <c r="R73" s="312">
        <f t="shared" si="85"/>
        <v>0</v>
      </c>
      <c r="S73" s="313">
        <f>+SUM(S68:S72)</f>
        <v>0</v>
      </c>
      <c r="T73" s="313">
        <f t="shared" ref="T73:Z73" si="94">+SUM(T68:T72)</f>
        <v>0</v>
      </c>
      <c r="U73" s="313">
        <f t="shared" si="94"/>
        <v>0</v>
      </c>
      <c r="V73" s="313">
        <f t="shared" si="94"/>
        <v>0</v>
      </c>
      <c r="W73" s="313">
        <f t="shared" si="94"/>
        <v>0</v>
      </c>
      <c r="X73" s="314">
        <f t="shared" si="94"/>
        <v>0</v>
      </c>
      <c r="Y73" s="296">
        <f t="shared" si="94"/>
        <v>0</v>
      </c>
      <c r="Z73" s="137">
        <f t="shared" si="94"/>
        <v>0</v>
      </c>
      <c r="AA73" s="137">
        <f>+SUM(AA68:AA72)</f>
        <v>0</v>
      </c>
      <c r="AB73" s="137">
        <f>+SUM(AB68:AB72)</f>
        <v>0</v>
      </c>
      <c r="AC73" s="138">
        <f t="shared" si="88"/>
        <v>0</v>
      </c>
      <c r="AF73" s="70"/>
      <c r="AG73" s="70"/>
      <c r="AH73" s="70"/>
      <c r="AI73" s="70"/>
      <c r="AJ73" s="70"/>
      <c r="AK73" s="70"/>
      <c r="AL73" s="70"/>
      <c r="AM73" s="70"/>
      <c r="AN73" s="70"/>
      <c r="AO73" s="70"/>
      <c r="AP73" s="70"/>
      <c r="AQ73" s="70"/>
      <c r="AR73" s="78"/>
      <c r="AS73" s="78"/>
      <c r="AT73" s="78"/>
      <c r="AU73" s="78"/>
      <c r="AV73" s="78"/>
      <c r="AW73" s="78"/>
      <c r="AX73" s="78"/>
      <c r="AY73" s="78"/>
      <c r="AZ73" s="78"/>
    </row>
    <row r="74" spans="1:52" ht="15" customHeight="1" thickBot="1">
      <c r="A74" s="5" t="s">
        <v>712</v>
      </c>
      <c r="B74" s="16"/>
      <c r="C74" s="28">
        <f>IFERROR(IF($C$12=2,0,IF($C$8="project-supplement",0,IF(OR($G$7="Salary and Operations",$G$7="Operations"),(VLOOKUP($C$2,Takstblad!$B$71:$L$83,2,FALSE)*C$78)))),0)</f>
        <v>0</v>
      </c>
      <c r="D74" s="28">
        <f>IFERROR(IF($C$12=2,0,IF($C$8="project-supplement",0,IF(OR($G$7="Salary and Operations",$G$7="Operations"),(VLOOKUP($C$2,Takstblad!$B$71:$L$83,3,FALSE)*D$78)))),0)</f>
        <v>0</v>
      </c>
      <c r="E74" s="28">
        <f>IFERROR(IF($C$12=2,0,IF($C$8="project-supplement",0,IF(OR($G$7="Salary and Operations",$G$7="Operations"),(VLOOKUP($C$2,Takstblad!$B$71:$L$83,4,FALSE)*E$78)))),0)</f>
        <v>0</v>
      </c>
      <c r="F74" s="28">
        <f>IFERROR(IF($C$12=2,0,IF($C$8="project-supplement",0,IF(OR($G$7="Salary and Operations",$G$7="Operations"),(VLOOKUP($C$2,Takstblad!$B$71:$L$83,5,FALSE)*F$78)))),0)</f>
        <v>0</v>
      </c>
      <c r="G74" s="28">
        <f>IFERROR(IF($C$12=2,0,IF($C$8="project-supplement",0,IF(OR($G$7="Salary and Operations",$G$7="Operations"),(VLOOKUP($C$2,Takstblad!$B$71:$L$83,6,FALSE)*G$78)))),0)</f>
        <v>0</v>
      </c>
      <c r="H74" s="28">
        <f>IFERROR(IF($C$12=2,0,IF($C$8="project-supplement",0,IF(OR($G$7="Salary and Operations",$G$7="Operations"),(VLOOKUP($C$2,Takstblad!$B$71:$L$83,7,FALSE)*H$78)))),0)</f>
        <v>0</v>
      </c>
      <c r="I74" s="28">
        <f>IFERROR(IF($C$12=2,0,IF($C$8="project-supplement",0,IF(OR($G$7="Salary and Operations",$G$7="Operations"),(VLOOKUP($C$2,Takstblad!$B$71:$L$83,8,FALSE)*I$78)))),0)</f>
        <v>0</v>
      </c>
      <c r="J74" s="28">
        <f>IFERROR(IF($C$12=2,0,IF($C$8="project-supplement",0,IF(OR($G$7="Salary and Operations",$G$7="Operations"),(VLOOKUP($C$2,Takstblad!$B$71:$L$83,9,FALSE)*J$78)))),0)</f>
        <v>0</v>
      </c>
      <c r="K74" s="28">
        <f>IFERROR(IF($C$12=2,0,IF($C$8="project-supplement",0,IF(OR($G$7="Salary and Operations",$G$7="Operations"),(VLOOKUP($C$2,Takstblad!$B$71:$L$83,10,FALSE)*K$78)))),0)</f>
        <v>0</v>
      </c>
      <c r="L74" s="28">
        <f>IFERROR(IF($C$12=2,0,IF($C$8="project-supplement",0,IF(OR($G$7="Salary and Operations",$G$7="Operations"),(VLOOKUP($C$2,Takstblad!$B$71:$L$83,11,FALSE)*L$78)))),0)</f>
        <v>0</v>
      </c>
      <c r="M74" s="21">
        <f t="shared" si="83"/>
        <v>0</v>
      </c>
      <c r="N74" s="95"/>
      <c r="O74" s="225" t="s">
        <v>112</v>
      </c>
      <c r="P74" s="118"/>
      <c r="Q74" s="127"/>
      <c r="R74" s="129"/>
      <c r="S74" s="128"/>
      <c r="T74" s="128"/>
      <c r="U74" s="128"/>
      <c r="V74" s="128"/>
      <c r="W74" s="128"/>
      <c r="X74" s="129"/>
      <c r="Y74" s="128"/>
      <c r="Z74" s="128"/>
      <c r="AA74" s="128"/>
      <c r="AB74" s="128"/>
      <c r="AC74" s="129"/>
      <c r="AF74" s="78"/>
      <c r="AG74" s="78"/>
      <c r="AH74" s="78"/>
      <c r="AI74" s="78"/>
      <c r="AJ74" s="78"/>
      <c r="AK74" s="78"/>
      <c r="AL74" s="78"/>
      <c r="AM74" s="78"/>
      <c r="AN74" s="78"/>
      <c r="AO74" s="78"/>
      <c r="AP74" s="78"/>
      <c r="AQ74" s="78"/>
      <c r="AR74" s="70"/>
      <c r="AS74" s="70"/>
      <c r="AT74" s="70"/>
      <c r="AU74" s="70"/>
      <c r="AV74" s="70"/>
      <c r="AW74" s="70"/>
      <c r="AX74" s="70"/>
      <c r="AY74" s="70"/>
      <c r="AZ74" s="70"/>
    </row>
    <row r="75" spans="1:52" ht="15" customHeight="1" thickBot="1">
      <c r="A75" s="4" t="s">
        <v>72</v>
      </c>
      <c r="B75" s="16"/>
      <c r="C75" s="22">
        <f>SUM(C62:C74)-SUMIF($A$62:$A$72,Lister!$M$9,C62:C72)-ABS(SUMIF($A$62:$A$72,Lister!$M$9,C62:C72))</f>
        <v>0</v>
      </c>
      <c r="D75" s="22">
        <f>SUM(D62:D74)-SUMIF($A$62:$A$72,Lister!$M$9,D62:D72)-ABS(SUMIF($A$62:$A$72,Lister!$M$9,D62:D72))</f>
        <v>0</v>
      </c>
      <c r="E75" s="22">
        <f>SUM(E62:E74)-SUMIF($A$62:$A$72,Lister!$M$9,E62:E72)-ABS(SUMIF($A$62:$A$72,Lister!$M$9,E62:E72))</f>
        <v>0</v>
      </c>
      <c r="F75" s="22">
        <f>SUM(F62:F74)-SUMIF($A$62:$A$72,Lister!$M$9,F62:F72)-ABS(SUMIF($A$62:$A$72,Lister!$M$9,F62:F72))</f>
        <v>0</v>
      </c>
      <c r="G75" s="22">
        <f>SUM(G62:G74)-SUMIF($A$62:$A$72,Lister!$M$9,G62:G72)-ABS(SUMIF($A$62:$A$72,Lister!$M$9,G62:G72))</f>
        <v>0</v>
      </c>
      <c r="H75" s="22">
        <f>SUM(H62:H74)-SUMIF($A$62:$A$72,Lister!$M$9,H62:H72)-ABS(SUMIF($A$62:$A$72,Lister!$M$9,H62:H72))</f>
        <v>0</v>
      </c>
      <c r="I75" s="51">
        <f>SUM(I62:I74)-SUMIF($A$62:$A$72,Lister!$M$9,I62:I72)-ABS(SUMIF($A$62:$A$72,Lister!$M$9,I62:I72))</f>
        <v>0</v>
      </c>
      <c r="J75" s="51">
        <f>SUM(J62:J74)-SUMIF($A$62:$A$72,Lister!$M$9,J62:J72)-ABS(SUMIF($A$62:$A$72,Lister!$M$9,J62:J72))</f>
        <v>0</v>
      </c>
      <c r="K75" s="51">
        <f>SUM(K62:K74)-SUMIF($A$62:$A$72,Lister!$M$9,K62:K72)-ABS(SUMIF($A$62:$A$72,Lister!$M$9,K62:K72))</f>
        <v>0</v>
      </c>
      <c r="L75" s="51">
        <f>SUM(L62:L74)-SUMIF($A$62:$A$72,Lister!$M$9,L62:L72)-ABS(SUMIF($A$62:$A$72,Lister!$M$9,L62:L72))</f>
        <v>0</v>
      </c>
      <c r="M75" s="13">
        <f t="shared" si="83"/>
        <v>0</v>
      </c>
      <c r="N75" s="13"/>
      <c r="O75" s="16"/>
      <c r="P75" s="16"/>
      <c r="Q75" s="130" t="s">
        <v>587</v>
      </c>
      <c r="R75" s="131"/>
      <c r="S75" s="230"/>
      <c r="T75" s="136"/>
      <c r="U75" s="136"/>
      <c r="V75" s="136"/>
      <c r="W75" s="136"/>
      <c r="X75" s="305"/>
      <c r="Y75" s="136"/>
      <c r="Z75" s="136"/>
      <c r="AA75" s="136"/>
      <c r="AB75" s="136"/>
      <c r="AC75" s="131"/>
      <c r="AF75" s="78"/>
      <c r="AG75" s="78"/>
      <c r="AH75" s="78"/>
      <c r="AI75" s="78"/>
      <c r="AJ75" s="78"/>
      <c r="AK75" s="78"/>
      <c r="AL75" s="78"/>
      <c r="AM75" s="78"/>
      <c r="AN75" s="78"/>
      <c r="AO75" s="78"/>
      <c r="AP75" s="78"/>
      <c r="AQ75" s="78"/>
      <c r="AR75" s="70"/>
      <c r="AS75" s="70"/>
      <c r="AT75" s="70"/>
      <c r="AU75" s="70"/>
      <c r="AV75" s="70"/>
      <c r="AW75" s="70"/>
      <c r="AX75" s="70"/>
      <c r="AY75" s="70"/>
      <c r="AZ75" s="70"/>
    </row>
    <row r="76" spans="1:52" s="9" customFormat="1" ht="15" customHeight="1">
      <c r="A76" s="71"/>
      <c r="B76" s="76"/>
      <c r="C76" s="76"/>
      <c r="D76" s="76"/>
      <c r="E76" s="76"/>
      <c r="F76" s="76"/>
      <c r="G76" s="76"/>
      <c r="H76" s="76"/>
      <c r="I76" s="76"/>
      <c r="J76" s="76"/>
      <c r="K76" s="76"/>
      <c r="L76" s="76"/>
      <c r="M76" s="76"/>
      <c r="N76" s="76"/>
      <c r="O76" s="86"/>
      <c r="P76" s="86"/>
      <c r="Q76" s="132"/>
      <c r="R76" s="133"/>
      <c r="S76" s="16"/>
      <c r="T76" s="76"/>
      <c r="U76" s="76"/>
      <c r="V76" s="76"/>
      <c r="W76" s="76"/>
      <c r="X76" s="133"/>
      <c r="Y76" s="76"/>
      <c r="Z76" s="76"/>
      <c r="AA76" s="76"/>
      <c r="AB76" s="76"/>
      <c r="AC76" s="133"/>
      <c r="AF76" s="70"/>
      <c r="AG76" s="70"/>
      <c r="AH76" s="70"/>
      <c r="AI76" s="70"/>
      <c r="AJ76" s="70"/>
      <c r="AK76" s="70"/>
      <c r="AL76" s="70"/>
      <c r="AM76" s="70"/>
      <c r="AN76" s="70"/>
      <c r="AO76" s="70"/>
      <c r="AP76" s="70"/>
      <c r="AQ76" s="70"/>
      <c r="AR76" s="71"/>
      <c r="AS76" s="71"/>
      <c r="AT76" s="71"/>
      <c r="AU76" s="71"/>
      <c r="AV76" s="71"/>
      <c r="AW76" s="71"/>
      <c r="AX76" s="71"/>
      <c r="AY76" s="71"/>
      <c r="AZ76" s="71"/>
    </row>
    <row r="77" spans="1:52" ht="15" hidden="1" customHeight="1">
      <c r="A77" s="71" t="s">
        <v>196</v>
      </c>
      <c r="B77" s="70"/>
      <c r="C77" s="100">
        <f>SUMIFS(C43:C52,$O$43:$O$52,Lister!$D$30,$B$43:$B$52,Lister!$A$45)+SUMIFS(C43:C52,$O$43:$O$52,Lister!$D$29,$B$43:$B$52,Lister!$A$45)</f>
        <v>0</v>
      </c>
      <c r="D77" s="100">
        <f>SUMIFS(D43:D52,$O$43:$O$52,Lister!$D$30,$B$43:$B$52,Lister!$A$45)+SUMIFS(D43:D52,$O$43:$O$52,Lister!$D$29,$B$43:$B$52,Lister!$A$45)</f>
        <v>0</v>
      </c>
      <c r="E77" s="100">
        <f>SUMIFS(E43:E52,$O$43:$O$52,Lister!$D$30,$B$43:$B$52,Lister!$A$45)+SUMIFS(E43:E52,$O$43:$O$52,Lister!$D$29,$B$43:$B$52,Lister!$A$45)</f>
        <v>0</v>
      </c>
      <c r="F77" s="100">
        <f>SUMIFS(F43:F52,$O$43:$O$52,Lister!$D$30,$B$43:$B$52,Lister!$A$45)+SUMIFS(F43:F52,$O$43:$O$52,Lister!$D$29,$B$43:$B$52,Lister!$A$45)</f>
        <v>0</v>
      </c>
      <c r="G77" s="100">
        <f>SUMIFS(G43:G52,$O$43:$O$52,Lister!$D$30,$B$43:$B$52,Lister!$A$45)+SUMIFS(G43:G52,$O$43:$O$52,Lister!$D$29,$B$43:$B$52,Lister!$A$45)</f>
        <v>0</v>
      </c>
      <c r="H77" s="100">
        <f>SUMIFS(H43:H52,$O$43:$O$52,Lister!$D$30,$B$43:$B$52,Lister!$A$45)+SUMIFS(H43:H52,$O$43:$O$52,Lister!$D$29,$B$43:$B$52,Lister!$A$45)</f>
        <v>0</v>
      </c>
      <c r="I77" s="100">
        <f>SUMIFS(I43:I52,$O$43:$O$52,Lister!$D$30,$B$43:$B$52,Lister!$A$45)+SUMIFS(I43:I52,$O$43:$O$52,Lister!$D$29,$B$43:$B$52,Lister!$A$45)</f>
        <v>0</v>
      </c>
      <c r="J77" s="100">
        <f>SUMIFS(J43:J52,$O$43:$O$52,Lister!$D$30,$B$43:$B$52,Lister!$A$45)+SUMIFS(J43:J52,$O$43:$O$52,Lister!$D$29,$B$43:$B$52,Lister!$A$45)</f>
        <v>0</v>
      </c>
      <c r="K77" s="100">
        <f>SUMIFS(K43:K52,$O$43:$O$52,Lister!$D$30,$B$43:$B$52,Lister!$A$45)+SUMIFS(K43:K52,$O$43:$O$52,Lister!$D$29,$B$43:$B$52,Lister!$A$45)</f>
        <v>0</v>
      </c>
      <c r="L77" s="100">
        <f>SUMIFS(L43:L52,$O$43:$O$52,Lister!$D$30,$B$43:$B$52,Lister!$A$45)+SUMIFS(L43:L52,$O$43:$O$52,Lister!$D$29,$B$43:$B$52,Lister!$A$45)</f>
        <v>0</v>
      </c>
      <c r="M77" s="70"/>
      <c r="N77" s="70"/>
      <c r="O77" s="85"/>
      <c r="P77" s="85"/>
      <c r="Q77" s="132"/>
      <c r="R77" s="133"/>
      <c r="S77" s="16"/>
      <c r="T77" s="76"/>
      <c r="U77" s="76"/>
      <c r="V77" s="76"/>
      <c r="W77" s="76"/>
      <c r="X77" s="133"/>
      <c r="Y77" s="76"/>
      <c r="Z77" s="76"/>
      <c r="AA77" s="76"/>
      <c r="AB77" s="76"/>
      <c r="AC77" s="133"/>
      <c r="AF77" s="70"/>
      <c r="AG77" s="70"/>
      <c r="AH77" s="70"/>
      <c r="AI77" s="70"/>
      <c r="AJ77" s="70"/>
      <c r="AK77" s="70"/>
      <c r="AL77" s="70"/>
      <c r="AM77" s="70"/>
      <c r="AN77" s="70"/>
      <c r="AO77" s="70"/>
      <c r="AP77" s="70"/>
      <c r="AQ77" s="70"/>
      <c r="AR77" s="70"/>
      <c r="AS77" s="70"/>
      <c r="AT77" s="70"/>
      <c r="AU77" s="70"/>
      <c r="AV77" s="70"/>
      <c r="AW77" s="70"/>
      <c r="AX77" s="70"/>
      <c r="AY77" s="70"/>
      <c r="AZ77" s="70"/>
    </row>
    <row r="78" spans="1:52" ht="15" hidden="1" customHeight="1">
      <c r="A78" s="71" t="s">
        <v>197</v>
      </c>
      <c r="B78" s="71"/>
      <c r="C78" s="100">
        <f>SUMIFS(C43:C52,$O$43:$O$52,Lister!$D$31,$B$43:$B$52,Lister!$A$45)</f>
        <v>0</v>
      </c>
      <c r="D78" s="100">
        <f>SUMIFS(D43:D52,$O$43:$O$52,Lister!$D$31,$B$43:$B$52,Lister!$A$45)</f>
        <v>0</v>
      </c>
      <c r="E78" s="100">
        <f>SUMIFS(E43:E52,$O$43:$O$52,Lister!$D$31,$B$43:$B$52,Lister!$A$45)</f>
        <v>0</v>
      </c>
      <c r="F78" s="100">
        <f>SUMIFS(F43:F52,$O$43:$O$52,Lister!$D$31,$B$43:$B$52,Lister!$A$45)</f>
        <v>0</v>
      </c>
      <c r="G78" s="100">
        <f>SUMIFS(G43:G52,$O$43:$O$52,Lister!$D$31,$B$43:$B$52,Lister!$A$45)</f>
        <v>0</v>
      </c>
      <c r="H78" s="100">
        <f>SUMIFS(H43:H52,$O$43:$O$52,Lister!$D$31,$B$43:$B$52,Lister!$A$45)</f>
        <v>0</v>
      </c>
      <c r="I78" s="100">
        <f>SUMIFS(I43:I52,$O$43:$O$52,Lister!$D$31,$B$43:$B$52,Lister!$A$45)</f>
        <v>0</v>
      </c>
      <c r="J78" s="100">
        <f>SUMIFS(J43:J52,$O$43:$O$52,Lister!$D$31,$B$43:$B$52,Lister!$A$45)</f>
        <v>0</v>
      </c>
      <c r="K78" s="100">
        <f>SUMIFS(K43:K52,$O$43:$O$52,Lister!$D$31,$B$43:$B$52,Lister!$A$45)</f>
        <v>0</v>
      </c>
      <c r="L78" s="100">
        <f>SUMIFS(L43:L52,$O$43:$O$52,Lister!$D$31,$B$43:$B$52,Lister!$A$45)</f>
        <v>0</v>
      </c>
      <c r="M78" s="71"/>
      <c r="N78" s="71"/>
      <c r="O78" s="87"/>
      <c r="P78" s="87"/>
      <c r="Q78" s="132"/>
      <c r="R78" s="133"/>
      <c r="S78" s="16"/>
      <c r="T78" s="76"/>
      <c r="U78" s="76"/>
      <c r="V78" s="76"/>
      <c r="W78" s="76"/>
      <c r="X78" s="133"/>
      <c r="Y78" s="76"/>
      <c r="Z78" s="76"/>
      <c r="AA78" s="76"/>
      <c r="AB78" s="76"/>
      <c r="AC78" s="133"/>
      <c r="AF78" s="71"/>
      <c r="AG78" s="71"/>
      <c r="AH78" s="71"/>
      <c r="AI78" s="71"/>
      <c r="AJ78" s="71"/>
      <c r="AK78" s="71"/>
      <c r="AL78" s="71"/>
      <c r="AM78" s="71"/>
      <c r="AN78" s="71"/>
      <c r="AO78" s="71"/>
      <c r="AP78" s="71"/>
      <c r="AQ78" s="71"/>
      <c r="AR78" s="70"/>
      <c r="AS78" s="70"/>
    </row>
    <row r="79" spans="1:52" s="9" customFormat="1" ht="15" customHeight="1">
      <c r="A79" s="70"/>
      <c r="B79" s="73"/>
      <c r="C79" s="70"/>
      <c r="D79" s="70"/>
      <c r="E79" s="70"/>
      <c r="F79" s="70"/>
      <c r="G79" s="70"/>
      <c r="H79" s="73"/>
      <c r="I79" s="73"/>
      <c r="J79" s="73"/>
      <c r="K79" s="73"/>
      <c r="L79" s="73"/>
      <c r="M79" s="73"/>
      <c r="N79" s="73"/>
      <c r="O79" s="88"/>
      <c r="P79" s="88"/>
      <c r="Q79" s="152" t="s">
        <v>22</v>
      </c>
      <c r="R79" s="124" t="s">
        <v>34</v>
      </c>
      <c r="S79" s="45">
        <f>+S63</f>
        <v>2026</v>
      </c>
      <c r="T79" s="8">
        <f t="shared" ref="T79:Z79" si="95">+T63</f>
        <v>2027</v>
      </c>
      <c r="U79" s="8">
        <f t="shared" si="95"/>
        <v>2028</v>
      </c>
      <c r="V79" s="8">
        <f t="shared" si="95"/>
        <v>2029</v>
      </c>
      <c r="W79" s="8">
        <f t="shared" si="95"/>
        <v>2030</v>
      </c>
      <c r="X79" s="124">
        <f t="shared" si="95"/>
        <v>2031</v>
      </c>
      <c r="Y79" s="8">
        <f t="shared" si="95"/>
        <v>2032</v>
      </c>
      <c r="Z79" s="8">
        <f t="shared" si="95"/>
        <v>2033</v>
      </c>
      <c r="AA79" s="8">
        <f>+AA63</f>
        <v>2034</v>
      </c>
      <c r="AB79" s="8">
        <f>+AB63</f>
        <v>2035</v>
      </c>
      <c r="AC79" s="124" t="s">
        <v>34</v>
      </c>
      <c r="AF79" s="71"/>
      <c r="AG79" s="71"/>
      <c r="AH79" s="71"/>
      <c r="AI79" s="71"/>
      <c r="AJ79" s="71"/>
      <c r="AK79" s="71"/>
      <c r="AL79" s="71"/>
      <c r="AM79" s="71"/>
      <c r="AN79" s="71"/>
      <c r="AO79" s="71"/>
      <c r="AP79" s="71"/>
      <c r="AQ79" s="71"/>
      <c r="AR79" s="71"/>
      <c r="AS79" s="71"/>
    </row>
    <row r="80" spans="1:52" s="9" customFormat="1" ht="14.25" customHeight="1">
      <c r="A80" s="70"/>
      <c r="B80" s="78"/>
      <c r="C80" s="78"/>
      <c r="D80" s="78"/>
      <c r="E80" s="78"/>
      <c r="F80" s="78"/>
      <c r="G80" s="78"/>
      <c r="H80" s="78"/>
      <c r="I80" s="78"/>
      <c r="J80" s="78"/>
      <c r="K80" s="78"/>
      <c r="L80" s="78"/>
      <c r="M80" s="78"/>
      <c r="N80" s="78"/>
      <c r="O80" s="89"/>
      <c r="P80" s="89"/>
      <c r="Q80" s="147" t="s">
        <v>74</v>
      </c>
      <c r="R80" s="315">
        <f t="shared" ref="R80:R89" si="96">+AC80</f>
        <v>0</v>
      </c>
      <c r="S80" s="316">
        <f>+SUMIF($O$20:$O$39,Lister!$D$29,S20:S39)+SUMIF($O$20:$O$39,Lister!$D$30,S20:S39)</f>
        <v>0</v>
      </c>
      <c r="T80" s="316">
        <f>+SUMIF($O$20:$O$39,Lister!$D$29,T20:T39)+SUMIF($O$20:$O$39,Lister!$D$30,T20:T39)</f>
        <v>0</v>
      </c>
      <c r="U80" s="316">
        <f>+SUMIF($O$20:$O$39,Lister!$D$29,U20:U39)+SUMIF($O$20:$O$39,Lister!$D$30,U20:U39)</f>
        <v>0</v>
      </c>
      <c r="V80" s="316">
        <f>+SUMIF($O$20:$O$39,Lister!$D$29,V20:V39)+SUMIF($O$20:$O$39,Lister!$D$30,V20:V39)</f>
        <v>0</v>
      </c>
      <c r="W80" s="316">
        <f>+SUMIF($O$20:$O$39,Lister!$D$29,W20:W39)+SUMIF($O$20:$O$39,Lister!$D$30,W20:W39)</f>
        <v>0</v>
      </c>
      <c r="X80" s="316">
        <f>+SUMIF($O$20:$O$39,Lister!$D$29,X20:X39)+SUMIF($O$20:$O$39,Lister!$D$30,X20:X39)</f>
        <v>0</v>
      </c>
      <c r="Y80" s="316">
        <f>+SUMIF($O$20:$O$39,Lister!$D$29,Y20:Y39)+SUMIF($O$20:$O$39,Lister!$D$30,Y20:Y39)</f>
        <v>0</v>
      </c>
      <c r="Z80" s="316">
        <f>+SUMIF($O$20:$O$39,Lister!$D$29,Z20:Z39)+SUMIF($O$20:$O$39,Lister!$D$30,Z20:Z39)</f>
        <v>0</v>
      </c>
      <c r="AA80" s="316">
        <f>+SUMIF($O$20:$O$39,Lister!$D$29,AA20:AA39)+SUMIF($O$20:$O$39,Lister!$D$30,AA20:AA39)</f>
        <v>0</v>
      </c>
      <c r="AB80" s="316">
        <f>+SUMIF($O$20:$O$39,Lister!$D$29,AB20:AB39)+SUMIF($O$20:$O$39,Lister!$D$30,AB20:AB39)</f>
        <v>0</v>
      </c>
      <c r="AC80" s="140">
        <f>SUM(S80:AB80)</f>
        <v>0</v>
      </c>
      <c r="AF80" s="71"/>
      <c r="AG80" s="71"/>
      <c r="AH80" s="71"/>
      <c r="AI80" s="71"/>
      <c r="AJ80" s="71"/>
      <c r="AK80" s="71"/>
      <c r="AL80" s="71"/>
      <c r="AM80" s="71"/>
      <c r="AN80" s="71"/>
      <c r="AO80" s="71"/>
      <c r="AP80" s="71"/>
      <c r="AQ80" s="71"/>
      <c r="AR80" s="71"/>
      <c r="AS80" s="71"/>
    </row>
    <row r="81" spans="1:62" ht="14.25" customHeight="1">
      <c r="N81" s="78"/>
      <c r="O81" s="89"/>
      <c r="P81" s="89"/>
      <c r="Q81" s="148" t="s">
        <v>75</v>
      </c>
      <c r="R81" s="309">
        <f t="shared" si="96"/>
        <v>0</v>
      </c>
      <c r="S81" s="310">
        <f>+SUMIF($O$43:$O$55,Lister!$D$29,S43:S55)+SUMIF($O$43:$O$55,Lister!$D$30,S43:S55)</f>
        <v>0</v>
      </c>
      <c r="T81" s="319">
        <f>+SUMIF($O$43:$O$55,Lister!$D$29,T43:T55)+SUMIF($O$43:$O$55,Lister!$D$30,T43:T55)</f>
        <v>0</v>
      </c>
      <c r="U81" s="310">
        <f>+SUMIF($O$43:$O$55,Lister!$D$29,U43:U55)+SUMIF($O$43:$O$55,Lister!$D$30,U43:U55)</f>
        <v>0</v>
      </c>
      <c r="V81" s="319">
        <f>+SUMIF($O$43:$O$55,Lister!$D$29,V43:V55)+SUMIF($O$43:$O$55,Lister!$D$30,V43:V55)</f>
        <v>0</v>
      </c>
      <c r="W81" s="310">
        <f>+SUMIF($O$43:$O$55,Lister!$D$29,W43:W55)+SUMIF($O$43:$O$55,Lister!$D$30,W43:W55)</f>
        <v>0</v>
      </c>
      <c r="X81" s="320">
        <f>+SUMIF($O$43:$O$55,Lister!$D$29,X43:X55)+SUMIF($O$43:$O$55,Lister!$D$30,X43:X55)</f>
        <v>0</v>
      </c>
      <c r="Y81" s="295">
        <f>+SUMIF($O$43:$O$55,Lister!$D$29,Y43:Y55)+SUMIF($O$43:$O$55,Lister!$D$30,Y43:Y55)</f>
        <v>0</v>
      </c>
      <c r="Z81" s="113">
        <f>+SUMIF($O$43:$O$55,Lister!$D$29,Z43:Z55)+SUMIF($O$43:$O$55,Lister!$D$30,Z43:Z55)</f>
        <v>0</v>
      </c>
      <c r="AA81" s="113">
        <f>+SUMIF($O$43:$O$55,Lister!$D$29,AA43:AA55)+SUMIF($O$43:$O$55,Lister!$D$30,AA43:AA55)</f>
        <v>0</v>
      </c>
      <c r="AB81" s="113">
        <f>+SUMIF($O$43:$O$55,Lister!$D$29,AB43:AB55)+SUMIF($O$43:$O$55,Lister!$D$30,AB43:AB55)</f>
        <v>0</v>
      </c>
      <c r="AC81" s="141">
        <f t="shared" ref="AC81:AC89" si="97">SUM(S81:AB81)</f>
        <v>0</v>
      </c>
      <c r="AF81" s="71"/>
      <c r="AG81" s="71"/>
      <c r="AH81" s="71"/>
      <c r="AI81" s="71"/>
      <c r="AJ81" s="71"/>
      <c r="AK81" s="71"/>
      <c r="AL81" s="71"/>
      <c r="AM81" s="71"/>
      <c r="AN81" s="71"/>
      <c r="AO81" s="71"/>
      <c r="AP81" s="71"/>
      <c r="AQ81" s="71"/>
      <c r="AR81" s="70"/>
      <c r="AS81" s="70"/>
    </row>
    <row r="82" spans="1:62" s="14" customFormat="1" ht="14.25" customHeight="1">
      <c r="N82" s="70"/>
      <c r="O82" s="85"/>
      <c r="P82" s="85"/>
      <c r="Q82" s="149" t="s">
        <v>76</v>
      </c>
      <c r="R82" s="312">
        <f t="shared" si="96"/>
        <v>0</v>
      </c>
      <c r="S82" s="313">
        <f t="shared" ref="S82:AB82" si="98">+SUM(S80:S81)</f>
        <v>0</v>
      </c>
      <c r="T82" s="313">
        <f t="shared" si="98"/>
        <v>0</v>
      </c>
      <c r="U82" s="313">
        <f t="shared" si="98"/>
        <v>0</v>
      </c>
      <c r="V82" s="313">
        <f t="shared" si="98"/>
        <v>0</v>
      </c>
      <c r="W82" s="313">
        <f t="shared" si="98"/>
        <v>0</v>
      </c>
      <c r="X82" s="314">
        <f t="shared" si="98"/>
        <v>0</v>
      </c>
      <c r="Y82" s="142">
        <f t="shared" si="98"/>
        <v>0</v>
      </c>
      <c r="Z82" s="137">
        <f t="shared" si="98"/>
        <v>0</v>
      </c>
      <c r="AA82" s="137">
        <f t="shared" si="98"/>
        <v>0</v>
      </c>
      <c r="AB82" s="137">
        <f t="shared" si="98"/>
        <v>0</v>
      </c>
      <c r="AC82" s="138">
        <f t="shared" si="97"/>
        <v>0</v>
      </c>
      <c r="AF82" s="71"/>
      <c r="AG82" s="71"/>
      <c r="AH82" s="71"/>
      <c r="AI82" s="71"/>
      <c r="AJ82" s="71"/>
      <c r="AK82" s="71"/>
      <c r="AL82" s="71"/>
      <c r="AM82" s="71"/>
      <c r="AN82" s="71"/>
      <c r="AO82" s="71"/>
      <c r="AP82" s="71"/>
      <c r="AQ82" s="71"/>
      <c r="AR82" s="79"/>
      <c r="AS82" s="79"/>
    </row>
    <row r="83" spans="1:62" ht="14.25" customHeight="1">
      <c r="N83" s="70"/>
      <c r="O83" s="85"/>
      <c r="P83" s="85"/>
      <c r="Q83" s="149" t="s">
        <v>77</v>
      </c>
      <c r="R83" s="312">
        <f t="shared" si="96"/>
        <v>0</v>
      </c>
      <c r="S83" s="313">
        <f>+SUMIF($O$62:$O$74,Lister!$D$29,C62:C74)+SUMIF($O$62:$O$74,Lister!$D$30,C62:C74)-SUMIFS(C62:C74,$O$62:$O$74,Lister!$D$29,$A$62:$A$74,Lister!$M$9)-SUMIFS(C62:C74,$O$62:$O$74,Lister!$D$30,$A$62:$A$74,Lister!$M$9)</f>
        <v>0</v>
      </c>
      <c r="T83" s="313">
        <f>+SUMIF($O$62:$O$74,Lister!$D$29,D62:D74)+SUMIF($O$62:$O$74,Lister!$D$30,D62:D74)-SUMIFS(D62:D74,$O$62:$O$74,Lister!$D$29,$A$62:$A$74,Lister!$M$9)-SUMIFS(D62:D74,$O$62:$O$74,Lister!$D$30,$A$62:$A$74,Lister!$M$9)</f>
        <v>0</v>
      </c>
      <c r="U83" s="313">
        <f>+SUMIF($O$62:$O$74,Lister!$D$29,E62:E74)+SUMIF($O$62:$O$74,Lister!$D$30,E62:E74)-SUMIFS(E62:E74,$O$62:$O$74,Lister!$D$29,$A$62:$A$74,Lister!$M$9)-SUMIFS(E62:E74,$O$62:$O$74,Lister!$D$30,$A$62:$A$74,Lister!$M$9)</f>
        <v>0</v>
      </c>
      <c r="V83" s="313">
        <f>+SUMIF($O$62:$O$74,Lister!$D$29,F62:F74)+SUMIF($O$62:$O$74,Lister!$D$30,F62:F74)-SUMIFS(F62:F74,$O$62:$O$74,Lister!$D$29,$A$62:$A$74,Lister!$M$9)-SUMIFS(F62:F74,$O$62:$O$74,Lister!$D$30,$A$62:$A$74,Lister!$M$9)</f>
        <v>0</v>
      </c>
      <c r="W83" s="313">
        <f>+SUMIF($O$62:$O$74,Lister!$D$29,G62:G74)+SUMIF($O$62:$O$74,Lister!$D$30,G62:G74)-SUMIFS(G62:G74,$O$62:$O$74,Lister!$D$29,$A$62:$A$74,Lister!$M$9)-SUMIFS(G62:G74,$O$62:$O$74,Lister!$D$30,$A$62:$A$74,Lister!$M$9)</f>
        <v>0</v>
      </c>
      <c r="X83" s="314">
        <f>+SUMIF($O$62:$O$74,Lister!$D$29,H62:H74)+SUMIF($O$62:$O$74,Lister!$D$30,H62:H74)-SUMIFS(H62:H74,$O$62:$O$74,Lister!$D$29,$A$62:$A$74,Lister!$M$9)-SUMIFS(H62:H74,$O$62:$O$74,Lister!$D$30,$A$62:$A$74,Lister!$M$9)</f>
        <v>0</v>
      </c>
      <c r="Y83" s="296">
        <f>+SUMIF($O$62:$O$74,Lister!$D$29,I62:I74)+SUMIF($O$62:$O$74,Lister!$D$30,I62:I74)-SUMIFS(I62:I74,$O$62:$O$74,Lister!$D$29,$A$62:$A$74,Lister!$M$9)-SUMIFS(I62:I74,$O$62:$O$74,Lister!$D$30,$A$62:$A$74,Lister!$M$9)</f>
        <v>0</v>
      </c>
      <c r="Z83" s="137">
        <f>+SUMIF($O$62:$O$74,Lister!$D$29,J62:J74)+SUMIF($O$62:$O$74,Lister!$D$30,J62:J74)-SUMIFS(J62:J74,$O$62:$O$74,Lister!$D$29,$A$62:$A$74,Lister!$M$9)-SUMIFS(J62:J74,$O$62:$O$74,Lister!$D$30,$A$62:$A$74,Lister!$M$9)</f>
        <v>0</v>
      </c>
      <c r="AA83" s="137">
        <f>+SUMIF($O$62:$O$74,Lister!$D$29,K62:K74)+SUMIF($O$62:$O$74,Lister!$D$30,K62:K74)-SUMIFS(K62:K74,$O$62:$O$74,Lister!$D$29,$A$62:$A$74,Lister!$M$9)-SUMIFS(K62:K74,$O$62:$O$74,Lister!$D$30,$A$62:$A$74,Lister!$M$9)</f>
        <v>0</v>
      </c>
      <c r="AB83" s="137">
        <f>+SUMIF($O$62:$O$74,Lister!$D$29,L62:L74)+SUMIF($O$62:$O$74,Lister!$D$30,L62:L74)-SUMIFS(L62:L74,$O$62:$O$74,Lister!$D$29,$A$62:$A$74,Lister!$M$9)-SUMIFS(L62:L74,$O$62:$O$74,Lister!$D$30,$A$62:$A$74,Lister!$M$9)</f>
        <v>0</v>
      </c>
      <c r="AC83" s="138">
        <f t="shared" si="97"/>
        <v>0</v>
      </c>
      <c r="AF83" s="70"/>
      <c r="AG83" s="70"/>
      <c r="AH83" s="70"/>
      <c r="AI83" s="70"/>
      <c r="AJ83" s="70"/>
      <c r="AK83" s="70"/>
      <c r="AL83" s="70"/>
      <c r="AM83" s="70"/>
      <c r="AN83" s="70"/>
      <c r="AO83" s="70"/>
      <c r="AP83" s="70"/>
      <c r="AQ83" s="70"/>
      <c r="AR83" s="70"/>
      <c r="AS83" s="70"/>
    </row>
    <row r="84" spans="1:62" s="9" customFormat="1" ht="14.25" customHeight="1">
      <c r="N84" s="79"/>
      <c r="O84" s="90"/>
      <c r="P84" s="90"/>
      <c r="Q84" s="149" t="s">
        <v>78</v>
      </c>
      <c r="R84" s="312">
        <f t="shared" si="96"/>
        <v>0</v>
      </c>
      <c r="S84" s="313">
        <f t="shared" ref="S84:AB84" si="99">+S82+S83</f>
        <v>0</v>
      </c>
      <c r="T84" s="313">
        <f t="shared" si="99"/>
        <v>0</v>
      </c>
      <c r="U84" s="313">
        <f t="shared" si="99"/>
        <v>0</v>
      </c>
      <c r="V84" s="313">
        <f t="shared" si="99"/>
        <v>0</v>
      </c>
      <c r="W84" s="313">
        <f t="shared" si="99"/>
        <v>0</v>
      </c>
      <c r="X84" s="314">
        <f t="shared" si="99"/>
        <v>0</v>
      </c>
      <c r="Y84" s="296">
        <f t="shared" si="99"/>
        <v>0</v>
      </c>
      <c r="Z84" s="137">
        <f t="shared" si="99"/>
        <v>0</v>
      </c>
      <c r="AA84" s="137">
        <f t="shared" si="99"/>
        <v>0</v>
      </c>
      <c r="AB84" s="137">
        <f t="shared" si="99"/>
        <v>0</v>
      </c>
      <c r="AC84" s="138">
        <f t="shared" si="97"/>
        <v>0</v>
      </c>
      <c r="AF84" s="79"/>
      <c r="AG84" s="79"/>
      <c r="AH84" s="79"/>
      <c r="AI84" s="79"/>
      <c r="AJ84" s="79"/>
      <c r="AK84" s="79"/>
      <c r="AL84" s="79"/>
      <c r="AM84" s="79"/>
      <c r="AN84" s="79"/>
      <c r="AO84" s="79"/>
      <c r="AP84" s="79"/>
      <c r="AQ84" s="79"/>
      <c r="AR84" s="71"/>
      <c r="AS84" s="71"/>
    </row>
    <row r="85" spans="1:62" ht="14.25" customHeight="1">
      <c r="N85" s="70"/>
      <c r="O85" s="85"/>
      <c r="P85" s="85"/>
      <c r="Q85" s="150" t="s">
        <v>0</v>
      </c>
      <c r="R85" s="312">
        <f t="shared" si="96"/>
        <v>0</v>
      </c>
      <c r="S85" s="153">
        <f>IF($C$12=2,S82*$C$6/100,
IF($G$6=Lister!$D$4,S82*$C$6/100,
IF($G$6=Lister!$D$5,S84*$C$6/100,
IF($G$6=Lister!$D$6,(S84-SUMIFS(C62:C74,$O$62:$O$74,Lister!$D$29,$A$62:$A$74,Lister!$M$10)-SUMIFS(C62:C74,$O$62:$O$74,Lister!$D$30,$A$62:$A$74,Lister!$M$10))*$C$6/100,
IF($G$6=Lister!$D$7,(S84-SUMIFS(C62:C74,$O$62:$O$74,Lister!$D$29,$A$62:$A$74,Lister!$M$10)-SUMIFS(C62:C74,$O$62:$O$74,Lister!$D$30,$A$62:$A$74,Lister!$M$10)-SUMIFS(C62:C74,$O$62:$O$74,Lister!$D$29,$A$62:$A$74,Lister!$M$7)-SUMIFS(C62:C74,$O$62:$O$74,Lister!$D$30,$A$62:$A$74,Lister!$M$7))*$C$6/100,
IF($G$6=Lister!$D$8,(S84+S86)*$C$6/100,
IF($G$6=Lister!$D$9,S83*$C$6/100,0)))))))</f>
        <v>0</v>
      </c>
      <c r="T85" s="323">
        <f>IF($C$12=2,T82*$C$6/100,
IF($G$6=Lister!$D$4,T82*$C$6/100,
IF($G$6=Lister!$D$5,T84*$C$6/100,
IF($G$6=Lister!$D$6,(T84-SUMIFS(D62:D74,$O$62:$O$74,Lister!$D$29,$A$62:$A$74,Lister!$M$10)-SUMIFS(D62:D74,$O$62:$O$74,Lister!$D$30,$A$62:$A$74,Lister!$M$10))*$C$6/100,
IF($G$6=Lister!$D$7,(T84-SUMIFS(D62:D74,$O$62:$O$74,Lister!$D$29,$A$62:$A$74,Lister!$M$10)-SUMIFS(D62:D74,$O$62:$O$74,Lister!$D$30,$A$62:$A$74,Lister!$M$10)-SUMIFS(D62:D74,$O$62:$O$74,Lister!$D$29,$A$62:$A$74,Lister!$M$7)-SUMIFS(D62:D74,$O$62:$O$74,Lister!$D$30,$A$62:$A$74,Lister!$M$7))*$C$6/100,
IF($G$6=Lister!$D$8,(T84+T86)*$C$6/100,
IF($G$6=Lister!$D$9,T83*$C$6/100,0)))))))</f>
        <v>0</v>
      </c>
      <c r="U85" s="323">
        <f>IF($C$12=2,U82*$C$6/100,
IF($G$6=Lister!$D$4,U82*$C$6/100,
IF($G$6=Lister!$D$5,U84*$C$6/100,
IF($G$6=Lister!$D$6,(U84-SUMIFS(E62:E74,$O$62:$O$74,Lister!$D$29,$A$62:$A$74,Lister!$M$10)-SUMIFS(E62:E74,$O$62:$O$74,Lister!$D$30,$A$62:$A$74,Lister!$M$10))*$C$6/100,
IF($G$6=Lister!$D$7,(U84-SUMIFS(E62:E74,$O$62:$O$74,Lister!$D$29,$A$62:$A$74,Lister!$M$10)-SUMIFS(E62:E74,$O$62:$O$74,Lister!$D$30,$A$62:$A$74,Lister!$M$10)-SUMIFS(E62:E74,$O$62:$O$74,Lister!$D$29,$A$62:$A$74,Lister!$M$7)-SUMIFS(E62:E74,$O$62:$O$74,Lister!$D$30,$A$62:$A$74,Lister!$M$7))*$C$6/100,
IF($G$6=Lister!$D$8,(U84+U86)*$C$6/100,
IF($G$6=Lister!$D$9,U83*$C$6/100,0)))))))</f>
        <v>0</v>
      </c>
      <c r="V85" s="323">
        <f>IF($C$12=2,V82*$C$6/100,
IF($G$6=Lister!$D$4,V82*$C$6/100,
IF($G$6=Lister!$D$5,V84*$C$6/100,
IF($G$6=Lister!$D$6,(V84-SUMIFS(F62:F74,$O$62:$O$74,Lister!$D$29,$A$62:$A$74,Lister!$M$10)-SUMIFS(F62:F74,$O$62:$O$74,Lister!$D$30,$A$62:$A$74,Lister!$M$10))*$C$6/100,
IF($G$6=Lister!$D$7,(V84-SUMIFS(F62:F74,$O$62:$O$74,Lister!$D$29,$A$62:$A$74,Lister!$M$10)-SUMIFS(F62:F74,$O$62:$O$74,Lister!$D$30,$A$62:$A$74,Lister!$M$10)-SUMIFS(F62:F74,$O$62:$O$74,Lister!$D$29,$A$62:$A$74,Lister!$M$7)-SUMIFS(F62:F74,$O$62:$O$74,Lister!$D$30,$A$62:$A$74,Lister!$M$7))*$C$6/100,
IF($G$6=Lister!$D$8,(V84+V86)*$C$6/100,
IF($G$6=Lister!$D$9,V83*$C$6/100,0)))))))</f>
        <v>0</v>
      </c>
      <c r="W85" s="323">
        <f>IF($C$12=2,W82*$C$6/100,
IF($G$6=Lister!$D$4,W82*$C$6/100,
IF($G$6=Lister!$D$5,W84*$C$6/100,
IF($G$6=Lister!$D$6,(W84-SUMIFS(G62:G74,$O$62:$O$74,Lister!$D$29,$A$62:$A$74,Lister!$M$10)-SUMIFS(G62:G74,$O$62:$O$74,Lister!$D$30,$A$62:$A$74,Lister!$M$10))*$C$6/100,
IF($G$6=Lister!$D$7,(W84-SUMIFS(G62:G74,$O$62:$O$74,Lister!$D$29,$A$62:$A$74,Lister!$M$10)-SUMIFS(G62:G74,$O$62:$O$74,Lister!$D$30,$A$62:$A$74,Lister!$M$10)-SUMIFS(G62:G74,$O$62:$O$74,Lister!$D$29,$A$62:$A$74,Lister!$M$7)-SUMIFS(G62:G74,$O$62:$O$74,Lister!$D$30,$A$62:$A$74,Lister!$M$7))*$C$6/100,
IF($G$6=Lister!$D$8,(W84+W86)*$C$6/100,
IF($G$6=Lister!$D$9,W83*$C$6/100,0)))))))</f>
        <v>0</v>
      </c>
      <c r="X85" s="324">
        <f>IF($C$12=2,X82*$C$6/100,
IF($G$6=Lister!$D$4,X82*$C$6/100,
IF($G$6=Lister!$D$5,X84*$C$6/100,
IF($G$6=Lister!$D$6,(X84-SUMIFS(H62:H74,$O$62:$O$74,Lister!$D$29,$A$62:$A$74,Lister!$M$10)-SUMIFS(H62:H74,$O$62:$O$74,Lister!$D$30,$A$62:$A$74,Lister!$M$10))*$C$6/100,
IF($G$6=Lister!$D$7,(X84-SUMIFS(H62:H74,$O$62:$O$74,Lister!$D$29,$A$62:$A$74,Lister!$M$10)-SUMIFS(H62:H74,$O$62:$O$74,Lister!$D$30,$A$62:$A$74,Lister!$M$10)-SUMIFS(H62:H74,$O$62:$O$74,Lister!$D$29,$A$62:$A$74,Lister!$M$7)-SUMIFS(H62:H74,$O$62:$O$74,Lister!$D$30,$A$62:$A$74,Lister!$M$7))*$C$6/100,
IF($G$6=Lister!$D$8,(X84+X86)*$C$6/100,
IF($G$6=Lister!$D$9,X83*$C$6/100,0)))))))</f>
        <v>0</v>
      </c>
      <c r="Y85" s="205">
        <f>IF($C$12=2,Y82*$C$6/100,
IF($G$6=Lister!$D$4,Y82*$C$6/100,
IF($G$6=Lister!$D$5,Y84*$C$6/100,
IF($G$6=Lister!$D$6,(Y84-SUMIFS(I62:I74,$O$62:$O$74,Lister!$D$29,$A$62:$A$74,Lister!$M$10)-SUMIFS(I62:I74,$O$62:$O$74,Lister!$D$30,$A$62:$A$74,Lister!$M$10))*$C$6/100,
IF($G$6=Lister!$D$7,(Y84-SUMIFS(I62:I74,$O$62:$O$74,Lister!$D$29,$A$62:$A$74,Lister!$M$10)-SUMIFS(I62:I74,$O$62:$O$74,Lister!$D$30,$A$62:$A$74,Lister!$M$10)-SUMIFS(I62:I74,$O$62:$O$74,Lister!$D$29,$A$62:$A$74,Lister!$M$7)-SUMIFS(I62:I74,$O$62:$O$74,Lister!$D$30,$A$62:$A$74,Lister!$M$7))*$C$6/100,
IF($G$6=Lister!$D$8,(Y84+Y86)*$C$6/100,
IF($G$6=Lister!$D$9,Y83*$C$6/100,0)))))))</f>
        <v>0</v>
      </c>
      <c r="Z85" s="204">
        <f>IF($C$12=2,Z82*$C$6/100,
IF($G$6=Lister!$D$4,Z82*$C$6/100,
IF($G$6=Lister!$D$5,Z84*$C$6/100,
IF($G$6=Lister!$D$6,(Z84-SUMIFS(J62:J74,$O$62:$O$74,Lister!$D$29,$A$62:$A$74,Lister!$M$10)-SUMIFS(J62:J74,$O$62:$O$74,Lister!$D$30,$A$62:$A$74,Lister!$M$10))*$C$6/100,
IF($G$6=Lister!$D$7,(Z84-SUMIFS(J62:J74,$O$62:$O$74,Lister!$D$29,$A$62:$A$74,Lister!$M$10)-SUMIFS(J62:J74,$O$62:$O$74,Lister!$D$30,$A$62:$A$74,Lister!$M$10)-SUMIFS(J62:J74,$O$62:$O$74,Lister!$D$29,$A$62:$A$74,Lister!$M$7)-SUMIFS(J62:J74,$O$62:$O$74,Lister!$D$30,$A$62:$A$74,Lister!$M$7))*$C$6/100,
IF($G$6=Lister!$D$8,(Z84+Z86)*$C$6/100,
IF($G$6=Lister!$D$9,Z83*$C$6/100,0)))))))</f>
        <v>0</v>
      </c>
      <c r="AA85" s="204">
        <f>IF($C$12=2,AA82*$C$6/100,
IF($G$6=Lister!$D$4,AA82*$C$6/100,
IF($G$6=Lister!$D$5,AA84*$C$6/100,
IF($G$6=Lister!$D$6,(AA84-SUMIFS(K62:K74,$O$62:$O$74,Lister!$D$29,$A$62:$A$74,Lister!$M$10)-SUMIFS(K62:K74,$O$62:$O$74,Lister!$D$30,$A$62:$A$74,Lister!$M$10))*$C$6/100,
IF($G$6=Lister!$D$7,(AA84-SUMIFS(K62:K74,$O$62:$O$74,Lister!$D$29,$A$62:$A$74,Lister!$M$10)-SUMIFS(K62:K74,$O$62:$O$74,Lister!$D$30,$A$62:$A$74,Lister!$M$10)-SUMIFS(K62:K74,$O$62:$O$74,Lister!$D$29,$A$62:$A$74,Lister!$M$7)-SUMIFS(K62:K74,$O$62:$O$74,Lister!$D$30,$A$62:$A$74,Lister!$M$7))*$C$6/100,
IF($G$6=Lister!$D$8,(AA84+AA86)*$C$6/100,
IF($G$6=Lister!$D$9,AA83*$C$6/100,0)))))))</f>
        <v>0</v>
      </c>
      <c r="AB85" s="204">
        <f>IF($C$12=2,AB82*$C$6/100,
IF($G$6=Lister!$D$4,AB82*$C$6/100,
IF($G$6=Lister!$D$5,AB84*$C$6/100,
IF($G$6=Lister!$D$6,(AB84-SUMIFS(L62:L74,$O$62:$O$74,Lister!$D$29,$A$62:$A$74,Lister!$M$10)-SUMIFS(L62:L74,$O$62:$O$74,Lister!$D$30,$A$62:$A$74,Lister!$M$10))*$C$6/100,
IF($G$6=Lister!$D$7,(AB84-SUMIFS(L62:L74,$O$62:$O$74,Lister!$D$29,$A$62:$A$74,Lister!$M$10)-SUMIFS(L62:L74,$O$62:$O$74,Lister!$D$30,$A$62:$A$74,Lister!$M$10)-SUMIFS(L62:L74,$O$62:$O$74,Lister!$D$29,$A$62:$A$74,Lister!$M$7)-SUMIFS(L62:L74,$O$62:$O$74,Lister!$D$30,$A$62:$A$74,Lister!$M$7))*$C$6/100,
IF($G$6=Lister!$D$8,(AB84+AB86)*$C$6/100,
IF($G$6=Lister!$D$9,AB83*$C$6/100,0)))))))</f>
        <v>0</v>
      </c>
      <c r="AC85" s="138">
        <f t="shared" si="97"/>
        <v>0</v>
      </c>
      <c r="AF85" s="70"/>
      <c r="AG85" s="70"/>
      <c r="AH85" s="70"/>
      <c r="AI85" s="70"/>
      <c r="AJ85" s="70"/>
      <c r="AK85" s="70"/>
      <c r="AL85" s="70"/>
      <c r="AM85" s="70"/>
      <c r="AN85" s="70"/>
      <c r="AO85" s="70"/>
      <c r="AP85" s="70"/>
      <c r="AQ85" s="70"/>
      <c r="AR85" s="70"/>
      <c r="AS85" s="70"/>
    </row>
    <row r="86" spans="1:62" s="9" customFormat="1" ht="14.25" customHeight="1">
      <c r="N86" s="71"/>
      <c r="O86" s="87"/>
      <c r="P86" s="87"/>
      <c r="Q86" s="151" t="s">
        <v>103</v>
      </c>
      <c r="R86" s="312">
        <f t="shared" si="96"/>
        <v>0</v>
      </c>
      <c r="S86" s="153">
        <f>+IF($C$8=Lister!$O$5,(SUMIF($O$20:$O$29,Lister!$D$29,C20:C29)+SUMIF($O$20:$O$29,Lister!$D$30,C20:C29))*Takstblad!C$84,0)</f>
        <v>0</v>
      </c>
      <c r="T86" s="153">
        <f>+IF($C$8=Lister!$O$5,(SUMIF($O$20:$O$29,Lister!$D$29,D20:D29)+SUMIF($O$20:$O$29,Lister!$D$30,D20:D29))*Takstblad!D$84,0)</f>
        <v>0</v>
      </c>
      <c r="U86" s="153">
        <f>+IF($C$8=Lister!$O$5,(SUMIF($O$20:$O$29,Lister!$D$29,E20:E29)+SUMIF($O$20:$O$29,Lister!$D$30,E20:E29))*Takstblad!E$84,0)</f>
        <v>0</v>
      </c>
      <c r="V86" s="153">
        <f>+IF($C$8=Lister!$O$5,(SUMIF($O$20:$O$29,Lister!$D$29,F20:F29)+SUMIF($O$20:$O$29,Lister!$D$30,F20:F29))*Takstblad!F$84,0)</f>
        <v>0</v>
      </c>
      <c r="W86" s="153">
        <f>+IF($C$8=Lister!$O$5,(SUMIF($O$20:$O$29,Lister!$D$29,G20:G29)+SUMIF($O$20:$O$29,Lister!$D$30,G20:G29))*Takstblad!G$84,0)</f>
        <v>0</v>
      </c>
      <c r="X86" s="300">
        <f>+IF($C$8=Lister!$O$5,(SUMIF($O$20:$O$29,Lister!$D$29,H20:H29)+SUMIF($O$20:$O$29,Lister!$D$30,H20:H29))*Takstblad!H$84,0)</f>
        <v>0</v>
      </c>
      <c r="Y86" s="110">
        <f>+IF($C$8=Lister!$O$5,(SUMIF($O$20:$O$29,Lister!$D$29,I20:I29)+SUMIF($O$20:$O$29,Lister!$D$30,I20:I29))*Takstblad!I$84,0)</f>
        <v>0</v>
      </c>
      <c r="Z86" s="21">
        <f>+IF($C$8=Lister!$O$5,(SUMIF($O$20:$O$29,Lister!$D$29,J20:J29)+SUMIF($O$20:$O$29,Lister!$D$30,J20:J29))*Takstblad!J$84,0)</f>
        <v>0</v>
      </c>
      <c r="AA86" s="21">
        <f>+IF($C$8=Lister!$O$5,(SUMIF($O$20:$O$29,Lister!$D$29,K20:K29)+SUMIF($O$20:$O$29,Lister!$D$30,K20:K29))*Takstblad!K$84,0)</f>
        <v>0</v>
      </c>
      <c r="AB86" s="21">
        <f>+IF($C$8=Lister!$O$5,(SUMIF($O$20:$O$29,Lister!$D$29,L20:L29)+SUMIF($O$20:$O$29,Lister!$D$30,L20:L29))*Takstblad!L$84,0)</f>
        <v>0</v>
      </c>
      <c r="AC86" s="138">
        <f t="shared" si="97"/>
        <v>0</v>
      </c>
      <c r="AF86" s="71"/>
      <c r="AG86" s="71"/>
      <c r="AH86" s="71"/>
      <c r="AI86" s="71"/>
      <c r="AJ86" s="71"/>
      <c r="AK86" s="71"/>
      <c r="AL86" s="71"/>
      <c r="AM86" s="71"/>
      <c r="AN86" s="71"/>
      <c r="AO86" s="71"/>
      <c r="AP86" s="71"/>
      <c r="AQ86" s="71"/>
      <c r="AR86" s="71"/>
      <c r="AS86" s="71"/>
    </row>
    <row r="87" spans="1:62" s="9" customFormat="1" ht="14.25" customHeight="1">
      <c r="N87" s="70"/>
      <c r="O87" s="85"/>
      <c r="P87" s="85"/>
      <c r="Q87" s="151" t="s">
        <v>108</v>
      </c>
      <c r="R87" s="312">
        <f t="shared" si="96"/>
        <v>0</v>
      </c>
      <c r="S87" s="153">
        <f>+IF($C$8="Project-Supplement",((
SUMIFS(C20:C39,$O$20:$O$39,Lister!$D$30,$A$20:$A$39,Lister!$A$21)
+SUMIFS(C20:C39,$O$20:$O$39,Lister!$D$30,$A$20:$A$39,Lister!$A$31)
+SUMIFS(C20:C39,$O$20:$O$39,Lister!$D$30,$A$20:$A$39,Lister!$A$32)
+SUMIFS(C20:C39,$O$20:$O$39,Lister!$D$30,$A$20:$A$39,Lister!$A$22)
+SUMIFS(C20:C39,$O$20:$O$39,Lister!$D$30,$A$20:$A$39,Lister!$A$23)
+SUMIFS(C20:C39,$O$20:$O$39,Lister!$D$30,$A$20:$A$39,Lister!$A$20)
+SUMIFS(C20:C39,$O$20:$O$39,Lister!$D$30,$A$20:$A$39,Lister!$A$34)
+SUMIFS(C20:C39,$O$20:$O$39,Lister!$D$30,$A$20:$A$39,Lister!$A$33)
+SUMIFS(C20:C39,$O$20:$O$39,Lister!$D$29,$A$20:$A$39,Lister!$A$21)
+SUMIFS(C20:C39,$O$20:$O$39,Lister!$D$29,$A$20:$A$39,Lister!$A$31)
+SUMIFS(C20:C39,$O$20:$O$39,Lister!$D$29,$A$20:$A$39,Lister!$A$32)
+SUMIFS(C20:C39,$O$20:$O$39,Lister!$D$29,$A$20:$A$39,Lister!$A$22)
+SUMIFS(C20:C39,$O$20:$O$39,Lister!$D$29,$A$20:$A$39,Lister!$A$23)
+SUMIFS(C20:C39,$O$20:$O$39,Lister!$D$29,$A$20:$A$39,Lister!$A$20)
+SUMIFS(C20:C39,$O$20:$O$39,Lister!$D$29,$A$20:$A$39,Lister!$A$34)
+SUMIFS(C20:C39,$O$20:$O$39,Lister!$D$29,$A$20:$A$39,Lister!$A$33))
/12)*Takstblad!C$85,0)</f>
        <v>0</v>
      </c>
      <c r="T87" s="155">
        <f>+IF($C$8="Project-Supplement",((
SUMIFS(D20:D39,$O$20:$O$39,Lister!$D$30,$A$20:$A$39,Lister!$A$21)
+SUMIFS(D20:D39,$O$20:$O$39,Lister!$D$30,$A$20:$A$39,Lister!$A$31)
+SUMIFS(D20:D39,$O$20:$O$39,Lister!$D$30,$A$20:$A$39,Lister!$A$32)
+SUMIFS(D20:D39,$O$20:$O$39,Lister!$D$30,$A$20:$A$39,Lister!$A$22)
+SUMIFS(D20:D39,$O$20:$O$39,Lister!$D$30,$A$20:$A$39,Lister!$A$23)
+SUMIFS(D20:D39,$O$20:$O$39,Lister!$D$30,$A$20:$A$39,Lister!$A$20)
+SUMIFS(D20:D39,$O$20:$O$39,Lister!$D$30,$A$20:$A$39,Lister!$A$34)
+SUMIFS(D20:D39,$O$20:$O$39,Lister!$D$30,$A$20:$A$39,Lister!$A$33)
+SUMIFS(D20:D39,$O$20:$O$39,Lister!$D$29,$A$20:$A$39,Lister!$A$21)
+SUMIFS(D20:D39,$O$20:$O$39,Lister!$D$29,$A$20:$A$39,Lister!$A$31)
+SUMIFS(D20:D39,$O$20:$O$39,Lister!$D$29,$A$20:$A$39,Lister!$A$32)
+SUMIFS(D20:D39,$O$20:$O$39,Lister!$D$29,$A$20:$A$39,Lister!$A$22)
+SUMIFS(D20:D39,$O$20:$O$39,Lister!$D$29,$A$20:$A$39,Lister!$A$23)
+SUMIFS(D20:D39,$O$20:$O$39,Lister!$D$29,$A$20:$A$39,Lister!$A$20)
+SUMIFS(D20:D39,$O$20:$O$39,Lister!$D$29,$A$20:$A$39,Lister!$A$34)
+SUMIFS(D20:D39,$O$20:$O$39,Lister!$D$29,$A$20:$A$39,Lister!$A$33))
/12)*Takstblad!D$85,0)</f>
        <v>0</v>
      </c>
      <c r="U87" s="155">
        <f>+IF($C$8="Project-Supplement",((
SUMIFS(E20:E39,$O$20:$O$39,Lister!$D$30,$A$20:$A$39,Lister!$A$21)
+SUMIFS(E20:E39,$O$20:$O$39,Lister!$D$30,$A$20:$A$39,Lister!$A$31)
+SUMIFS(E20:E39,$O$20:$O$39,Lister!$D$30,$A$20:$A$39,Lister!$A$32)
+SUMIFS(E20:E39,$O$20:$O$39,Lister!$D$30,$A$20:$A$39,Lister!$A$22)
+SUMIFS(E20:E39,$O$20:$O$39,Lister!$D$30,$A$20:$A$39,Lister!$A$23)
+SUMIFS(E20:E39,$O$20:$O$39,Lister!$D$30,$A$20:$A$39,Lister!$A$20)
+SUMIFS(E20:E39,$O$20:$O$39,Lister!$D$30,$A$20:$A$39,Lister!$A$34)
+SUMIFS(E20:E39,$O$20:$O$39,Lister!$D$30,$A$20:$A$39,Lister!$A$33)
+SUMIFS(E20:E39,$O$20:$O$39,Lister!$D$29,$A$20:$A$39,Lister!$A$21)
+SUMIFS(E20:E39,$O$20:$O$39,Lister!$D$29,$A$20:$A$39,Lister!$A$31)
+SUMIFS(E20:E39,$O$20:$O$39,Lister!$D$29,$A$20:$A$39,Lister!$A$32)
+SUMIFS(E20:E39,$O$20:$O$39,Lister!$D$29,$A$20:$A$39,Lister!$A$22)
+SUMIFS(E20:E39,$O$20:$O$39,Lister!$D$29,$A$20:$A$39,Lister!$A$23)
+SUMIFS(E20:E39,$O$20:$O$39,Lister!$D$29,$A$20:$A$39,Lister!$A$20)
+SUMIFS(E20:E39,$O$20:$O$39,Lister!$D$29,$A$20:$A$39,Lister!$A$34)
+SUMIFS(E20:E39,$O$20:$O$39,Lister!$D$29,$A$20:$A$39,Lister!$A$33))
/12)*Takstblad!E$85,0)</f>
        <v>0</v>
      </c>
      <c r="V87" s="155">
        <f>+IF($C$8="Project-Supplement",((
SUMIFS(F20:F39,$O$20:$O$39,Lister!$D$30,$A$20:$A$39,Lister!$A$21)
+SUMIFS(F20:F39,$O$20:$O$39,Lister!$D$30,$A$20:$A$39,Lister!$A$31)
+SUMIFS(F20:F39,$O$20:$O$39,Lister!$D$30,$A$20:$A$39,Lister!$A$32)
+SUMIFS(F20:F39,$O$20:$O$39,Lister!$D$30,$A$20:$A$39,Lister!$A$22)
+SUMIFS(F20:F39,$O$20:$O$39,Lister!$D$30,$A$20:$A$39,Lister!$A$23)
+SUMIFS(F20:F39,$O$20:$O$39,Lister!$D$30,$A$20:$A$39,Lister!$A$20)
+SUMIFS(F20:F39,$O$20:$O$39,Lister!$D$30,$A$20:$A$39,Lister!$A$34)
+SUMIFS(F20:F39,$O$20:$O$39,Lister!$D$30,$A$20:$A$39,Lister!$A$33)
+SUMIFS(F20:F39,$O$20:$O$39,Lister!$D$29,$A$20:$A$39,Lister!$A$21)
+SUMIFS(F20:F39,$O$20:$O$39,Lister!$D$29,$A$20:$A$39,Lister!$A$31)
+SUMIFS(F20:F39,$O$20:$O$39,Lister!$D$29,$A$20:$A$39,Lister!$A$32)
+SUMIFS(F20:F39,$O$20:$O$39,Lister!$D$29,$A$20:$A$39,Lister!$A$22)
+SUMIFS(F20:F39,$O$20:$O$39,Lister!$D$29,$A$20:$A$39,Lister!$A$23)
+SUMIFS(F20:F39,$O$20:$O$39,Lister!$D$29,$A$20:$A$39,Lister!$A$20)
+SUMIFS(F20:F39,$O$20:$O$39,Lister!$D$29,$A$20:$A$39,Lister!$A$34)
+SUMIFS(F20:F39,$O$20:$O$39,Lister!$D$29,$A$20:$A$39,Lister!$A$33))
/12)*Takstblad!F$85,0)</f>
        <v>0</v>
      </c>
      <c r="W87" s="155">
        <f>+IF($C$8="Project-Supplement",((
SUMIFS(G20:G39,$O$20:$O$39,Lister!$D$30,$A$20:$A$39,Lister!$A$21)
+SUMIFS(G20:G39,$O$20:$O$39,Lister!$D$30,$A$20:$A$39,Lister!$A$31)
+SUMIFS(G20:G39,$O$20:$O$39,Lister!$D$30,$A$20:$A$39,Lister!$A$32)
+SUMIFS(G20:G39,$O$20:$O$39,Lister!$D$30,$A$20:$A$39,Lister!$A$22)
+SUMIFS(G20:G39,$O$20:$O$39,Lister!$D$30,$A$20:$A$39,Lister!$A$23)
+SUMIFS(G20:G39,$O$20:$O$39,Lister!$D$30,$A$20:$A$39,Lister!$A$20)
+SUMIFS(G20:G39,$O$20:$O$39,Lister!$D$30,$A$20:$A$39,Lister!$A$34)
+SUMIFS(G20:G39,$O$20:$O$39,Lister!$D$30,$A$20:$A$39,Lister!$A$33)
+SUMIFS(G20:G39,$O$20:$O$39,Lister!$D$29,$A$20:$A$39,Lister!$A$21)
+SUMIFS(G20:G39,$O$20:$O$39,Lister!$D$29,$A$20:$A$39,Lister!$A$31)
+SUMIFS(G20:G39,$O$20:$O$39,Lister!$D$29,$A$20:$A$39,Lister!$A$32)
+SUMIFS(G20:G39,$O$20:$O$39,Lister!$D$29,$A$20:$A$39,Lister!$A$22)
+SUMIFS(G20:G39,$O$20:$O$39,Lister!$D$29,$A$20:$A$39,Lister!$A$23)
+SUMIFS(G20:G39,$O$20:$O$39,Lister!$D$29,$A$20:$A$39,Lister!$A$20)
+SUMIFS(G20:G39,$O$20:$O$39,Lister!$D$29,$A$20:$A$39,Lister!$A$34)
+SUMIFS(G20:G39,$O$20:$O$39,Lister!$D$29,$A$20:$A$39,Lister!$A$33))
/12)*Takstblad!G$85,0)</f>
        <v>0</v>
      </c>
      <c r="X87" s="308">
        <f>+IF($C$8="Project-Supplement",((
SUMIFS(H20:H39,$O$20:$O$39,Lister!$D$30,$A$20:$A$39,Lister!$A$21)
+SUMIFS(H20:H39,$O$20:$O$39,Lister!$D$30,$A$20:$A$39,Lister!$A$31)
+SUMIFS(H20:H39,$O$20:$O$39,Lister!$D$30,$A$20:$A$39,Lister!$A$32)
+SUMIFS(H20:H39,$O$20:$O$39,Lister!$D$30,$A$20:$A$39,Lister!$A$22)
+SUMIFS(H20:H39,$O$20:$O$39,Lister!$D$30,$A$20:$A$39,Lister!$A$23)
+SUMIFS(H20:H39,$O$20:$O$39,Lister!$D$30,$A$20:$A$39,Lister!$A$20)
+SUMIFS(H20:H39,$O$20:$O$39,Lister!$D$30,$A$20:$A$39,Lister!$A$34)
+SUMIFS(H20:H39,$O$20:$O$39,Lister!$D$30,$A$20:$A$39,Lister!$A$33)
+SUMIFS(H20:H39,$O$20:$O$39,Lister!$D$29,$A$20:$A$39,Lister!$A$21)
+SUMIFS(H20:H39,$O$20:$O$39,Lister!$D$29,$A$20:$A$39,Lister!$A$31)
+SUMIFS(H20:H39,$O$20:$O$39,Lister!$D$29,$A$20:$A$39,Lister!$A$32)
+SUMIFS(H20:H39,$O$20:$O$39,Lister!$D$29,$A$20:$A$39,Lister!$A$22)
+SUMIFS(H20:H39,$O$20:$O$39,Lister!$D$29,$A$20:$A$39,Lister!$A$23)
+SUMIFS(H20:H39,$O$20:$O$39,Lister!$D$29,$A$20:$A$39,Lister!$A$20)
+SUMIFS(H20:H39,$O$20:$O$39,Lister!$D$29,$A$20:$A$39,Lister!$A$34)
+SUMIFS(H20:H39,$O$20:$O$39,Lister!$D$29,$A$20:$A$39,Lister!$A$33))
/12)*Takstblad!H$85,0)</f>
        <v>0</v>
      </c>
      <c r="Y87" s="114">
        <f>+IF($C$8="Project-Supplement",((
SUMIFS(I20:I39,$O$20:$O$39,Lister!$D$30,$A$20:$A$39,Lister!$A$21)
+SUMIFS(I20:I39,$O$20:$O$39,Lister!$D$30,$A$20:$A$39,Lister!$A$31)
+SUMIFS(I20:I39,$O$20:$O$39,Lister!$D$30,$A$20:$A$39,Lister!$A$32)
+SUMIFS(I20:I39,$O$20:$O$39,Lister!$D$30,$A$20:$A$39,Lister!$A$22)
+SUMIFS(I20:I39,$O$20:$O$39,Lister!$D$30,$A$20:$A$39,Lister!$A$23)
+SUMIFS(I20:I39,$O$20:$O$39,Lister!$D$30,$A$20:$A$39,Lister!$A$20)
+SUMIFS(I20:I39,$O$20:$O$39,Lister!$D$30,$A$20:$A$39,Lister!$A$34)
+SUMIFS(I20:I39,$O$20:$O$39,Lister!$D$30,$A$20:$A$39,Lister!$A$33)
+SUMIFS(I20:I39,$O$20:$O$39,Lister!$D$29,$A$20:$A$39,Lister!$A$21)
+SUMIFS(I20:I39,$O$20:$O$39,Lister!$D$29,$A$20:$A$39,Lister!$A$31)
+SUMIFS(I20:I39,$O$20:$O$39,Lister!$D$29,$A$20:$A$39,Lister!$A$32)
+SUMIFS(I20:I39,$O$20:$O$39,Lister!$D$29,$A$20:$A$39,Lister!$A$22)
+SUMIFS(I20:I39,$O$20:$O$39,Lister!$D$29,$A$20:$A$39,Lister!$A$23)
+SUMIFS(I20:I39,$O$20:$O$39,Lister!$D$29,$A$20:$A$39,Lister!$A$20)
+SUMIFS(I20:I39,$O$20:$O$39,Lister!$D$29,$A$20:$A$39,Lister!$A$34)
+SUMIFS(I20:I39,$O$20:$O$39,Lister!$D$29,$A$20:$A$39,Lister!$A$33))
/12)*Takstblad!I$85,0)</f>
        <v>0</v>
      </c>
      <c r="Z87" s="115">
        <f>+IF($C$8="Project-Supplement",((
SUMIFS(J20:J39,$O$20:$O$39,Lister!$D$30,$A$20:$A$39,Lister!$A$21)
+SUMIFS(J20:J39,$O$20:$O$39,Lister!$D$30,$A$20:$A$39,Lister!$A$31)
+SUMIFS(J20:J39,$O$20:$O$39,Lister!$D$30,$A$20:$A$39,Lister!$A$32)
+SUMIFS(J20:J39,$O$20:$O$39,Lister!$D$30,$A$20:$A$39,Lister!$A$22)
+SUMIFS(J20:J39,$O$20:$O$39,Lister!$D$30,$A$20:$A$39,Lister!$A$23)
+SUMIFS(J20:J39,$O$20:$O$39,Lister!$D$30,$A$20:$A$39,Lister!$A$20)
+SUMIFS(J20:J39,$O$20:$O$39,Lister!$D$30,$A$20:$A$39,Lister!$A$34)
+SUMIFS(J20:J39,$O$20:$O$39,Lister!$D$30,$A$20:$A$39,Lister!$A$33)
+SUMIFS(J20:J39,$O$20:$O$39,Lister!$D$29,$A$20:$A$39,Lister!$A$21)
+SUMIFS(J20:J39,$O$20:$O$39,Lister!$D$29,$A$20:$A$39,Lister!$A$31)
+SUMIFS(J20:J39,$O$20:$O$39,Lister!$D$29,$A$20:$A$39,Lister!$A$32)
+SUMIFS(J20:J39,$O$20:$O$39,Lister!$D$29,$A$20:$A$39,Lister!$A$22)
+SUMIFS(J20:J39,$O$20:$O$39,Lister!$D$29,$A$20:$A$39,Lister!$A$23)
+SUMIFS(J20:J39,$O$20:$O$39,Lister!$D$29,$A$20:$A$39,Lister!$A$20)
+SUMIFS(J20:J39,$O$20:$O$39,Lister!$D$29,$A$20:$A$39,Lister!$A$34)
+SUMIFS(J20:J39,$O$20:$O$39,Lister!$D$29,$A$20:$A$39,Lister!$A$33))
/12)*Takstblad!J$85,0)</f>
        <v>0</v>
      </c>
      <c r="AA87" s="115">
        <f>+IF($C$8="Project-Supplement",((
SUMIFS(K20:K39,$O$20:$O$39,Lister!$D$30,$A$20:$A$39,Lister!$A$21)
+SUMIFS(K20:K39,$O$20:$O$39,Lister!$D$30,$A$20:$A$39,Lister!$A$31)
+SUMIFS(K20:K39,$O$20:$O$39,Lister!$D$30,$A$20:$A$39,Lister!$A$32)
+SUMIFS(K20:K39,$O$20:$O$39,Lister!$D$30,$A$20:$A$39,Lister!$A$22)
+SUMIFS(K20:K39,$O$20:$O$39,Lister!$D$30,$A$20:$A$39,Lister!$A$23)
+SUMIFS(K20:K39,$O$20:$O$39,Lister!$D$30,$A$20:$A$39,Lister!$A$20)
+SUMIFS(K20:K39,$O$20:$O$39,Lister!$D$30,$A$20:$A$39,Lister!$A$34)
+SUMIFS(K20:K39,$O$20:$O$39,Lister!$D$30,$A$20:$A$39,Lister!$A$33)
+SUMIFS(K20:K39,$O$20:$O$39,Lister!$D$29,$A$20:$A$39,Lister!$A$21)
+SUMIFS(K20:K39,$O$20:$O$39,Lister!$D$29,$A$20:$A$39,Lister!$A$31)
+SUMIFS(K20:K39,$O$20:$O$39,Lister!$D$29,$A$20:$A$39,Lister!$A$32)
+SUMIFS(K20:K39,$O$20:$O$39,Lister!$D$29,$A$20:$A$39,Lister!$A$22)
+SUMIFS(K20:K39,$O$20:$O$39,Lister!$D$29,$A$20:$A$39,Lister!$A$23)
+SUMIFS(K20:K39,$O$20:$O$39,Lister!$D$29,$A$20:$A$39,Lister!$A$20)
+SUMIFS(K20:K39,$O$20:$O$39,Lister!$D$29,$A$20:$A$39,Lister!$A$34)
+SUMIFS(K20:K39,$O$20:$O$39,Lister!$D$29,$A$20:$A$39,Lister!$A$33))
/12)*Takstblad!K$85,0)</f>
        <v>0</v>
      </c>
      <c r="AB87" s="115">
        <f>+IF($C$8="Project-Supplement",((
SUMIFS(L20:L39,$O$20:$O$39,Lister!$D$30,$A$20:$A$39,Lister!$A$21)
+SUMIFS(L20:L39,$O$20:$O$39,Lister!$D$30,$A$20:$A$39,Lister!$A$31)
+SUMIFS(L20:L39,$O$20:$O$39,Lister!$D$30,$A$20:$A$39,Lister!$A$32)
+SUMIFS(L20:L39,$O$20:$O$39,Lister!$D$30,$A$20:$A$39,Lister!$A$22)
+SUMIFS(L20:L39,$O$20:$O$39,Lister!$D$30,$A$20:$A$39,Lister!$A$23)
+SUMIFS(L20:L39,$O$20:$O$39,Lister!$D$30,$A$20:$A$39,Lister!$A$20)
+SUMIFS(L20:L39,$O$20:$O$39,Lister!$D$30,$A$20:$A$39,Lister!$A$34)
+SUMIFS(L20:L39,$O$20:$O$39,Lister!$D$30,$A$20:$A$39,Lister!$A$33)
+SUMIFS(L20:L39,$O$20:$O$39,Lister!$D$29,$A$20:$A$39,Lister!$A$21)
+SUMIFS(L20:L39,$O$20:$O$39,Lister!$D$29,$A$20:$A$39,Lister!$A$31)
+SUMIFS(L20:L39,$O$20:$O$39,Lister!$D$29,$A$20:$A$39,Lister!$A$32)
+SUMIFS(L20:L39,$O$20:$O$39,Lister!$D$29,$A$20:$A$39,Lister!$A$22)
+SUMIFS(L20:L39,$O$20:$O$39,Lister!$D$29,$A$20:$A$39,Lister!$A$23)
+SUMIFS(L20:L39,$O$20:$O$39,Lister!$D$29,$A$20:$A$39,Lister!$A$20)
+SUMIFS(L20:L39,$O$20:$O$39,Lister!$D$29,$A$20:$A$39,Lister!$A$34)
+SUMIFS(L20:L39,$O$20:$O$39,Lister!$D$29,$A$20:$A$39,Lister!$A$33))
/12)*Takstblad!L$85,0)</f>
        <v>0</v>
      </c>
      <c r="AC87" s="138">
        <f t="shared" si="97"/>
        <v>0</v>
      </c>
      <c r="AF87" s="70"/>
      <c r="AG87" s="70"/>
      <c r="AH87" s="70"/>
      <c r="AI87" s="70"/>
      <c r="AJ87" s="70"/>
      <c r="AK87" s="70"/>
      <c r="AL87" s="70"/>
      <c r="AM87" s="70"/>
      <c r="AN87" s="70"/>
      <c r="AO87" s="70"/>
      <c r="AP87" s="70"/>
      <c r="AQ87" s="70"/>
      <c r="AR87" s="71"/>
      <c r="AS87" s="71"/>
    </row>
    <row r="88" spans="1:62" ht="14.25" customHeight="1">
      <c r="N88" s="71"/>
      <c r="O88" s="87"/>
      <c r="P88" s="87"/>
      <c r="Q88" s="150" t="s">
        <v>531</v>
      </c>
      <c r="R88" s="312">
        <f t="shared" si="96"/>
        <v>0</v>
      </c>
      <c r="S88" s="153" t="str">
        <f>IF($C$12=2,(SUM(S84:S87)*$C$13)/100,"0")</f>
        <v>0</v>
      </c>
      <c r="T88" s="223" t="str">
        <f t="shared" ref="T88:Z88" si="100">IF($C$12=2,(SUM(T84:T87)*$C$13)/100,"0")</f>
        <v>0</v>
      </c>
      <c r="U88" s="223" t="str">
        <f t="shared" si="100"/>
        <v>0</v>
      </c>
      <c r="V88" s="223" t="str">
        <f t="shared" si="100"/>
        <v>0</v>
      </c>
      <c r="W88" s="223" t="str">
        <f t="shared" si="100"/>
        <v>0</v>
      </c>
      <c r="X88" s="306" t="str">
        <f t="shared" si="100"/>
        <v>0</v>
      </c>
      <c r="Y88" s="224" t="str">
        <f t="shared" si="100"/>
        <v>0</v>
      </c>
      <c r="Z88" s="223" t="str">
        <f t="shared" si="100"/>
        <v>0</v>
      </c>
      <c r="AA88" s="223" t="str">
        <f>IF($C$12=2,(SUM(AA84:AA87)*$C$13)/100,"0")</f>
        <v>0</v>
      </c>
      <c r="AB88" s="223" t="str">
        <f>IF($C$12=2,(SUM(AB84:AB87)*$C$13)/100,"0")</f>
        <v>0</v>
      </c>
      <c r="AC88" s="138">
        <f t="shared" si="97"/>
        <v>0</v>
      </c>
      <c r="AF88" s="71"/>
      <c r="AG88" s="71"/>
      <c r="AH88" s="71"/>
      <c r="AI88" s="71"/>
      <c r="AJ88" s="71"/>
      <c r="AK88" s="71"/>
      <c r="AL88" s="71"/>
      <c r="AM88" s="71"/>
      <c r="AN88" s="71"/>
      <c r="AO88" s="71"/>
      <c r="AP88" s="71"/>
      <c r="AQ88" s="71"/>
      <c r="AR88" s="71"/>
      <c r="AS88" s="71"/>
      <c r="AT88" s="71"/>
      <c r="AU88" s="71"/>
      <c r="AV88" s="71"/>
      <c r="AW88" s="71"/>
      <c r="AX88" s="71"/>
      <c r="AY88" s="71"/>
      <c r="AZ88" s="71"/>
      <c r="BA88" s="71"/>
      <c r="BB88" s="71"/>
      <c r="BC88" s="71"/>
      <c r="BD88" s="71"/>
      <c r="BE88" s="71"/>
      <c r="BF88" s="71"/>
      <c r="BG88" s="71"/>
      <c r="BH88" s="71"/>
      <c r="BI88" s="71"/>
      <c r="BJ88" s="71"/>
    </row>
    <row r="89" spans="1:62" ht="14.25" customHeight="1">
      <c r="N89" s="80"/>
      <c r="O89" s="91"/>
      <c r="P89" s="91"/>
      <c r="Q89" s="149" t="s">
        <v>101</v>
      </c>
      <c r="R89" s="312">
        <f t="shared" si="96"/>
        <v>0</v>
      </c>
      <c r="S89" s="313">
        <f>+SUM(S84:S88)</f>
        <v>0</v>
      </c>
      <c r="T89" s="313">
        <f t="shared" ref="T89:Z89" si="101">+SUM(T84:T88)</f>
        <v>0</v>
      </c>
      <c r="U89" s="313">
        <f t="shared" si="101"/>
        <v>0</v>
      </c>
      <c r="V89" s="313">
        <f t="shared" si="101"/>
        <v>0</v>
      </c>
      <c r="W89" s="313">
        <f t="shared" si="101"/>
        <v>0</v>
      </c>
      <c r="X89" s="314">
        <f t="shared" si="101"/>
        <v>0</v>
      </c>
      <c r="Y89" s="296">
        <f t="shared" si="101"/>
        <v>0</v>
      </c>
      <c r="Z89" s="137">
        <f t="shared" si="101"/>
        <v>0</v>
      </c>
      <c r="AA89" s="137">
        <f>+SUM(AA84:AA88)</f>
        <v>0</v>
      </c>
      <c r="AB89" s="137">
        <f>+SUM(AB84:AB88)</f>
        <v>0</v>
      </c>
      <c r="AC89" s="138">
        <f t="shared" si="97"/>
        <v>0</v>
      </c>
      <c r="AF89" s="70"/>
      <c r="AG89" s="70"/>
      <c r="AH89" s="70"/>
      <c r="AI89" s="71"/>
      <c r="AJ89" s="71"/>
      <c r="AK89" s="71"/>
      <c r="AL89" s="71"/>
      <c r="AM89" s="71"/>
      <c r="AN89" s="71"/>
      <c r="AO89" s="71"/>
      <c r="AP89" s="71"/>
      <c r="AQ89" s="71"/>
      <c r="AR89" s="71"/>
      <c r="AS89" s="71"/>
      <c r="AT89" s="71"/>
      <c r="AU89" s="71"/>
      <c r="AV89" s="71"/>
      <c r="AW89" s="71"/>
      <c r="AX89" s="71"/>
      <c r="AY89" s="71"/>
      <c r="AZ89" s="71"/>
      <c r="BA89" s="71"/>
      <c r="BB89" s="71"/>
      <c r="BC89" s="71"/>
      <c r="BD89" s="71"/>
      <c r="BE89" s="71"/>
      <c r="BF89" s="71"/>
      <c r="BG89" s="71"/>
      <c r="BH89" s="71"/>
      <c r="BI89" s="71"/>
      <c r="BJ89" s="71"/>
    </row>
    <row r="90" spans="1:62" ht="14.25" customHeight="1">
      <c r="N90" s="81"/>
      <c r="O90" s="92"/>
      <c r="P90" s="92"/>
      <c r="Q90" s="132"/>
      <c r="R90" s="126"/>
      <c r="S90" s="16"/>
      <c r="T90" s="116"/>
      <c r="U90" s="116"/>
      <c r="V90" s="116"/>
      <c r="W90" s="116"/>
      <c r="X90" s="307"/>
      <c r="Y90" s="116"/>
      <c r="Z90" s="116"/>
      <c r="AA90" s="116"/>
      <c r="AB90" s="116"/>
      <c r="AC90" s="126"/>
      <c r="AF90" s="71"/>
      <c r="AG90" s="71"/>
      <c r="AH90" s="71"/>
      <c r="AI90" s="70"/>
      <c r="AJ90" s="70"/>
      <c r="AK90" s="70"/>
      <c r="AL90" s="70"/>
      <c r="AM90" s="70"/>
      <c r="AN90" s="70"/>
      <c r="AO90" s="70"/>
      <c r="AP90" s="70"/>
      <c r="AQ90" s="70"/>
      <c r="AR90" s="70"/>
      <c r="AS90" s="70"/>
      <c r="AT90" s="70"/>
      <c r="AU90" s="70"/>
      <c r="AV90" s="70"/>
      <c r="AW90" s="70"/>
      <c r="AX90" s="70"/>
      <c r="AY90" s="70"/>
      <c r="AZ90" s="70"/>
      <c r="BA90" s="70"/>
      <c r="BB90" s="70"/>
      <c r="BC90" s="70"/>
      <c r="BD90" s="70"/>
      <c r="BE90" s="70"/>
      <c r="BF90" s="70"/>
      <c r="BG90" s="70"/>
      <c r="BH90" s="70"/>
      <c r="BI90" s="70"/>
      <c r="BJ90" s="70"/>
    </row>
    <row r="91" spans="1:62" s="9" customFormat="1" ht="14.25" customHeight="1">
      <c r="N91" s="81"/>
      <c r="O91" s="92"/>
      <c r="P91" s="92"/>
      <c r="Q91" s="130" t="s">
        <v>588</v>
      </c>
      <c r="R91" s="131"/>
      <c r="S91" s="230"/>
      <c r="T91" s="136"/>
      <c r="U91" s="136"/>
      <c r="V91" s="136"/>
      <c r="W91" s="136"/>
      <c r="X91" s="305"/>
      <c r="Y91" s="136"/>
      <c r="Z91" s="136"/>
      <c r="AA91" s="136"/>
      <c r="AB91" s="136"/>
      <c r="AC91" s="131"/>
      <c r="AF91" s="71"/>
      <c r="AG91" s="71"/>
      <c r="AH91" s="71"/>
      <c r="AI91" s="70"/>
      <c r="AJ91" s="70"/>
      <c r="AK91" s="70"/>
      <c r="AL91" s="70"/>
      <c r="AM91" s="70"/>
      <c r="AN91" s="70"/>
      <c r="AO91" s="70"/>
      <c r="AP91" s="70"/>
      <c r="AQ91" s="70"/>
      <c r="AR91" s="70"/>
      <c r="AS91" s="70"/>
      <c r="AT91" s="70"/>
      <c r="AU91" s="70"/>
      <c r="AV91" s="70"/>
      <c r="AW91" s="70"/>
      <c r="AX91" s="70"/>
      <c r="AY91" s="70"/>
      <c r="AZ91" s="70"/>
      <c r="BA91" s="70"/>
      <c r="BB91" s="70"/>
      <c r="BC91" s="70"/>
      <c r="BD91" s="70"/>
      <c r="BE91" s="70"/>
      <c r="BF91" s="70"/>
      <c r="BG91" s="70"/>
      <c r="BH91" s="70"/>
      <c r="BI91" s="70"/>
      <c r="BJ91" s="70"/>
    </row>
    <row r="92" spans="1:62" s="9" customFormat="1" ht="14.25" customHeight="1">
      <c r="N92" s="70"/>
      <c r="O92" s="85"/>
      <c r="P92" s="85"/>
      <c r="Q92" s="134"/>
      <c r="R92" s="133"/>
      <c r="S92" s="16"/>
      <c r="T92" s="76"/>
      <c r="U92" s="76"/>
      <c r="V92" s="76"/>
      <c r="W92" s="76"/>
      <c r="X92" s="133"/>
      <c r="Y92" s="76"/>
      <c r="Z92" s="76"/>
      <c r="AA92" s="76"/>
      <c r="AB92" s="76"/>
      <c r="AC92" s="133"/>
      <c r="AF92" s="70"/>
      <c r="AG92" s="70"/>
      <c r="AH92" s="70"/>
      <c r="AI92" s="70"/>
      <c r="AJ92" s="70"/>
      <c r="AK92" s="70"/>
      <c r="AL92" s="70"/>
      <c r="AM92" s="70"/>
      <c r="AN92" s="70"/>
      <c r="AO92" s="70"/>
      <c r="AP92" s="70"/>
      <c r="AQ92" s="70"/>
      <c r="AR92" s="70"/>
      <c r="AS92" s="70"/>
      <c r="AT92" s="70"/>
      <c r="AU92" s="70"/>
      <c r="AV92" s="70"/>
      <c r="AW92" s="70"/>
      <c r="AX92" s="70"/>
      <c r="AY92" s="70"/>
      <c r="AZ92" s="70"/>
      <c r="BA92" s="70"/>
      <c r="BB92" s="70"/>
      <c r="BC92" s="70"/>
      <c r="BD92" s="70"/>
      <c r="BE92" s="70"/>
      <c r="BF92" s="70"/>
      <c r="BG92" s="70"/>
      <c r="BH92" s="70"/>
      <c r="BI92" s="70"/>
      <c r="BJ92" s="70"/>
    </row>
    <row r="93" spans="1:62" s="9" customFormat="1" ht="14.25" customHeight="1">
      <c r="A93" s="23"/>
      <c r="B93" s="16"/>
      <c r="C93" s="16"/>
      <c r="D93" s="71"/>
      <c r="E93" s="71"/>
      <c r="F93" s="71"/>
      <c r="G93" s="71"/>
      <c r="H93" s="71"/>
      <c r="I93" s="71"/>
      <c r="J93" s="71"/>
      <c r="K93" s="71"/>
      <c r="L93" s="71"/>
      <c r="M93" s="71"/>
      <c r="N93" s="71"/>
      <c r="O93" s="87"/>
      <c r="P93" s="87"/>
      <c r="Q93" s="152" t="s">
        <v>22</v>
      </c>
      <c r="R93" s="124" t="s">
        <v>34</v>
      </c>
      <c r="S93" s="45">
        <f>+S79</f>
        <v>2026</v>
      </c>
      <c r="T93" s="8">
        <f t="shared" ref="T93:Z93" si="102">+T79</f>
        <v>2027</v>
      </c>
      <c r="U93" s="8">
        <f t="shared" si="102"/>
        <v>2028</v>
      </c>
      <c r="V93" s="8">
        <f t="shared" si="102"/>
        <v>2029</v>
      </c>
      <c r="W93" s="8">
        <f t="shared" si="102"/>
        <v>2030</v>
      </c>
      <c r="X93" s="124">
        <f t="shared" si="102"/>
        <v>2031</v>
      </c>
      <c r="Y93" s="8">
        <f t="shared" si="102"/>
        <v>2032</v>
      </c>
      <c r="Z93" s="8">
        <f t="shared" si="102"/>
        <v>2033</v>
      </c>
      <c r="AA93" s="8">
        <f>+AA79</f>
        <v>2034</v>
      </c>
      <c r="AB93" s="8">
        <f>+AB79</f>
        <v>2035</v>
      </c>
      <c r="AC93" s="124" t="s">
        <v>34</v>
      </c>
      <c r="AF93" s="70"/>
      <c r="AG93" s="70"/>
      <c r="AH93" s="70"/>
      <c r="AI93" s="71"/>
      <c r="AJ93" s="71"/>
      <c r="AK93" s="71"/>
      <c r="AL93" s="71"/>
      <c r="AM93" s="71"/>
      <c r="AN93" s="71"/>
      <c r="AO93" s="71"/>
      <c r="AP93" s="71"/>
      <c r="AQ93" s="71"/>
      <c r="AR93" s="71"/>
      <c r="AS93" s="71"/>
      <c r="AT93" s="71"/>
      <c r="AU93" s="71"/>
      <c r="AV93" s="71"/>
      <c r="AW93" s="71"/>
      <c r="AX93" s="71"/>
      <c r="AY93" s="71"/>
      <c r="AZ93" s="71"/>
      <c r="BA93" s="71"/>
      <c r="BB93" s="71"/>
      <c r="BC93" s="71"/>
      <c r="BD93" s="71"/>
      <c r="BE93" s="71"/>
      <c r="BF93" s="71"/>
      <c r="BG93" s="71"/>
      <c r="BH93" s="71"/>
      <c r="BI93" s="71"/>
      <c r="BJ93" s="71"/>
    </row>
    <row r="94" spans="1:62" s="9" customFormat="1" ht="14.25" customHeight="1">
      <c r="N94" s="71"/>
      <c r="O94" s="87"/>
      <c r="P94" s="87"/>
      <c r="Q94" s="147" t="s">
        <v>74</v>
      </c>
      <c r="R94" s="315">
        <f t="shared" ref="R94:R103" si="103">+AC94</f>
        <v>0</v>
      </c>
      <c r="S94" s="316">
        <f>+SUMIF($O$20:$O$39,Lister!$D$31,S20:S39)+SUMIF($O$20:$O$39,Lister!$D$32,S20:S39)</f>
        <v>0</v>
      </c>
      <c r="T94" s="316">
        <f>+SUMIF($O$20:$O$39,Lister!$D$31,T20:T39)+SUMIF($O$20:$O$39,Lister!$D$32,T20:T39)</f>
        <v>0</v>
      </c>
      <c r="U94" s="316">
        <f>+SUMIF($O$20:$O$39,Lister!$D$31,U20:U39)+SUMIF($O$20:$O$39,Lister!$D$32,U20:U39)</f>
        <v>0</v>
      </c>
      <c r="V94" s="316">
        <f>+SUMIF($O$20:$O$39,Lister!$D$31,V20:V39)+SUMIF($O$20:$O$39,Lister!$D$32,V20:V39)</f>
        <v>0</v>
      </c>
      <c r="W94" s="316">
        <f>+SUMIF($O$20:$O$39,Lister!$D$31,W20:W39)+SUMIF($O$20:$O$39,Lister!$D$32,W20:W39)</f>
        <v>0</v>
      </c>
      <c r="X94" s="316">
        <f>+SUMIF($O$20:$O$39,Lister!$D$31,X20:X39)+SUMIF($O$20:$O$39,Lister!$D$32,X20:X39)</f>
        <v>0</v>
      </c>
      <c r="Y94" s="316">
        <f>+SUMIF($O$20:$O$39,Lister!$D$31,Y20:Y39)+SUMIF($O$20:$O$39,Lister!$D$32,Y20:Y39)</f>
        <v>0</v>
      </c>
      <c r="Z94" s="316">
        <f>+SUMIF($O$20:$O$39,Lister!$D$31,Z20:Z39)+SUMIF($O$20:$O$39,Lister!$D$32,Z20:Z39)</f>
        <v>0</v>
      </c>
      <c r="AA94" s="316">
        <f>+SUMIF($O$20:$O$39,Lister!$D$31,AA20:AA39)+SUMIF($O$20:$O$39,Lister!$D$32,AA20:AA39)</f>
        <v>0</v>
      </c>
      <c r="AB94" s="316">
        <f>+SUMIF($O$20:$O$39,Lister!$D$31,AB20:AB39)+SUMIF($O$20:$O$39,Lister!$D$32,AB20:AB39)</f>
        <v>0</v>
      </c>
      <c r="AC94" s="140">
        <f>SUM(S94:AB94)</f>
        <v>0</v>
      </c>
      <c r="AF94" s="70"/>
      <c r="AG94" s="70"/>
      <c r="AH94" s="70"/>
      <c r="AI94" s="71"/>
      <c r="AJ94" s="71"/>
      <c r="AK94" s="71"/>
      <c r="AL94" s="71"/>
      <c r="AM94" s="71"/>
      <c r="AN94" s="71"/>
      <c r="AO94" s="71"/>
      <c r="AP94" s="71"/>
      <c r="AQ94" s="71"/>
      <c r="AR94" s="71"/>
      <c r="AS94" s="71"/>
      <c r="AT94" s="71"/>
      <c r="AU94" s="71"/>
      <c r="AV94" s="71"/>
      <c r="AW94" s="71"/>
      <c r="AX94" s="71"/>
      <c r="AY94" s="71"/>
      <c r="AZ94" s="71"/>
      <c r="BA94" s="71"/>
      <c r="BB94" s="71"/>
      <c r="BC94" s="71"/>
      <c r="BD94" s="71"/>
      <c r="BE94" s="71"/>
      <c r="BF94" s="71"/>
      <c r="BG94" s="71"/>
      <c r="BH94" s="71"/>
      <c r="BI94" s="71"/>
      <c r="BJ94" s="71"/>
    </row>
    <row r="95" spans="1:62" s="9" customFormat="1" ht="14.25" customHeight="1">
      <c r="N95" s="71"/>
      <c r="O95" s="87"/>
      <c r="P95" s="87"/>
      <c r="Q95" s="148" t="s">
        <v>75</v>
      </c>
      <c r="R95" s="309">
        <f t="shared" si="103"/>
        <v>0</v>
      </c>
      <c r="S95" s="310">
        <f>+SUMIF($O$43:$O$55,Lister!$D$31,S43:S55)+SUMIF($O$43:$O$55,Lister!$D$32,S43:S55)</f>
        <v>0</v>
      </c>
      <c r="T95" s="319">
        <f>+SUMIF($O$43:$O$55,Lister!$D$31,T43:T55)+SUMIF($O$43:$O$55,Lister!$D$32,T43:T55)</f>
        <v>0</v>
      </c>
      <c r="U95" s="310">
        <f>+SUMIF($O$43:$O$55,Lister!$D$31,U43:U55)+SUMIF($O$43:$O$55,Lister!$D$32,U43:U55)</f>
        <v>0</v>
      </c>
      <c r="V95" s="319">
        <f>+SUMIF($O$43:$O$55,Lister!$D$31,V43:V55)+SUMIF($O$43:$O$55,Lister!$D$32,V43:V55)</f>
        <v>0</v>
      </c>
      <c r="W95" s="310">
        <f>+SUMIF($O$43:$O$55,Lister!$D$31,W43:W55)+SUMIF($O$43:$O$55,Lister!$D$32,W43:W55)</f>
        <v>0</v>
      </c>
      <c r="X95" s="320">
        <f>+SUMIF($O$43:$O$55,Lister!$D$31,X43:X55)+SUMIF($O$43:$O$55,Lister!$D$32,X43:X55)</f>
        <v>0</v>
      </c>
      <c r="Y95" s="295">
        <f>+SUMIF($O$43:$O$55,Lister!$D$31,Y43:Y55)+SUMIF($O$43:$O$55,Lister!$D$32,Y43:Y55)</f>
        <v>0</v>
      </c>
      <c r="Z95" s="113">
        <f>+SUMIF($O$43:$O$55,Lister!$D$31,Z43:Z55)+SUMIF($O$43:$O$55,Lister!$D$32,Z43:Z55)</f>
        <v>0</v>
      </c>
      <c r="AA95" s="113">
        <f>+SUMIF($O$43:$O$55,Lister!$D$31,AA43:AA55)+SUMIF($O$43:$O$55,Lister!$D$32,AA43:AA55)</f>
        <v>0</v>
      </c>
      <c r="AB95" s="113">
        <f>+SUMIF($O$43:$O$55,Lister!$D$31,AB43:AB55)+SUMIF($O$43:$O$55,Lister!$D$32,AB43:AB55)</f>
        <v>0</v>
      </c>
      <c r="AC95" s="141">
        <f t="shared" ref="AC95:AC103" si="104">SUM(S95:AB95)</f>
        <v>0</v>
      </c>
      <c r="AF95" s="71"/>
      <c r="AG95" s="71"/>
      <c r="AH95" s="71"/>
      <c r="AI95" s="71"/>
      <c r="AJ95" s="71"/>
      <c r="AK95" s="71"/>
      <c r="AL95" s="71"/>
      <c r="AM95" s="71"/>
      <c r="AN95" s="71"/>
      <c r="AO95" s="71"/>
      <c r="AP95" s="71"/>
      <c r="AQ95" s="71"/>
      <c r="AR95" s="71"/>
      <c r="AS95" s="71"/>
      <c r="AT95" s="71"/>
      <c r="AU95" s="71"/>
      <c r="AV95" s="71"/>
      <c r="AW95" s="71"/>
      <c r="AX95" s="71"/>
      <c r="AY95" s="71"/>
      <c r="AZ95" s="71"/>
      <c r="BA95" s="71"/>
      <c r="BB95" s="71"/>
      <c r="BC95" s="71"/>
      <c r="BD95" s="71"/>
      <c r="BE95" s="71"/>
      <c r="BF95" s="71"/>
      <c r="BG95" s="71"/>
      <c r="BH95" s="71"/>
      <c r="BI95" s="71"/>
      <c r="BJ95" s="71"/>
    </row>
    <row r="96" spans="1:62" ht="14.25" customHeight="1">
      <c r="N96" s="71"/>
      <c r="O96" s="87"/>
      <c r="P96" s="87"/>
      <c r="Q96" s="149" t="s">
        <v>76</v>
      </c>
      <c r="R96" s="312">
        <f t="shared" si="103"/>
        <v>0</v>
      </c>
      <c r="S96" s="313">
        <f>+SUM(S94:S95)</f>
        <v>0</v>
      </c>
      <c r="T96" s="313">
        <f>+SUM(T94:T95)</f>
        <v>0</v>
      </c>
      <c r="U96" s="313">
        <f t="shared" ref="U96:Z96" si="105">+SUM(U94:U95)</f>
        <v>0</v>
      </c>
      <c r="V96" s="313">
        <f t="shared" si="105"/>
        <v>0</v>
      </c>
      <c r="W96" s="313">
        <f t="shared" si="105"/>
        <v>0</v>
      </c>
      <c r="X96" s="314">
        <f t="shared" si="105"/>
        <v>0</v>
      </c>
      <c r="Y96" s="142">
        <f t="shared" si="105"/>
        <v>0</v>
      </c>
      <c r="Z96" s="137">
        <f t="shared" si="105"/>
        <v>0</v>
      </c>
      <c r="AA96" s="137">
        <f>+SUM(AA94:AA95)</f>
        <v>0</v>
      </c>
      <c r="AB96" s="137">
        <f>+SUM(AB94:AB95)</f>
        <v>0</v>
      </c>
      <c r="AC96" s="138">
        <f t="shared" si="104"/>
        <v>0</v>
      </c>
      <c r="AF96" s="71"/>
      <c r="AG96" s="71"/>
      <c r="AH96" s="71"/>
      <c r="AI96" s="71"/>
      <c r="AJ96" s="71"/>
      <c r="AK96" s="71"/>
      <c r="AL96" s="71"/>
      <c r="AM96" s="71"/>
      <c r="AN96" s="71"/>
      <c r="AO96" s="71"/>
      <c r="AP96" s="71"/>
      <c r="AQ96" s="71"/>
      <c r="AR96" s="71"/>
      <c r="AS96" s="71"/>
      <c r="AT96" s="71"/>
      <c r="AU96" s="71"/>
      <c r="AV96" s="71"/>
      <c r="AW96" s="71"/>
      <c r="AX96" s="71"/>
      <c r="AY96" s="71"/>
      <c r="AZ96" s="71"/>
      <c r="BA96" s="71"/>
      <c r="BB96" s="71"/>
      <c r="BC96" s="71"/>
      <c r="BD96" s="71"/>
      <c r="BE96" s="71"/>
      <c r="BF96" s="71"/>
      <c r="BG96" s="71"/>
      <c r="BH96" s="71"/>
      <c r="BI96" s="71"/>
      <c r="BJ96" s="71"/>
    </row>
    <row r="97" spans="14:62" s="14" customFormat="1" ht="14.25" customHeight="1">
      <c r="N97" s="71"/>
      <c r="O97" s="87"/>
      <c r="P97" s="87"/>
      <c r="Q97" s="149" t="s">
        <v>77</v>
      </c>
      <c r="R97" s="312">
        <f t="shared" si="103"/>
        <v>0</v>
      </c>
      <c r="S97" s="313">
        <f>+SUMIF($O$62:$O$74,Lister!$D$31,C62:C74)+SUMIF($O$62:$O$74,Lister!$D$32,C62:C74)-SUMIFS(C62:C74,$O$62:$O$74,Lister!$D$31,$A$62:$A$74,Lister!$M$9)-SUMIFS(C62:C74,$O$62:$O$74,Lister!$D$32,$A$62:$A$74,Lister!$M$9)</f>
        <v>0</v>
      </c>
      <c r="T97" s="327">
        <f>+SUMIF($O$62:$O$74,Lister!$D$31,D62:D74)+SUMIF($O$62:$O$74,Lister!$D$32,D62:D74)-SUMIFS(D62:D74,$O$62:$O$74,Lister!$D$31,$A$62:$A$74,Lister!$M$9)-SUMIFS(D62:D74,$O$62:$O$74,Lister!$D$32,$A$62:$A$74,Lister!$M$9)</f>
        <v>0</v>
      </c>
      <c r="U97" s="327">
        <f>+SUMIF($O$62:$O$74,Lister!$D$31,E62:E74)+SUMIF($O$62:$O$74,Lister!$D$32,E62:E74)-SUMIFS(E62:E74,$O$62:$O$74,Lister!$D$31,$A$62:$A$74,Lister!$M$9)-SUMIFS(E62:E74,$O$62:$O$74,Lister!$D$32,$A$62:$A$74,Lister!$M$9)</f>
        <v>0</v>
      </c>
      <c r="V97" s="327">
        <f>+SUMIF($O$62:$O$74,Lister!$D$31,F62:F74)+SUMIF($O$62:$O$74,Lister!$D$32,F62:F74)-SUMIFS(F62:F74,$O$62:$O$74,Lister!$D$31,$A$62:$A$74,Lister!$M$9)-SUMIFS(F62:F74,$O$62:$O$74,Lister!$D$32,$A$62:$A$74,Lister!$M$9)</f>
        <v>0</v>
      </c>
      <c r="W97" s="327">
        <f>+SUMIF($O$62:$O$74,Lister!$D$31,G62:G74)+SUMIF($O$62:$O$74,Lister!$D$32,G62:G74)-SUMIFS(G62:G74,$O$62:$O$74,Lister!$D$31,$A$62:$A$74,Lister!$M$9)-SUMIFS(G62:G74,$O$62:$O$74,Lister!$D$32,$A$62:$A$74,Lister!$M$9)</f>
        <v>0</v>
      </c>
      <c r="X97" s="328">
        <f>+SUMIF($O$62:$O$74,Lister!$D$31,H62:H74)+SUMIF($O$62:$O$74,Lister!$D$32,H62:H74)-SUMIFS(H62:H74,$O$62:$O$74,Lister!$D$31,$A$62:$A$74,Lister!$M$9)-SUMIFS(H62:H74,$O$62:$O$74,Lister!$D$32,$A$62:$A$74,Lister!$M$9)</f>
        <v>0</v>
      </c>
      <c r="Y97" s="209">
        <f>+SUMIF($O$62:$O$74,Lister!$D$31,I62:I74)+SUMIF($O$62:$O$74,Lister!$D$32,I62:I74)-SUMIFS(I62:I74,$O$62:$O$74,Lister!$D$31,$A$62:$A$74,Lister!$M$9)-SUMIFS(I62:I74,$O$62:$O$74,Lister!$D$32,$A$62:$A$74,Lister!$M$9)</f>
        <v>0</v>
      </c>
      <c r="Z97" s="208">
        <f>+SUMIF($O$62:$O$74,Lister!$D$31,J62:J74)+SUMIF($O$62:$O$74,Lister!$D$32,J62:J74)-SUMIFS(J62:J74,$O$62:$O$74,Lister!$D$31,$A$62:$A$74,Lister!$M$9)-SUMIFS(J62:J74,$O$62:$O$74,Lister!$D$32,$A$62:$A$74,Lister!$M$9)</f>
        <v>0</v>
      </c>
      <c r="AA97" s="208">
        <f>+SUMIF($O$62:$O$74,Lister!$D$31,K62:K74)+SUMIF($O$62:$O$74,Lister!$D$32,K62:K74)-SUMIFS(K62:K74,$O$62:$O$74,Lister!$D$31,$A$62:$A$74,Lister!$M$9)-SUMIFS(K62:K74,$O$62:$O$74,Lister!$D$32,$A$62:$A$74,Lister!$M$9)</f>
        <v>0</v>
      </c>
      <c r="AB97" s="208">
        <f>+SUMIF($O$62:$O$74,Lister!$D$31,L62:L74)+SUMIF($O$62:$O$74,Lister!$D$32,L62:L74)-SUMIFS(L62:L74,$O$62:$O$74,Lister!$D$31,$A$62:$A$74,Lister!$M$9)-SUMIFS(L62:L74,$O$62:$O$74,Lister!$D$32,$A$62:$A$74,Lister!$M$9)</f>
        <v>0</v>
      </c>
      <c r="AC97" s="138">
        <f t="shared" si="104"/>
        <v>0</v>
      </c>
      <c r="AF97" s="71"/>
      <c r="AG97" s="71"/>
      <c r="AH97" s="71"/>
      <c r="AI97" s="71"/>
      <c r="AJ97" s="71"/>
      <c r="AK97" s="71"/>
      <c r="AL97" s="71"/>
      <c r="AM97" s="71"/>
      <c r="AN97" s="71"/>
      <c r="AO97" s="71"/>
      <c r="AP97" s="71"/>
      <c r="AQ97" s="71"/>
      <c r="AR97" s="71"/>
      <c r="AS97" s="71"/>
      <c r="AT97" s="71"/>
      <c r="AU97" s="71"/>
      <c r="AV97" s="71"/>
      <c r="AW97" s="71"/>
      <c r="AX97" s="71"/>
      <c r="AY97" s="71"/>
      <c r="AZ97" s="71"/>
      <c r="BA97" s="71"/>
      <c r="BB97" s="71"/>
      <c r="BC97" s="71"/>
      <c r="BD97" s="71"/>
      <c r="BE97" s="71"/>
      <c r="BF97" s="71"/>
      <c r="BG97" s="71"/>
      <c r="BH97" s="71"/>
      <c r="BI97" s="71"/>
      <c r="BJ97" s="71"/>
    </row>
    <row r="98" spans="14:62" s="9" customFormat="1" ht="14.25" customHeight="1">
      <c r="N98" s="70"/>
      <c r="O98" s="85"/>
      <c r="P98" s="85"/>
      <c r="Q98" s="149" t="s">
        <v>78</v>
      </c>
      <c r="R98" s="312">
        <f t="shared" si="103"/>
        <v>0</v>
      </c>
      <c r="S98" s="313">
        <f>+S97+S96</f>
        <v>0</v>
      </c>
      <c r="T98" s="329">
        <f t="shared" ref="T98:Z98" si="106">+T97+T96</f>
        <v>0</v>
      </c>
      <c r="U98" s="329">
        <f t="shared" si="106"/>
        <v>0</v>
      </c>
      <c r="V98" s="329">
        <f t="shared" si="106"/>
        <v>0</v>
      </c>
      <c r="W98" s="329">
        <f t="shared" si="106"/>
        <v>0</v>
      </c>
      <c r="X98" s="330">
        <f t="shared" si="106"/>
        <v>0</v>
      </c>
      <c r="Y98" s="146">
        <f t="shared" si="106"/>
        <v>0</v>
      </c>
      <c r="Z98" s="145">
        <f t="shared" si="106"/>
        <v>0</v>
      </c>
      <c r="AA98" s="145">
        <f>+AA97+AA96</f>
        <v>0</v>
      </c>
      <c r="AB98" s="145">
        <f>+AB97+AB96</f>
        <v>0</v>
      </c>
      <c r="AC98" s="138">
        <f t="shared" si="104"/>
        <v>0</v>
      </c>
      <c r="AF98" s="71"/>
      <c r="AG98" s="71"/>
      <c r="AH98" s="71"/>
      <c r="AI98" s="70"/>
      <c r="AJ98" s="70"/>
      <c r="AK98" s="70"/>
      <c r="AL98" s="70"/>
      <c r="AM98" s="70"/>
      <c r="AN98" s="70"/>
      <c r="AO98" s="70"/>
      <c r="AP98" s="70"/>
      <c r="AQ98" s="70"/>
      <c r="AR98" s="70"/>
      <c r="AS98" s="70"/>
      <c r="AT98" s="70"/>
      <c r="AU98" s="70"/>
      <c r="AV98" s="70"/>
      <c r="AW98" s="70"/>
      <c r="AX98" s="70"/>
      <c r="AY98" s="70"/>
      <c r="AZ98" s="70"/>
      <c r="BA98" s="70"/>
      <c r="BB98" s="70"/>
      <c r="BC98" s="70"/>
      <c r="BD98" s="70"/>
      <c r="BE98" s="70"/>
      <c r="BF98" s="70"/>
      <c r="BG98" s="70"/>
      <c r="BH98" s="70"/>
      <c r="BI98" s="70"/>
      <c r="BJ98" s="70"/>
    </row>
    <row r="99" spans="14:62" s="9" customFormat="1" ht="14.25" customHeight="1">
      <c r="N99" s="79"/>
      <c r="O99" s="90"/>
      <c r="P99" s="90"/>
      <c r="Q99" s="150" t="s">
        <v>0</v>
      </c>
      <c r="R99" s="312">
        <f t="shared" si="103"/>
        <v>0</v>
      </c>
      <c r="S99" s="153">
        <f>IF($C$12=2,S96*$C$6/100,
IF($G$6=Lister!$D$4,S96*$C$6/100,
IF($G$6=Lister!$D$5,S98*$C$6/100,
IF($G$6=Lister!$D$6,(S98-SUMIFS(C62:C74,$O$62:$O$74,Lister!$D$31,$A$62:$A$74,Lister!$M$10)-SUMIFS(C62:C74,$O$62:$O$74,Lister!$D$32,$A$62:$A$74,Lister!$M$10))*$C$6/100,
IF($G$6=Lister!$D$7,(S98-SUMIFS(C62:C74,$O$62:$O$74,Lister!$D$31,$A$62:$A$74,Lister!$M$10)-SUMIFS(C62:C74,$O$62:$O$74,Lister!$D$32,$A$62:$A$74,Lister!$M$10)-SUMIFS(C62:C74,$O$62:$O$74,Lister!$D$31,$A$62:$A$74,Lister!$M$7)-SUMIFS(C62:C74,$O$62:$O$74,Lister!$D$32,$A$62:$A$74,Lister!$M$7))*$C$6/100,
IF($G$6=Lister!$D$8,(S98+S100)*$C$6/100,
IF($G$6=Lister!$D$9,S97*$C$6/100,0)))))))</f>
        <v>0</v>
      </c>
      <c r="T99" s="323">
        <f>IF($C$12=2,T96*$C$6/100,
IF($G$6=Lister!$D$4,T96*$C$6/100,
IF($G$6=Lister!$D$5,T98*$C$6/100,
IF($G$6=Lister!$D$6,(T98-SUMIFS(D62:D74,$O$62:$O$74,Lister!$D$31,$A$62:$A$74,Lister!$M$10)-SUMIFS(D62:D74,$O$62:$O$74,Lister!$D$32,$A$62:$A$74,Lister!$M$10))*$C$6/100,
IF($G$6=Lister!$D$7,(T98-SUMIFS(D62:D74,$O$62:$O$74,Lister!$D$31,$A$62:$A$74,Lister!$M$10)-SUMIFS(D62:D74,$O$62:$O$74,Lister!$D$32,$A$62:$A$74,Lister!$M$10)-SUMIFS(D62:D74,$O$62:$O$74,Lister!$D$31,$A$62:$A$74,Lister!$M$7)-SUMIFS(D62:D74,$O$62:$O$74,Lister!$D$32,$A$62:$A$74,Lister!$M$7))*$C$6/100,
IF($G$6=Lister!$D$8,(T98+T100)*$C$6/100,
IF($G$6=Lister!$D$9,T97*$C$6/100,0)))))))</f>
        <v>0</v>
      </c>
      <c r="U99" s="323">
        <f>IF($C$12=2,U96*$C$6/100,
IF($G$6=Lister!$D$4,U96*$C$6/100,
IF($G$6=Lister!$D$5,U98*$C$6/100,
IF($G$6=Lister!$D$6,(U98-SUMIFS(E62:E74,$O$62:$O$74,Lister!$D$31,$A$62:$A$74,Lister!$M$10)-SUMIFS(E62:E74,$O$62:$O$74,Lister!$D$32,$A$62:$A$74,Lister!$M$10))*$C$6/100,
IF($G$6=Lister!$D$7,(U98-SUMIFS(E62:E74,$O$62:$O$74,Lister!$D$31,$A$62:$A$74,Lister!$M$10)-SUMIFS(E62:E74,$O$62:$O$74,Lister!$D$32,$A$62:$A$74,Lister!$M$10)-SUMIFS(E62:E74,$O$62:$O$74,Lister!$D$31,$A$62:$A$74,Lister!$M$7)-SUMIFS(E62:E74,$O$62:$O$74,Lister!$D$32,$A$62:$A$74,Lister!$M$7))*$C$6/100,
IF($G$6=Lister!$D$8,(U98+U100)*$C$6/100,
IF($G$6=Lister!$D$9,U97*$C$6/100,0)))))))</f>
        <v>0</v>
      </c>
      <c r="V99" s="323">
        <f>IF($C$12=2,V96*$C$6/100,
IF($G$6=Lister!$D$4,V96*$C$6/100,
IF($G$6=Lister!$D$5,V98*$C$6/100,
IF($G$6=Lister!$D$6,(V98-SUMIFS(F62:F74,$O$62:$O$74,Lister!$D$31,$A$62:$A$74,Lister!$M$10)-SUMIFS(F62:F74,$O$62:$O$74,Lister!$D$32,$A$62:$A$74,Lister!$M$10))*$C$6/100,
IF($G$6=Lister!$D$7,(V98-SUMIFS(F62:F74,$O$62:$O$74,Lister!$D$31,$A$62:$A$74,Lister!$M$10)-SUMIFS(F62:F74,$O$62:$O$74,Lister!$D$32,$A$62:$A$74,Lister!$M$10)-SUMIFS(F62:F74,$O$62:$O$74,Lister!$D$31,$A$62:$A$74,Lister!$M$7)-SUMIFS(F62:F74,$O$62:$O$74,Lister!$D$32,$A$62:$A$74,Lister!$M$7))*$C$6/100,
IF($G$6=Lister!$D$8,(V98+V100)*$C$6/100,
IF($G$6=Lister!$D$9,V97*$C$6/100,0)))))))</f>
        <v>0</v>
      </c>
      <c r="W99" s="323">
        <f>IF($C$12=2,W96*$C$6/100,
IF($G$6=Lister!$D$4,W96*$C$6/100,
IF($G$6=Lister!$D$5,W98*$C$6/100,
IF($G$6=Lister!$D$6,(W98-SUMIFS(G62:G74,$O$62:$O$74,Lister!$D$31,$A$62:$A$74,Lister!$M$10)-SUMIFS(G62:G74,$O$62:$O$74,Lister!$D$32,$A$62:$A$74,Lister!$M$10))*$C$6/100,
IF($G$6=Lister!$D$7,(W98-SUMIFS(G62:G74,$O$62:$O$74,Lister!$D$31,$A$62:$A$74,Lister!$M$10)-SUMIFS(G62:G74,$O$62:$O$74,Lister!$D$32,$A$62:$A$74,Lister!$M$10)-SUMIFS(G62:G74,$O$62:$O$74,Lister!$D$31,$A$62:$A$74,Lister!$M$7)-SUMIFS(G62:G74,$O$62:$O$74,Lister!$D$32,$A$62:$A$74,Lister!$M$7))*$C$6/100,
IF($G$6=Lister!$D$8,(W98+W100)*$C$6/100,
IF($G$6=Lister!$D$9,W97*$C$6/100,0)))))))</f>
        <v>0</v>
      </c>
      <c r="X99" s="324">
        <f>IF($C$12=2,X96*$C$6/100,
IF($G$6=Lister!$D$4,X96*$C$6/100,
IF($G$6=Lister!$D$5,X98*$C$6/100,
IF($G$6=Lister!$D$6,(X98-SUMIFS(H62:H74,$O$62:$O$74,Lister!$D$31,$A$62:$A$74,Lister!$M$10)-SUMIFS(H62:H74,$O$62:$O$74,Lister!$D$32,$A$62:$A$74,Lister!$M$10))*$C$6/100,
IF($G$6=Lister!$D$7,(X98-SUMIFS(H62:H74,$O$62:$O$74,Lister!$D$31,$A$62:$A$74,Lister!$M$10)-SUMIFS(H62:H74,$O$62:$O$74,Lister!$D$32,$A$62:$A$74,Lister!$M$10)-SUMIFS(H62:H74,$O$62:$O$74,Lister!$D$31,$A$62:$A$74,Lister!$M$7)-SUMIFS(H62:H74,$O$62:$O$74,Lister!$D$32,$A$62:$A$74,Lister!$M$7))*$C$6/100,
IF($G$6=Lister!$D$8,(X98+X100)*$C$6/100,
IF($G$6=Lister!$D$9,X97*$C$6/100,0)))))))</f>
        <v>0</v>
      </c>
      <c r="Y99" s="205">
        <f>IF($C$12=2,Y96*$C$6/100,
IF($G$6=Lister!$D$4,Y96*$C$6/100,
IF($G$6=Lister!$D$5,Y98*$C$6/100,
IF($G$6=Lister!$D$6,(Y98-SUMIFS(I62:I74,$O$62:$O$74,Lister!$D$31,$A$62:$A$74,Lister!$M$10)-SUMIFS(I62:I74,$O$62:$O$74,Lister!$D$32,$A$62:$A$74,Lister!$M$10))*$C$6/100,
IF($G$6=Lister!$D$7,(Y98-SUMIFS(I62:I74,$O$62:$O$74,Lister!$D$31,$A$62:$A$74,Lister!$M$10)-SUMIFS(I62:I74,$O$62:$O$74,Lister!$D$32,$A$62:$A$74,Lister!$M$10)-SUMIFS(I62:I74,$O$62:$O$74,Lister!$D$31,$A$62:$A$74,Lister!$M$7)-SUMIFS(I62:I74,$O$62:$O$74,Lister!$D$32,$A$62:$A$74,Lister!$M$7))*$C$6/100,
IF($G$6=Lister!$D$8,(Y98+Y100)*$C$6/100,
IF($G$6=Lister!$D$9,Y97*$C$6/100,0)))))))</f>
        <v>0</v>
      </c>
      <c r="Z99" s="204">
        <f>IF($C$12=2,Z96*$C$6/100,
IF($G$6=Lister!$D$4,Z96*$C$6/100,
IF($G$6=Lister!$D$5,Z98*$C$6/100,
IF($G$6=Lister!$D$6,(Z98-SUMIFS(J62:J74,$O$62:$O$74,Lister!$D$31,$A$62:$A$74,Lister!$M$10)-SUMIFS(J62:J74,$O$62:$O$74,Lister!$D$32,$A$62:$A$74,Lister!$M$10))*$C$6/100,
IF($G$6=Lister!$D$7,(Z98-SUMIFS(J62:J74,$O$62:$O$74,Lister!$D$31,$A$62:$A$74,Lister!$M$10)-SUMIFS(J62:J74,$O$62:$O$74,Lister!$D$32,$A$62:$A$74,Lister!$M$10)-SUMIFS(J62:J74,$O$62:$O$74,Lister!$D$31,$A$62:$A$74,Lister!$M$7)-SUMIFS(J62:J74,$O$62:$O$74,Lister!$D$32,$A$62:$A$74,Lister!$M$7))*$C$6/100,
IF($G$6=Lister!$D$8,(Z98+Z100)*$C$6/100,
IF($G$6=Lister!$D$9,Z97*$C$6/100,0)))))))</f>
        <v>0</v>
      </c>
      <c r="AA99" s="204">
        <f>IF($C$12=2,AA96*$C$6/100,
IF($G$6=Lister!$D$4,AA96*$C$6/100,
IF($G$6=Lister!$D$5,AA98*$C$6/100,
IF($G$6=Lister!$D$6,(AA98-SUMIFS(K62:K74,$O$62:$O$74,Lister!$D$31,$A$62:$A$74,Lister!$M$10)-SUMIFS(K62:K74,$O$62:$O$74,Lister!$D$32,$A$62:$A$74,Lister!$M$10))*$C$6/100,
IF($G$6=Lister!$D$7,(AA98-SUMIFS(K62:K74,$O$62:$O$74,Lister!$D$31,$A$62:$A$74,Lister!$M$10)-SUMIFS(K62:K74,$O$62:$O$74,Lister!$D$32,$A$62:$A$74,Lister!$M$10)-SUMIFS(K62:K74,$O$62:$O$74,Lister!$D$31,$A$62:$A$74,Lister!$M$7)-SUMIFS(K62:K74,$O$62:$O$74,Lister!$D$32,$A$62:$A$74,Lister!$M$7))*$C$6/100,
IF($G$6=Lister!$D$8,(AA98+AA100)*$C$6/100,
IF($G$6=Lister!$D$9,AA97*$C$6/100,0)))))))</f>
        <v>0</v>
      </c>
      <c r="AB99" s="204">
        <f>IF($C$12=2,AB96*$C$6/100,
IF($G$6=Lister!$D$4,AB96*$C$6/100,
IF($G$6=Lister!$D$5,AB98*$C$6/100,
IF($G$6=Lister!$D$6,(AB98-SUMIFS(L62:L74,$O$62:$O$74,Lister!$D$31,$A$62:$A$74,Lister!$M$10)-SUMIFS(L62:L74,$O$62:$O$74,Lister!$D$32,$A$62:$A$74,Lister!$M$10))*$C$6/100,
IF($G$6=Lister!$D$7,(AB98-SUMIFS(L62:L74,$O$62:$O$74,Lister!$D$31,$A$62:$A$74,Lister!$M$10)-SUMIFS(L62:L74,$O$62:$O$74,Lister!$D$32,$A$62:$A$74,Lister!$M$10)-SUMIFS(L62:L74,$O$62:$O$74,Lister!$D$31,$A$62:$A$74,Lister!$M$7)-SUMIFS(L62:L74,$O$62:$O$74,Lister!$D$32,$A$62:$A$74,Lister!$M$7))*$C$6/100,
IF($G$6=Lister!$D$8,(AB98+AB100)*$C$6/100,
IF($G$6=Lister!$D$9,AB97*$C$6/100,0)))))))</f>
        <v>0</v>
      </c>
      <c r="AC99" s="138">
        <f t="shared" si="104"/>
        <v>0</v>
      </c>
      <c r="AF99" s="71"/>
      <c r="AG99" s="71"/>
      <c r="AH99" s="71"/>
      <c r="AI99" s="79"/>
      <c r="AJ99" s="79"/>
      <c r="AK99" s="79"/>
      <c r="AL99" s="79"/>
      <c r="AM99" s="79"/>
      <c r="AN99" s="79"/>
      <c r="AO99" s="79"/>
      <c r="AP99" s="79"/>
      <c r="AQ99" s="79"/>
      <c r="AR99" s="79"/>
      <c r="AS99" s="79"/>
      <c r="AT99" s="79"/>
      <c r="AU99" s="79"/>
      <c r="AV99" s="79"/>
      <c r="AW99" s="79"/>
      <c r="AX99" s="79"/>
      <c r="AY99" s="79"/>
      <c r="AZ99" s="79"/>
      <c r="BA99" s="79"/>
      <c r="BB99" s="79"/>
      <c r="BC99" s="79"/>
      <c r="BD99" s="79"/>
      <c r="BE99" s="79"/>
      <c r="BF99" s="79"/>
      <c r="BG99" s="79"/>
      <c r="BH99" s="79"/>
      <c r="BI99" s="79"/>
      <c r="BJ99" s="79"/>
    </row>
    <row r="100" spans="14:62" s="9" customFormat="1" ht="14.25" customHeight="1">
      <c r="N100" s="71"/>
      <c r="O100" s="87"/>
      <c r="P100" s="87"/>
      <c r="Q100" s="151" t="s">
        <v>103</v>
      </c>
      <c r="R100" s="312">
        <f t="shared" si="103"/>
        <v>0</v>
      </c>
      <c r="S100" s="153">
        <f>+IF($C$8=Lister!$O$5,(SUMIF($O$20:$O$29,Lister!$D$31,C20:C29)+SUMIF($O$20:$O$29,Lister!$D$32,C20:C29))*Takstblad!C$84,0)</f>
        <v>0</v>
      </c>
      <c r="T100" s="153">
        <f>+IF($C$8=Lister!$O$5,(SUMIF($O$20:$O$29,Lister!$D$31,D20:D29)+SUMIF($O$20:$O$29,Lister!$D$32,D20:D29))*Takstblad!D$84,0)</f>
        <v>0</v>
      </c>
      <c r="U100" s="153">
        <f>+IF($C$8=Lister!$O$5,(SUMIF($O$20:$O$29,Lister!$D$31,E20:E29)+SUMIF($O$20:$O$29,Lister!$D$32,E20:E29))*Takstblad!E$84,0)</f>
        <v>0</v>
      </c>
      <c r="V100" s="153">
        <f>+IF($C$8=Lister!$O$5,(SUMIF($O$20:$O$29,Lister!$D$31,F20:F29)+SUMIF($O$20:$O$29,Lister!$D$32,F20:F29))*Takstblad!F$84,0)</f>
        <v>0</v>
      </c>
      <c r="W100" s="153">
        <f>+IF($C$8=Lister!$O$5,(SUMIF($O$20:$O$29,Lister!$D$31,G20:G29)+SUMIF($O$20:$O$29,Lister!$D$32,G20:G29))*Takstblad!G$84,0)</f>
        <v>0</v>
      </c>
      <c r="X100" s="300">
        <f>+IF($C$8=Lister!$O$5,(SUMIF($O$20:$O$29,Lister!$D$31,H20:H29)+SUMIF($O$20:$O$29,Lister!$D$32,H20:H29))*Takstblad!H$84,0)</f>
        <v>0</v>
      </c>
      <c r="Y100" s="110">
        <f>+IF($C$8=Lister!$O$5,(SUMIF($O$20:$O$29,Lister!$D$31,I20:I29)+SUMIF($O$20:$O$29,Lister!$D$32,I20:I29))*Takstblad!I$84,0)</f>
        <v>0</v>
      </c>
      <c r="Z100" s="21">
        <f>+IF($C$8=Lister!$O$5,(SUMIF($O$20:$O$29,Lister!$D$31,J20:J29)+SUMIF($O$20:$O$29,Lister!$D$32,J20:J29))*Takstblad!J$84,0)</f>
        <v>0</v>
      </c>
      <c r="AA100" s="21">
        <f>+IF($C$8=Lister!$O$5,(SUMIF($O$20:$O$29,Lister!$D$31,K20:K29)+SUMIF($O$20:$O$29,Lister!$D$32,K20:K29))*Takstblad!K$84,0)</f>
        <v>0</v>
      </c>
      <c r="AB100" s="21">
        <f>+IF($C$8=Lister!$O$5,(SUMIF($O$20:$O$29,Lister!$D$31,L20:L29)+SUMIF($O$20:$O$29,Lister!$D$32,L20:L29))*Takstblad!L$84,0)</f>
        <v>0</v>
      </c>
      <c r="AC100" s="138">
        <f t="shared" si="104"/>
        <v>0</v>
      </c>
      <c r="AF100" s="70"/>
      <c r="AG100" s="70"/>
      <c r="AH100" s="70"/>
      <c r="AI100" s="71"/>
      <c r="AJ100" s="71"/>
      <c r="AK100" s="71"/>
      <c r="AL100" s="71"/>
      <c r="AM100" s="71"/>
      <c r="AN100" s="71"/>
      <c r="AO100" s="71"/>
      <c r="AP100" s="71"/>
      <c r="AQ100" s="71"/>
      <c r="AR100" s="71"/>
      <c r="AS100" s="71"/>
      <c r="AT100" s="71"/>
      <c r="AU100" s="71"/>
      <c r="AV100" s="71"/>
      <c r="AW100" s="71"/>
      <c r="AX100" s="71"/>
      <c r="AY100" s="71"/>
      <c r="AZ100" s="71"/>
      <c r="BA100" s="71"/>
      <c r="BB100" s="71"/>
      <c r="BC100" s="71"/>
      <c r="BD100" s="71"/>
      <c r="BE100" s="71"/>
      <c r="BF100" s="71"/>
      <c r="BG100" s="71"/>
      <c r="BH100" s="71"/>
      <c r="BI100" s="71"/>
      <c r="BJ100" s="71"/>
    </row>
    <row r="101" spans="14:62" s="9" customFormat="1" ht="14.25" customHeight="1">
      <c r="N101" s="71"/>
      <c r="O101" s="87"/>
      <c r="P101" s="87"/>
      <c r="Q101" s="151" t="s">
        <v>108</v>
      </c>
      <c r="R101" s="312">
        <f t="shared" si="103"/>
        <v>0</v>
      </c>
      <c r="S101" s="153"/>
      <c r="T101" s="155"/>
      <c r="U101" s="155"/>
      <c r="V101" s="155"/>
      <c r="W101" s="155"/>
      <c r="X101" s="308"/>
      <c r="Y101" s="114"/>
      <c r="Z101" s="115"/>
      <c r="AA101" s="115"/>
      <c r="AB101" s="115"/>
      <c r="AC101" s="138">
        <f t="shared" si="104"/>
        <v>0</v>
      </c>
      <c r="AF101" s="79"/>
      <c r="AG101" s="79"/>
      <c r="AH101" s="79"/>
      <c r="AI101" s="71"/>
      <c r="AJ101" s="71"/>
      <c r="AK101" s="71"/>
      <c r="AL101" s="71"/>
      <c r="AM101" s="71"/>
      <c r="AN101" s="71"/>
      <c r="AO101" s="71"/>
      <c r="AP101" s="71"/>
      <c r="AQ101" s="71"/>
      <c r="AR101" s="71"/>
      <c r="AS101" s="71"/>
      <c r="AT101" s="71"/>
      <c r="AU101" s="71"/>
      <c r="AV101" s="71"/>
      <c r="AW101" s="71"/>
      <c r="AX101" s="71"/>
      <c r="AY101" s="71"/>
      <c r="AZ101" s="71"/>
      <c r="BA101" s="71"/>
      <c r="BB101" s="71"/>
      <c r="BC101" s="71"/>
      <c r="BD101" s="71"/>
      <c r="BE101" s="71"/>
      <c r="BF101" s="71"/>
      <c r="BG101" s="71"/>
      <c r="BH101" s="71"/>
      <c r="BI101" s="71"/>
      <c r="BJ101" s="71"/>
    </row>
    <row r="102" spans="14:62" s="9" customFormat="1" ht="14.25" customHeight="1">
      <c r="N102" s="71"/>
      <c r="O102" s="87"/>
      <c r="P102" s="87"/>
      <c r="Q102" s="150" t="s">
        <v>531</v>
      </c>
      <c r="R102" s="312">
        <f t="shared" si="103"/>
        <v>0</v>
      </c>
      <c r="S102" s="153" t="str">
        <f>IF($C$12=2,(SUM(S98:S101)*$C$13)/100,"0")</f>
        <v>0</v>
      </c>
      <c r="T102" s="155" t="str">
        <f t="shared" ref="T102:Z102" si="107">IF($C$12=2,(SUM(T98:T101)*$C$13)/100,"0")</f>
        <v>0</v>
      </c>
      <c r="U102" s="155" t="str">
        <f t="shared" si="107"/>
        <v>0</v>
      </c>
      <c r="V102" s="155" t="str">
        <f t="shared" si="107"/>
        <v>0</v>
      </c>
      <c r="W102" s="155" t="str">
        <f t="shared" si="107"/>
        <v>0</v>
      </c>
      <c r="X102" s="308" t="str">
        <f t="shared" si="107"/>
        <v>0</v>
      </c>
      <c r="Y102" s="156" t="str">
        <f t="shared" si="107"/>
        <v>0</v>
      </c>
      <c r="Z102" s="155" t="str">
        <f t="shared" si="107"/>
        <v>0</v>
      </c>
      <c r="AA102" s="155" t="str">
        <f>IF($C$12=2,(SUM(AA98:AA101)*$C$13)/100,"0")</f>
        <v>0</v>
      </c>
      <c r="AB102" s="155" t="str">
        <f>IF($C$12=2,(SUM(AB98:AB101)*$C$13)/100,"0")</f>
        <v>0</v>
      </c>
      <c r="AC102" s="138">
        <f t="shared" si="104"/>
        <v>0</v>
      </c>
      <c r="AF102" s="71"/>
      <c r="AG102" s="71"/>
      <c r="AH102" s="71"/>
      <c r="AI102" s="71"/>
      <c r="AJ102" s="71"/>
      <c r="AK102" s="71"/>
      <c r="AL102" s="71"/>
      <c r="AM102" s="71"/>
      <c r="AN102" s="71"/>
      <c r="AO102" s="71"/>
      <c r="AP102" s="71"/>
      <c r="AQ102" s="71"/>
      <c r="AR102" s="71"/>
      <c r="AS102" s="71"/>
      <c r="AT102" s="71"/>
      <c r="AU102" s="71"/>
      <c r="AV102" s="71"/>
      <c r="AW102" s="71"/>
      <c r="AX102" s="71"/>
      <c r="AY102" s="71"/>
      <c r="AZ102" s="71"/>
      <c r="BA102" s="71"/>
      <c r="BB102" s="71"/>
      <c r="BC102" s="71"/>
      <c r="BD102" s="71"/>
      <c r="BE102" s="71"/>
      <c r="BF102" s="71"/>
      <c r="BG102" s="71"/>
      <c r="BH102" s="71"/>
      <c r="BI102" s="71"/>
      <c r="BJ102" s="71"/>
    </row>
    <row r="103" spans="14:62" s="9" customFormat="1" ht="14.25" customHeight="1">
      <c r="N103" s="71"/>
      <c r="O103" s="87"/>
      <c r="P103" s="87"/>
      <c r="Q103" s="149" t="s">
        <v>101</v>
      </c>
      <c r="R103" s="312">
        <f t="shared" si="103"/>
        <v>0</v>
      </c>
      <c r="S103" s="313">
        <f>+SUM(S98:S102)</f>
        <v>0</v>
      </c>
      <c r="T103" s="313">
        <f t="shared" ref="T103:Z103" si="108">+SUM(T98:T102)</f>
        <v>0</v>
      </c>
      <c r="U103" s="313">
        <f t="shared" si="108"/>
        <v>0</v>
      </c>
      <c r="V103" s="313">
        <f t="shared" si="108"/>
        <v>0</v>
      </c>
      <c r="W103" s="313">
        <f t="shared" si="108"/>
        <v>0</v>
      </c>
      <c r="X103" s="314">
        <f t="shared" si="108"/>
        <v>0</v>
      </c>
      <c r="Y103" s="296">
        <f t="shared" si="108"/>
        <v>0</v>
      </c>
      <c r="Z103" s="137">
        <f t="shared" si="108"/>
        <v>0</v>
      </c>
      <c r="AA103" s="137">
        <f>+SUM(AA98:AA102)</f>
        <v>0</v>
      </c>
      <c r="AB103" s="137">
        <f>+SUM(AB98:AB102)</f>
        <v>0</v>
      </c>
      <c r="AC103" s="138">
        <f t="shared" si="104"/>
        <v>0</v>
      </c>
      <c r="AD103" s="71"/>
      <c r="AE103" s="71"/>
      <c r="AF103" s="71"/>
      <c r="AG103" s="71"/>
      <c r="AH103" s="71"/>
      <c r="AI103" s="71"/>
      <c r="AJ103" s="71"/>
      <c r="AK103" s="71"/>
      <c r="AL103" s="71"/>
      <c r="AM103" s="71"/>
      <c r="AN103" s="71"/>
      <c r="AO103" s="71"/>
      <c r="AP103" s="71"/>
      <c r="AQ103" s="71"/>
      <c r="AR103" s="71"/>
      <c r="AS103" s="71"/>
      <c r="AT103" s="71"/>
      <c r="AU103" s="71"/>
      <c r="AV103" s="71"/>
      <c r="AW103" s="71"/>
      <c r="AX103" s="71"/>
      <c r="AY103" s="71"/>
      <c r="AZ103" s="71"/>
      <c r="BA103" s="71"/>
      <c r="BB103" s="71"/>
      <c r="BC103" s="71"/>
      <c r="BD103" s="71"/>
      <c r="BE103" s="71"/>
      <c r="BF103" s="71"/>
      <c r="BG103" s="71"/>
      <c r="BH103" s="71"/>
      <c r="BI103" s="71"/>
      <c r="BJ103" s="71"/>
    </row>
    <row r="104" spans="14:62" s="9" customFormat="1" ht="14.25" customHeight="1">
      <c r="N104" s="71"/>
      <c r="O104" s="87"/>
      <c r="P104" s="87"/>
      <c r="Q104" s="227"/>
      <c r="R104" s="228"/>
      <c r="S104" s="23"/>
      <c r="X104" s="228"/>
      <c r="AC104" s="228"/>
      <c r="AD104" s="71"/>
      <c r="AE104" s="71"/>
      <c r="AF104" s="71"/>
      <c r="AG104" s="71"/>
      <c r="AH104" s="71"/>
      <c r="AI104" s="71"/>
      <c r="AJ104" s="71"/>
      <c r="AK104" s="71"/>
      <c r="AL104" s="71"/>
      <c r="AM104" s="71"/>
      <c r="AN104" s="71"/>
      <c r="AO104" s="71"/>
      <c r="AP104" s="71"/>
      <c r="AQ104" s="71"/>
      <c r="AR104" s="71"/>
      <c r="AS104" s="71"/>
      <c r="AT104" s="71"/>
      <c r="AU104" s="71"/>
      <c r="AV104" s="71"/>
      <c r="AW104" s="71"/>
      <c r="AX104" s="71"/>
      <c r="AY104" s="71"/>
      <c r="AZ104" s="71"/>
      <c r="BA104" s="71"/>
      <c r="BB104" s="71"/>
      <c r="BC104" s="71"/>
      <c r="BD104" s="71"/>
      <c r="BE104" s="71"/>
      <c r="BF104" s="71"/>
      <c r="BG104" s="71"/>
      <c r="BH104" s="71"/>
      <c r="BI104" s="71"/>
      <c r="BJ104" s="71"/>
    </row>
    <row r="105" spans="14:62" s="9" customFormat="1" ht="14.25" customHeight="1">
      <c r="N105" s="71"/>
      <c r="O105" s="87"/>
      <c r="P105" s="87"/>
      <c r="Q105" s="130" t="s">
        <v>152</v>
      </c>
      <c r="R105" s="131"/>
      <c r="S105" s="230"/>
      <c r="T105" s="136"/>
      <c r="U105" s="136"/>
      <c r="V105" s="136"/>
      <c r="W105" s="136"/>
      <c r="X105" s="305"/>
      <c r="Y105" s="136"/>
      <c r="Z105" s="136"/>
      <c r="AA105" s="136"/>
      <c r="AB105" s="136"/>
      <c r="AC105" s="131"/>
      <c r="AD105" s="71"/>
      <c r="AE105" s="71"/>
      <c r="AF105" s="71"/>
      <c r="AG105" s="71"/>
      <c r="AH105" s="71"/>
      <c r="AI105" s="71"/>
      <c r="AJ105" s="71"/>
      <c r="AK105" s="71"/>
      <c r="AL105" s="71"/>
      <c r="AM105" s="71"/>
      <c r="AN105" s="71"/>
      <c r="AO105" s="71"/>
      <c r="AP105" s="71"/>
      <c r="AQ105" s="71"/>
      <c r="AR105" s="71"/>
      <c r="AS105" s="71"/>
      <c r="AT105" s="71"/>
      <c r="AU105" s="71"/>
      <c r="AV105" s="71"/>
      <c r="AW105" s="71"/>
      <c r="AX105" s="71"/>
      <c r="AY105" s="71"/>
      <c r="AZ105" s="71"/>
      <c r="BA105" s="71"/>
      <c r="BB105" s="71"/>
      <c r="BC105" s="71"/>
      <c r="BD105" s="71"/>
      <c r="BE105" s="71"/>
      <c r="BF105" s="71"/>
      <c r="BG105" s="71"/>
      <c r="BH105" s="71"/>
      <c r="BI105" s="71"/>
      <c r="BJ105" s="71"/>
    </row>
    <row r="106" spans="14:62" s="9" customFormat="1" ht="14.25" customHeight="1">
      <c r="N106" s="71"/>
      <c r="O106" s="87"/>
      <c r="P106" s="87"/>
      <c r="Q106" s="134"/>
      <c r="R106" s="133"/>
      <c r="S106" s="16"/>
      <c r="T106" s="76"/>
      <c r="U106" s="76"/>
      <c r="V106" s="76"/>
      <c r="W106" s="76"/>
      <c r="X106" s="133"/>
      <c r="Y106" s="76"/>
      <c r="Z106" s="76"/>
      <c r="AA106" s="76"/>
      <c r="AB106" s="76"/>
      <c r="AC106" s="133"/>
      <c r="AD106" s="71"/>
      <c r="AE106" s="71"/>
      <c r="AF106" s="71"/>
      <c r="AG106" s="71"/>
      <c r="AH106" s="71"/>
      <c r="AI106" s="71"/>
      <c r="AJ106" s="71"/>
      <c r="AK106" s="71"/>
      <c r="AL106" s="71"/>
      <c r="AM106" s="71"/>
      <c r="AN106" s="71"/>
      <c r="AO106" s="71"/>
      <c r="AP106" s="71"/>
      <c r="AQ106" s="71"/>
      <c r="AR106" s="71"/>
      <c r="AS106" s="71"/>
      <c r="AT106" s="71"/>
      <c r="AU106" s="71"/>
      <c r="AV106" s="71"/>
      <c r="AW106" s="71"/>
      <c r="AX106" s="71"/>
      <c r="AY106" s="71"/>
      <c r="AZ106" s="71"/>
      <c r="BA106" s="71"/>
      <c r="BB106" s="71"/>
      <c r="BC106" s="71"/>
      <c r="BD106" s="71"/>
      <c r="BE106" s="71"/>
      <c r="BF106" s="71"/>
      <c r="BG106" s="71"/>
      <c r="BH106" s="71"/>
      <c r="BI106" s="71"/>
      <c r="BJ106" s="71"/>
    </row>
    <row r="107" spans="14:62" s="9" customFormat="1" ht="14.25" customHeight="1">
      <c r="N107" s="71"/>
      <c r="O107" s="87"/>
      <c r="P107" s="87"/>
      <c r="Q107" s="152" t="s">
        <v>22</v>
      </c>
      <c r="R107" s="124" t="s">
        <v>34</v>
      </c>
      <c r="S107" s="45">
        <f>+S93</f>
        <v>2026</v>
      </c>
      <c r="T107" s="8">
        <f t="shared" ref="T107:Z107" si="109">+T93</f>
        <v>2027</v>
      </c>
      <c r="U107" s="8">
        <f t="shared" si="109"/>
        <v>2028</v>
      </c>
      <c r="V107" s="8">
        <f t="shared" si="109"/>
        <v>2029</v>
      </c>
      <c r="W107" s="8">
        <f t="shared" si="109"/>
        <v>2030</v>
      </c>
      <c r="X107" s="124">
        <f t="shared" si="109"/>
        <v>2031</v>
      </c>
      <c r="Y107" s="8">
        <f t="shared" si="109"/>
        <v>2032</v>
      </c>
      <c r="Z107" s="8">
        <f t="shared" si="109"/>
        <v>2033</v>
      </c>
      <c r="AA107" s="8">
        <f>+AA93</f>
        <v>2034</v>
      </c>
      <c r="AB107" s="8">
        <f>+AB93</f>
        <v>2035</v>
      </c>
      <c r="AC107" s="124" t="s">
        <v>34</v>
      </c>
      <c r="AD107" s="71"/>
      <c r="AE107" s="71"/>
      <c r="AF107" s="71"/>
      <c r="AG107" s="71"/>
      <c r="AH107" s="71"/>
      <c r="AI107" s="71"/>
      <c r="AJ107" s="71"/>
      <c r="AK107" s="71"/>
      <c r="AL107" s="71"/>
      <c r="AM107" s="71"/>
      <c r="AN107" s="71"/>
      <c r="AO107" s="71"/>
      <c r="AP107" s="71"/>
      <c r="AQ107" s="71"/>
      <c r="AR107" s="71"/>
      <c r="AS107" s="71"/>
      <c r="AT107" s="71"/>
      <c r="AU107" s="71"/>
      <c r="AV107" s="71"/>
      <c r="AW107" s="71"/>
      <c r="AX107" s="71"/>
      <c r="AY107" s="71"/>
      <c r="AZ107" s="71"/>
      <c r="BA107" s="71"/>
      <c r="BB107" s="71"/>
      <c r="BC107" s="71"/>
      <c r="BD107" s="71"/>
      <c r="BE107" s="71"/>
      <c r="BF107" s="71"/>
      <c r="BG107" s="71"/>
      <c r="BH107" s="71"/>
      <c r="BI107" s="71"/>
      <c r="BJ107" s="71"/>
    </row>
    <row r="108" spans="14:62" s="9" customFormat="1" ht="14.25" customHeight="1">
      <c r="N108" s="71"/>
      <c r="O108" s="87"/>
      <c r="P108" s="87"/>
      <c r="Q108" s="147" t="s">
        <v>74</v>
      </c>
      <c r="R108" s="315">
        <f t="shared" ref="R108:R117" si="110">+AC108</f>
        <v>0</v>
      </c>
      <c r="S108" s="316">
        <f>+SUMIF($O$20:$O$39,Lister!$D$30,S$20:S$39)</f>
        <v>0</v>
      </c>
      <c r="T108" s="316">
        <f>+SUMIF($O$20:$O$39,Lister!$D$30,T$20:T$39)</f>
        <v>0</v>
      </c>
      <c r="U108" s="316">
        <f>+SUMIF($O$20:$O$39,Lister!$D$30,U$20:U$39)</f>
        <v>0</v>
      </c>
      <c r="V108" s="316">
        <f>+SUMIF($O$20:$O$39,Lister!$D$30,V$20:V$39)</f>
        <v>0</v>
      </c>
      <c r="W108" s="316">
        <f>+SUMIF($O$20:$O$39,Lister!$D$30,W$20:W$39)</f>
        <v>0</v>
      </c>
      <c r="X108" s="316">
        <f>+SUMIF($O$20:$O$39,Lister!$D$30,X$20:X$39)</f>
        <v>0</v>
      </c>
      <c r="Y108" s="316">
        <f>+SUMIF($O$20:$O$39,Lister!$D$30,Y$20:Y$39)</f>
        <v>0</v>
      </c>
      <c r="Z108" s="316">
        <f>+SUMIF($O$20:$O$39,Lister!$D$30,Z$20:Z$39)</f>
        <v>0</v>
      </c>
      <c r="AA108" s="316">
        <f>+SUMIF($O$20:$O$39,Lister!$D$30,AA$20:AA$39)</f>
        <v>0</v>
      </c>
      <c r="AB108" s="316">
        <f>+SUMIF($O$20:$O$39,Lister!$D$30,AB$20:AB$39)</f>
        <v>0</v>
      </c>
      <c r="AC108" s="140">
        <f>SUM(S108:AB108)</f>
        <v>0</v>
      </c>
      <c r="AD108" s="71"/>
      <c r="AE108" s="71"/>
      <c r="AF108" s="71"/>
      <c r="AG108" s="71"/>
      <c r="AH108" s="71"/>
      <c r="AI108" s="71"/>
      <c r="AJ108" s="71"/>
      <c r="AK108" s="71"/>
      <c r="AL108" s="71"/>
      <c r="AM108" s="71"/>
      <c r="AN108" s="71"/>
      <c r="AO108" s="71"/>
      <c r="AP108" s="71"/>
      <c r="AQ108" s="71"/>
      <c r="AR108" s="71"/>
      <c r="AS108" s="71"/>
      <c r="AT108" s="71"/>
      <c r="AU108" s="71"/>
      <c r="AV108" s="71"/>
      <c r="AW108" s="71"/>
      <c r="AX108" s="71"/>
      <c r="AY108" s="71"/>
      <c r="AZ108" s="71"/>
      <c r="BA108" s="71"/>
      <c r="BB108" s="71"/>
      <c r="BC108" s="71"/>
      <c r="BD108" s="71"/>
      <c r="BE108" s="71"/>
      <c r="BF108" s="71"/>
      <c r="BG108" s="71"/>
      <c r="BH108" s="71"/>
      <c r="BI108" s="71"/>
      <c r="BJ108" s="71"/>
    </row>
    <row r="109" spans="14:62" s="9" customFormat="1" ht="14.25" customHeight="1">
      <c r="N109" s="71"/>
      <c r="O109" s="87"/>
      <c r="P109" s="87"/>
      <c r="Q109" s="148" t="s">
        <v>75</v>
      </c>
      <c r="R109" s="309">
        <f t="shared" si="110"/>
        <v>0</v>
      </c>
      <c r="S109" s="310">
        <f>+SUMIF($O$43:$O$55,Lister!$D$30,S$43:S$55)</f>
        <v>0</v>
      </c>
      <c r="T109" s="319">
        <f>+SUMIF($O$43:$O$55,Lister!$D$30,T$43:T$55)</f>
        <v>0</v>
      </c>
      <c r="U109" s="310">
        <f>+SUMIF($O$43:$O$55,Lister!$D$30,U$43:U$55)</f>
        <v>0</v>
      </c>
      <c r="V109" s="319">
        <f>+SUMIF($O$43:$O$55,Lister!$D$30,V$43:V$55)</f>
        <v>0</v>
      </c>
      <c r="W109" s="310">
        <f>+SUMIF($O$43:$O$55,Lister!$D$30,W$43:W$55)</f>
        <v>0</v>
      </c>
      <c r="X109" s="320">
        <f>+SUMIF($O$43:$O$55,Lister!$D$30,X$43:X$55)</f>
        <v>0</v>
      </c>
      <c r="Y109" s="295">
        <f>+SUMIF($O$43:$O$55,Lister!$D$30,Y$43:Y$55)</f>
        <v>0</v>
      </c>
      <c r="Z109" s="113">
        <f>+SUMIF($O$43:$O$55,Lister!$D$30,Z$43:Z$55)</f>
        <v>0</v>
      </c>
      <c r="AA109" s="113">
        <f>+SUMIF($O$43:$O$55,Lister!$D$30,AA$43:AA$55)</f>
        <v>0</v>
      </c>
      <c r="AB109" s="113">
        <f>+SUMIF($O$43:$O$55,Lister!$D$30,AB$43:AB$55)</f>
        <v>0</v>
      </c>
      <c r="AC109" s="141">
        <f t="shared" ref="AC109:AC117" si="111">SUM(S109:AB109)</f>
        <v>0</v>
      </c>
      <c r="AD109" s="71"/>
      <c r="AE109" s="71"/>
      <c r="AF109" s="71"/>
      <c r="AG109" s="71"/>
      <c r="AH109" s="71"/>
      <c r="AI109" s="71"/>
      <c r="AJ109" s="71"/>
      <c r="AK109" s="71"/>
      <c r="AL109" s="71"/>
      <c r="AM109" s="71"/>
      <c r="AN109" s="71"/>
      <c r="AO109" s="71"/>
      <c r="AP109" s="71"/>
      <c r="AQ109" s="71"/>
      <c r="AR109" s="71"/>
      <c r="AS109" s="71"/>
      <c r="AT109" s="71"/>
      <c r="AU109" s="71"/>
      <c r="AV109" s="71"/>
      <c r="AW109" s="71"/>
      <c r="AX109" s="71"/>
      <c r="AY109" s="71"/>
      <c r="AZ109" s="71"/>
      <c r="BA109" s="71"/>
      <c r="BB109" s="71"/>
      <c r="BC109" s="71"/>
      <c r="BD109" s="71"/>
      <c r="BE109" s="71"/>
      <c r="BF109" s="71"/>
      <c r="BG109" s="71"/>
      <c r="BH109" s="71"/>
      <c r="BI109" s="71"/>
      <c r="BJ109" s="71"/>
    </row>
    <row r="110" spans="14:62" s="9" customFormat="1" ht="14.25" customHeight="1">
      <c r="N110" s="71"/>
      <c r="O110" s="87"/>
      <c r="P110" s="87"/>
      <c r="Q110" s="149" t="s">
        <v>76</v>
      </c>
      <c r="R110" s="312">
        <f t="shared" si="110"/>
        <v>0</v>
      </c>
      <c r="S110" s="313">
        <f>+SUM(S108:S109)</f>
        <v>0</v>
      </c>
      <c r="T110" s="313">
        <f t="shared" ref="T110:Z110" si="112">+SUM(T108:T109)</f>
        <v>0</v>
      </c>
      <c r="U110" s="313">
        <f t="shared" si="112"/>
        <v>0</v>
      </c>
      <c r="V110" s="313">
        <f t="shared" si="112"/>
        <v>0</v>
      </c>
      <c r="W110" s="313">
        <f t="shared" si="112"/>
        <v>0</v>
      </c>
      <c r="X110" s="314">
        <f t="shared" si="112"/>
        <v>0</v>
      </c>
      <c r="Y110" s="142">
        <f t="shared" si="112"/>
        <v>0</v>
      </c>
      <c r="Z110" s="137">
        <f t="shared" si="112"/>
        <v>0</v>
      </c>
      <c r="AA110" s="137">
        <f>+SUM(AA108:AA109)</f>
        <v>0</v>
      </c>
      <c r="AB110" s="137">
        <f>+SUM(AB108:AB109)</f>
        <v>0</v>
      </c>
      <c r="AC110" s="138">
        <f t="shared" si="111"/>
        <v>0</v>
      </c>
      <c r="AD110" s="71"/>
      <c r="AE110" s="71"/>
      <c r="AF110" s="71"/>
      <c r="AG110" s="71"/>
      <c r="AH110" s="71"/>
      <c r="AI110" s="71"/>
      <c r="AJ110" s="71"/>
      <c r="AK110" s="71"/>
      <c r="AL110" s="71"/>
      <c r="AM110" s="71"/>
      <c r="AN110" s="71"/>
      <c r="AO110" s="71"/>
      <c r="AP110" s="71"/>
      <c r="AQ110" s="71"/>
      <c r="AR110" s="71"/>
      <c r="AS110" s="71"/>
      <c r="AT110" s="71"/>
      <c r="AU110" s="71"/>
      <c r="AV110" s="71"/>
      <c r="AW110" s="71"/>
      <c r="AX110" s="71"/>
      <c r="AY110" s="71"/>
      <c r="AZ110" s="71"/>
      <c r="BA110" s="71"/>
      <c r="BB110" s="71"/>
      <c r="BC110" s="71"/>
      <c r="BD110" s="71"/>
      <c r="BE110" s="71"/>
      <c r="BF110" s="71"/>
      <c r="BG110" s="71"/>
      <c r="BH110" s="71"/>
      <c r="BI110" s="71"/>
      <c r="BJ110" s="71"/>
    </row>
    <row r="111" spans="14:62" s="9" customFormat="1" ht="14.25" customHeight="1">
      <c r="N111" s="71"/>
      <c r="O111" s="87"/>
      <c r="P111" s="87"/>
      <c r="Q111" s="149" t="s">
        <v>77</v>
      </c>
      <c r="R111" s="312">
        <f t="shared" si="110"/>
        <v>0</v>
      </c>
      <c r="S111" s="313">
        <f>+SUMIF($O$62:$O$74,Lister!$D$30,C$62:C$74)</f>
        <v>0</v>
      </c>
      <c r="T111" s="327">
        <f>+SUMIF($O$62:$O$74,Lister!$D$30,D$62:D$74)</f>
        <v>0</v>
      </c>
      <c r="U111" s="327">
        <f>+SUMIF($O$62:$O$74,Lister!$D$30,E$62:E$74)</f>
        <v>0</v>
      </c>
      <c r="V111" s="327">
        <f>+SUMIF($O$62:$O$74,Lister!$D$30,F$62:F$74)</f>
        <v>0</v>
      </c>
      <c r="W111" s="327">
        <f>+SUMIF($O$62:$O$74,Lister!$D$30,G$62:G$74)</f>
        <v>0</v>
      </c>
      <c r="X111" s="328">
        <f>+SUMIF($O$62:$O$74,Lister!$D$30,H$62:H$74)</f>
        <v>0</v>
      </c>
      <c r="Y111" s="209">
        <f>+SUMIF($O$62:$O$74,Lister!$D$30,I$62:I$74)</f>
        <v>0</v>
      </c>
      <c r="Z111" s="208">
        <f>+SUMIF($O$62:$O$74,Lister!$D$30,J$62:J$74)</f>
        <v>0</v>
      </c>
      <c r="AA111" s="208">
        <f>+SUMIF($O$62:$O$74,Lister!$D$30,K$62:K$74)</f>
        <v>0</v>
      </c>
      <c r="AB111" s="208">
        <f>+SUMIF($O$62:$O$74,Lister!$D$30,L$62:L$74)</f>
        <v>0</v>
      </c>
      <c r="AC111" s="138">
        <f t="shared" si="111"/>
        <v>0</v>
      </c>
      <c r="AD111" s="71"/>
      <c r="AE111" s="71"/>
      <c r="AF111" s="71"/>
      <c r="AG111" s="71"/>
      <c r="AH111" s="71"/>
      <c r="AI111" s="71"/>
      <c r="AJ111" s="71"/>
      <c r="AK111" s="71"/>
      <c r="AL111" s="71"/>
      <c r="AM111" s="71"/>
      <c r="AN111" s="71"/>
      <c r="AO111" s="71"/>
      <c r="AP111" s="71"/>
      <c r="AQ111" s="71"/>
      <c r="AR111" s="71"/>
      <c r="AS111" s="71"/>
      <c r="AT111" s="71"/>
      <c r="AU111" s="71"/>
      <c r="AV111" s="71"/>
      <c r="AW111" s="71"/>
      <c r="AX111" s="71"/>
      <c r="AY111" s="71"/>
      <c r="AZ111" s="71"/>
      <c r="BA111" s="71"/>
      <c r="BB111" s="71"/>
      <c r="BC111" s="71"/>
      <c r="BD111" s="71"/>
      <c r="BE111" s="71"/>
      <c r="BF111" s="71"/>
      <c r="BG111" s="71"/>
      <c r="BH111" s="71"/>
      <c r="BI111" s="71"/>
      <c r="BJ111" s="71"/>
    </row>
    <row r="112" spans="14:62" s="9" customFormat="1" ht="14.25" customHeight="1">
      <c r="N112" s="71"/>
      <c r="O112" s="87"/>
      <c r="P112" s="87"/>
      <c r="Q112" s="149" t="s">
        <v>78</v>
      </c>
      <c r="R112" s="312">
        <f t="shared" si="110"/>
        <v>0</v>
      </c>
      <c r="S112" s="313">
        <f>+S111+S110</f>
        <v>0</v>
      </c>
      <c r="T112" s="329">
        <f t="shared" ref="T112:Z112" si="113">+T111+T110</f>
        <v>0</v>
      </c>
      <c r="U112" s="329">
        <f t="shared" si="113"/>
        <v>0</v>
      </c>
      <c r="V112" s="329">
        <f t="shared" si="113"/>
        <v>0</v>
      </c>
      <c r="W112" s="329">
        <f t="shared" si="113"/>
        <v>0</v>
      </c>
      <c r="X112" s="330">
        <f t="shared" si="113"/>
        <v>0</v>
      </c>
      <c r="Y112" s="146">
        <f t="shared" si="113"/>
        <v>0</v>
      </c>
      <c r="Z112" s="145">
        <f t="shared" si="113"/>
        <v>0</v>
      </c>
      <c r="AA112" s="145">
        <f>+AA111+AA110</f>
        <v>0</v>
      </c>
      <c r="AB112" s="145">
        <f>+AB111+AB110</f>
        <v>0</v>
      </c>
      <c r="AC112" s="138">
        <f t="shared" si="111"/>
        <v>0</v>
      </c>
      <c r="AD112" s="71"/>
      <c r="AE112" s="71"/>
      <c r="AF112" s="71"/>
      <c r="AG112" s="71"/>
      <c r="AH112" s="71"/>
      <c r="AI112" s="71"/>
      <c r="AJ112" s="71"/>
      <c r="AK112" s="71"/>
      <c r="AL112" s="71"/>
      <c r="AM112" s="71"/>
      <c r="AN112" s="71"/>
      <c r="AO112" s="71"/>
      <c r="AP112" s="71"/>
      <c r="AQ112" s="71"/>
      <c r="AR112" s="71"/>
      <c r="AS112" s="71"/>
      <c r="AT112" s="71"/>
      <c r="AU112" s="71"/>
      <c r="AV112" s="71"/>
      <c r="AW112" s="71"/>
      <c r="AX112" s="71"/>
      <c r="AY112" s="71"/>
      <c r="AZ112" s="71"/>
      <c r="BA112" s="71"/>
      <c r="BB112" s="71"/>
      <c r="BC112" s="71"/>
      <c r="BD112" s="71"/>
      <c r="BE112" s="71"/>
      <c r="BF112" s="71"/>
      <c r="BG112" s="71"/>
      <c r="BH112" s="71"/>
      <c r="BI112" s="71"/>
      <c r="BJ112" s="71"/>
    </row>
    <row r="113" spans="14:62" s="15" customFormat="1" ht="14.25" customHeight="1">
      <c r="N113" s="71"/>
      <c r="O113" s="87"/>
      <c r="P113" s="87"/>
      <c r="Q113" s="150" t="s">
        <v>0</v>
      </c>
      <c r="R113" s="312">
        <f t="shared" si="110"/>
        <v>0</v>
      </c>
      <c r="S113" s="153">
        <f>IF($C$12=2,S110*$C$6/100,
IF($G$6=Lister!$D$4,S110*$C$6/100,
IF($G$6=Lister!$D$5,S112*$C$6/100,
IF($G$6=Lister!$D$6,(S112-SUMIFS(C62:C74,$O$62:$O$74,Lister!$D$30,$A$62:$A$74,Lister!$M$10))*$C$6/100,
IF($G$6=Lister!$D$7,(S112-SUMIFS(C62:C74,$O$62:$O$74,Lister!$D$30,$A$62:$A$74,Lister!$M$10)-SUMIFS(C62:C74,$O$62:$O$74,Lister!$D$30,$A$62:$A$74,Lister!$M$7))*$C$6/100,
IF($G$6=Lister!$D$8,(S112+S114)*$C$6/100,
IF($G$6=Lister!$D$9,S111*$C$6/100,0)))))))</f>
        <v>0</v>
      </c>
      <c r="T113" s="323">
        <f>IF($C$12=2,T110*$C$6/100,
IF($G$6=Lister!$D$4,T110*$C$6/100,
IF($G$6=Lister!$D$5,T112*$C$6/100,
IF($G$6=Lister!$D$6,(T112-SUMIFS(D62:D74,$O$62:$O$74,Lister!$D$30,$A$62:$A$74,Lister!$M$10))*$C$6/100,
IF($G$6=Lister!$D$7,(T112-SUMIFS(D62:D74,$O$62:$O$74,Lister!$D$30,$A$62:$A$74,Lister!$M$10)-SUMIFS(D62:D74,$O$62:$O$74,Lister!$D$30,$A$62:$A$74,Lister!$M$7))*$C$6/100,
IF($G$6=Lister!$D$8,(T112+T114)*$C$6/100,
IF($G$6=Lister!$D$9,T111*$C$6/100,0)))))))</f>
        <v>0</v>
      </c>
      <c r="U113" s="323">
        <f>IF($C$12=2,U110*$C$6/100,
IF($G$6=Lister!$D$4,U110*$C$6/100,
IF($G$6=Lister!$D$5,U112*$C$6/100,
IF($G$6=Lister!$D$6,(U112-SUMIFS(E62:E74,$O$62:$O$74,Lister!$D$30,$A$62:$A$74,Lister!$M$10))*$C$6/100,
IF($G$6=Lister!$D$7,(U112-SUMIFS(E62:E74,$O$62:$O$74,Lister!$D$30,$A$62:$A$74,Lister!$M$10)-SUMIFS(E62:E74,$O$62:$O$74,Lister!$D$30,$A$62:$A$74,Lister!$M$7))*$C$6/100,
IF($G$6=Lister!$D$8,(U112+U114)*$C$6/100,
IF($G$6=Lister!$D$9,U111*$C$6/100,0)))))))</f>
        <v>0</v>
      </c>
      <c r="V113" s="323">
        <f>IF($C$12=2,V110*$C$6/100,
IF($G$6=Lister!$D$4,V110*$C$6/100,
IF($G$6=Lister!$D$5,V112*$C$6/100,
IF($G$6=Lister!$D$6,(V112-SUMIFS(F62:F74,$O$62:$O$74,Lister!$D$30,$A$62:$A$74,Lister!$M$10))*$C$6/100,
IF($G$6=Lister!$D$7,(V112-SUMIFS(F62:F74,$O$62:$O$74,Lister!$D$30,$A$62:$A$74,Lister!$M$10)-SUMIFS(F62:F74,$O$62:$O$74,Lister!$D$30,$A$62:$A$74,Lister!$M$7))*$C$6/100,
IF($G$6=Lister!$D$8,(V112+V114)*$C$6/100,
IF($G$6=Lister!$D$9,V111*$C$6/100,0)))))))</f>
        <v>0</v>
      </c>
      <c r="W113" s="323">
        <f>IF($C$12=2,W110*$C$6/100,
IF($G$6=Lister!$D$4,W110*$C$6/100,
IF($G$6=Lister!$D$5,W112*$C$6/100,
IF($G$6=Lister!$D$6,(W112-SUMIFS(G62:G74,$O$62:$O$74,Lister!$D$30,$A$62:$A$74,Lister!$M$10))*$C$6/100,
IF($G$6=Lister!$D$7,(W112-SUMIFS(G62:G74,$O$62:$O$74,Lister!$D$30,$A$62:$A$74,Lister!$M$10)-SUMIFS(G62:G74,$O$62:$O$74,Lister!$D$30,$A$62:$A$74,Lister!$M$7))*$C$6/100,
IF($G$6=Lister!$D$8,(W112+W114)*$C$6/100,
IF($G$6=Lister!$D$9,W111*$C$6/100,0)))))))</f>
        <v>0</v>
      </c>
      <c r="X113" s="324">
        <f>IF($C$12=2,X110*$C$6/100,
IF($G$6=Lister!$D$4,X110*$C$6/100,
IF($G$6=Lister!$D$5,X112*$C$6/100,
IF($G$6=Lister!$D$6,(X112-SUMIFS(H62:H74,$O$62:$O$74,Lister!$D$30,$A$62:$A$74,Lister!$M$10))*$C$6/100,
IF($G$6=Lister!$D$7,(X112-SUMIFS(H62:H74,$O$62:$O$74,Lister!$D$30,$A$62:$A$74,Lister!$M$10)-SUMIFS(H62:H74,$O$62:$O$74,Lister!$D$30,$A$62:$A$74,Lister!$M$7))*$C$6/100,
IF($G$6=Lister!$D$8,(X112+X114)*$C$6/100,
IF($G$6=Lister!$D$9,X111*$C$6/100,0)))))))</f>
        <v>0</v>
      </c>
      <c r="Y113" s="205">
        <f>IF($C$12=2,Y110*$C$6/100,
IF($G$6=Lister!$D$4,Y110*$C$6/100,
IF($G$6=Lister!$D$5,Y112*$C$6/100,
IF($G$6=Lister!$D$6,(Y112-SUMIFS(I62:I74,$O$62:$O$74,Lister!$D$30,$A$62:$A$74,Lister!$M$10))*$C$6/100,
IF($G$6=Lister!$D$7,(Y112-SUMIFS(I62:I74,$O$62:$O$74,Lister!$D$30,$A$62:$A$74,Lister!$M$10)-SUMIFS(I62:I74,$O$62:$O$74,Lister!$D$30,$A$62:$A$74,Lister!$M$7))*$C$6/100,
IF($G$6=Lister!$D$8,(Y112+Y114)*$C$6/100,
IF($G$6=Lister!$D$9,Y111*$C$6/100,0)))))))</f>
        <v>0</v>
      </c>
      <c r="Z113" s="204">
        <f>IF($C$12=2,Z110*$C$6/100,
IF($G$6=Lister!$D$4,Z110*$C$6/100,
IF($G$6=Lister!$D$5,Z112*$C$6/100,
IF($G$6=Lister!$D$6,(Z112-SUMIFS(J62:J74,$O$62:$O$74,Lister!$D$30,$A$62:$A$74,Lister!$M$10))*$C$6/100,
IF($G$6=Lister!$D$7,(Z112-SUMIFS(J62:J74,$O$62:$O$74,Lister!$D$30,$A$62:$A$74,Lister!$M$10)-SUMIFS(J62:J74,$O$62:$O$74,Lister!$D$30,$A$62:$A$74,Lister!$M$7))*$C$6/100,
IF($G$6=Lister!$D$8,(Z112+Z114)*$C$6/100,
IF($G$6=Lister!$D$9,Z111*$C$6/100,0)))))))</f>
        <v>0</v>
      </c>
      <c r="AA113" s="204">
        <f>IF($C$12=2,AA110*$C$6/100,
IF($G$6=Lister!$D$4,AA110*$C$6/100,
IF($G$6=Lister!$D$5,AA112*$C$6/100,
IF($G$6=Lister!$D$6,(AA112-SUMIFS(K62:K74,$O$62:$O$74,Lister!$D$30,$A$62:$A$74,Lister!$M$10))*$C$6/100,
IF($G$6=Lister!$D$7,(AA112-SUMIFS(K62:K74,$O$62:$O$74,Lister!$D$30,$A$62:$A$74,Lister!$M$10)-SUMIFS(K62:K74,$O$62:$O$74,Lister!$D$30,$A$62:$A$74,Lister!$M$7))*$C$6/100,
IF($G$6=Lister!$D$8,(AA112+AA114)*$C$6/100,
IF($G$6=Lister!$D$9,AA111*$C$6/100,0)))))))</f>
        <v>0</v>
      </c>
      <c r="AB113" s="204">
        <f>IF($C$12=2,AB110*$C$6/100,
IF($G$6=Lister!$D$4,AB110*$C$6/100,
IF($G$6=Lister!$D$5,AB112*$C$6/100,
IF($G$6=Lister!$D$6,(AB112-SUMIFS(L62:L74,$O$62:$O$74,Lister!$D$30,$A$62:$A$74,Lister!$M$10))*$C$6/100,
IF($G$6=Lister!$D$7,(AB112-SUMIFS(L62:L74,$O$62:$O$74,Lister!$D$30,$A$62:$A$74,Lister!$M$10)-SUMIFS(L62:L74,$O$62:$O$74,Lister!$D$30,$A$62:$A$74,Lister!$M$7))*$C$6/100,
IF($G$6=Lister!$D$8,(AB112+AB114)*$C$6/100,
IF($G$6=Lister!$D$9,AB111*$C$6/100,0)))))))</f>
        <v>0</v>
      </c>
      <c r="AC113" s="138">
        <f t="shared" si="111"/>
        <v>0</v>
      </c>
      <c r="AD113" s="71"/>
      <c r="AE113" s="71"/>
      <c r="AF113" s="71"/>
      <c r="AG113" s="71"/>
      <c r="AH113" s="71"/>
      <c r="AI113" s="71"/>
      <c r="AJ113" s="71"/>
      <c r="AK113" s="71"/>
      <c r="AL113" s="71"/>
      <c r="AM113" s="71"/>
      <c r="AN113" s="71"/>
      <c r="AO113" s="71"/>
      <c r="AP113" s="71"/>
      <c r="AQ113" s="71"/>
      <c r="AR113" s="71"/>
      <c r="AS113" s="71"/>
      <c r="AT113" s="71"/>
      <c r="AU113" s="71"/>
      <c r="AV113" s="71"/>
      <c r="AW113" s="71"/>
      <c r="AX113" s="71"/>
      <c r="AY113" s="71"/>
      <c r="AZ113" s="71"/>
      <c r="BA113" s="71"/>
      <c r="BB113" s="71"/>
      <c r="BC113" s="71"/>
      <c r="BD113" s="71"/>
      <c r="BE113" s="71"/>
      <c r="BF113" s="71"/>
      <c r="BG113" s="71"/>
      <c r="BH113" s="71"/>
      <c r="BI113" s="71"/>
      <c r="BJ113" s="71"/>
    </row>
    <row r="114" spans="14:62" s="9" customFormat="1" ht="14.25" customHeight="1">
      <c r="N114" s="71"/>
      <c r="O114" s="87"/>
      <c r="P114" s="87"/>
      <c r="Q114" s="151" t="s">
        <v>103</v>
      </c>
      <c r="R114" s="312">
        <f t="shared" si="110"/>
        <v>0</v>
      </c>
      <c r="S114" s="153">
        <f>+IF($C$8=Lister!$O$5,(SUMIF($O$20:$O$29,Lister!$D$30,C20:C29))*Takstblad!C$84,0)</f>
        <v>0</v>
      </c>
      <c r="T114" s="153">
        <f>+IF($C$8=Lister!$O$5,(SUMIF($O$20:$O$29,Lister!$D$30,D20:D29))*Takstblad!D$84,0)</f>
        <v>0</v>
      </c>
      <c r="U114" s="153">
        <f>+IF($C$8=Lister!$O$5,(SUMIF($O$20:$O$29,Lister!$D$30,E20:E29))*Takstblad!E$84,0)</f>
        <v>0</v>
      </c>
      <c r="V114" s="153">
        <f>+IF($C$8=Lister!$O$5,(SUMIF($O$20:$O$29,Lister!$D$30,F20:F29))*Takstblad!F$84,0)</f>
        <v>0</v>
      </c>
      <c r="W114" s="153">
        <f>+IF($C$8=Lister!$O$5,(SUMIF($O$20:$O$29,Lister!$D$30,G20:G29))*Takstblad!G$84,0)</f>
        <v>0</v>
      </c>
      <c r="X114" s="300">
        <f>+IF($C$8=Lister!$O$5,(SUMIF($O$20:$O$29,Lister!$D$30,H20:H29))*Takstblad!H$84,0)</f>
        <v>0</v>
      </c>
      <c r="Y114" s="297">
        <f>+IF($C$8=Lister!$O$5,(SUMIF($O$20:$O$29,Lister!$D$30,I20:I29))*Takstblad!I$84,0)</f>
        <v>0</v>
      </c>
      <c r="Z114" s="21">
        <f>+IF($C$8=Lister!$O$5,(SUMIF($O$20:$O$29,Lister!$D$30,J20:J29))*Takstblad!J$84,0)</f>
        <v>0</v>
      </c>
      <c r="AA114" s="21">
        <f>+IF($C$8=Lister!$O$5,(SUMIF($O$20:$O$29,Lister!$D$30,K20:K29))*Takstblad!K$84,0)</f>
        <v>0</v>
      </c>
      <c r="AB114" s="21">
        <f>+IF($C$8=Lister!$O$5,(SUMIF($O$20:$O$29,Lister!$D$30,L20:L29))*Takstblad!L$84,0)</f>
        <v>0</v>
      </c>
      <c r="AC114" s="138">
        <f t="shared" si="111"/>
        <v>0</v>
      </c>
      <c r="AD114" s="71"/>
      <c r="AE114" s="71"/>
      <c r="AF114" s="71"/>
      <c r="AG114" s="71"/>
      <c r="AH114" s="71"/>
      <c r="AI114" s="71"/>
      <c r="AJ114" s="71"/>
      <c r="AK114" s="71"/>
      <c r="AL114" s="71"/>
      <c r="AM114" s="71"/>
      <c r="AN114" s="71"/>
      <c r="AO114" s="71"/>
      <c r="AP114" s="71"/>
      <c r="AQ114" s="71"/>
      <c r="AR114" s="71"/>
      <c r="AS114" s="71"/>
      <c r="AT114" s="71"/>
      <c r="AU114" s="71"/>
      <c r="AV114" s="71"/>
      <c r="AW114" s="71"/>
      <c r="AX114" s="71"/>
      <c r="AY114" s="71"/>
      <c r="AZ114" s="71"/>
      <c r="BA114" s="71"/>
      <c r="BB114" s="71"/>
      <c r="BC114" s="71"/>
      <c r="BD114" s="71"/>
      <c r="BE114" s="71"/>
      <c r="BF114" s="71"/>
      <c r="BG114" s="71"/>
      <c r="BH114" s="71"/>
      <c r="BI114" s="71"/>
      <c r="BJ114" s="71"/>
    </row>
    <row r="115" spans="14:62" ht="14.25" customHeight="1">
      <c r="N115" s="82"/>
      <c r="O115" s="93"/>
      <c r="P115" s="93"/>
      <c r="Q115" s="151" t="s">
        <v>108</v>
      </c>
      <c r="R115" s="312">
        <f t="shared" si="110"/>
        <v>0</v>
      </c>
      <c r="S115" s="153">
        <f>+IF($C$8="Project-Supplement",((
SUMIFS(C20:C39,$O$20:$O$39,Lister!$D$30,$A$20:$A$39,Lister!$A$21)
+SUMIFS(C20:C39,$O$20:$O$39,Lister!$D$30,$A$20:$A$39,Lister!$A$31)
+SUMIFS(C20:C39,$O$20:$O$39,Lister!$D$30,$A$20:$A$39,Lister!$A$32)
+SUMIFS(C20:C39,$O$20:$O$39,Lister!$D$30,$A$20:$A$39,Lister!$A$22)
+SUMIFS(C20:C39,$O$20:$O$39,Lister!$D$30,$A$20:$A$39,Lister!$A$23)
+SUMIFS(C20:C39,$O$20:$O$39,Lister!$D$30,$A$20:$A$39,Lister!$A$20)
+SUMIFS(C20:C39,$O$20:$O$39,Lister!$D$30,$A$20:$A$39,Lister!$A$33)
+SUMIFS(C20:C39,$O$20:$O$39,Lister!$D$30,$A$20:$A$39,Lister!$A$34))
/12)*Takstblad!C$85,0)</f>
        <v>0</v>
      </c>
      <c r="T115" s="155">
        <f>+IF($C$8="Project-Supplement",((
SUMIFS(D20:D39,$O$20:$O$39,Lister!$D$30,$A$20:$A$39,Lister!$A$21)
+SUMIFS(D20:D39,$O$20:$O$39,Lister!$D$30,$A$20:$A$39,Lister!$A$31)
+SUMIFS(D20:D39,$O$20:$O$39,Lister!$D$30,$A$20:$A$39,Lister!$A$32)
+SUMIFS(D20:D39,$O$20:$O$39,Lister!$D$30,$A$20:$A$39,Lister!$A$22)
+SUMIFS(D20:D39,$O$20:$O$39,Lister!$D$30,$A$20:$A$39,Lister!$A$23)
+SUMIFS(D20:D39,$O$20:$O$39,Lister!$D$30,$A$20:$A$39,Lister!$A$20)
+SUMIFS(D20:D39,$O$20:$O$39,Lister!$D$30,$A$20:$A$39,Lister!$A$33)
+SUMIFS(D20:D39,$O$20:$O$39,Lister!$D$30,$A$20:$A$39,Lister!$A$34))
/12)*Takstblad!D$85,0)</f>
        <v>0</v>
      </c>
      <c r="U115" s="155">
        <f>+IF($C$8="Project-Supplement",((
SUMIFS(E20:E39,$O$20:$O$39,Lister!$D$30,$A$20:$A$39,Lister!$A$21)
+SUMIFS(E20:E39,$O$20:$O$39,Lister!$D$30,$A$20:$A$39,Lister!$A$31)
+SUMIFS(E20:E39,$O$20:$O$39,Lister!$D$30,$A$20:$A$39,Lister!$A$32)
+SUMIFS(E20:E39,$O$20:$O$39,Lister!$D$30,$A$20:$A$39,Lister!$A$22)
+SUMIFS(E20:E39,$O$20:$O$39,Lister!$D$30,$A$20:$A$39,Lister!$A$23)
+SUMIFS(E20:E39,$O$20:$O$39,Lister!$D$30,$A$20:$A$39,Lister!$A$20)
+SUMIFS(E20:E39,$O$20:$O$39,Lister!$D$30,$A$20:$A$39,Lister!$A$33)
+SUMIFS(E20:E39,$O$20:$O$39,Lister!$D$30,$A$20:$A$39,Lister!$A$34))
/12)*Takstblad!E$85,0)</f>
        <v>0</v>
      </c>
      <c r="V115" s="155">
        <f>+IF($C$8="Project-Supplement",((
SUMIFS(F20:F39,$O$20:$O$39,Lister!$D$30,$A$20:$A$39,Lister!$A$21)
+SUMIFS(F20:F39,$O$20:$O$39,Lister!$D$30,$A$20:$A$39,Lister!$A$31)
+SUMIFS(F20:F39,$O$20:$O$39,Lister!$D$30,$A$20:$A$39,Lister!$A$32)
+SUMIFS(F20:F39,$O$20:$O$39,Lister!$D$30,$A$20:$A$39,Lister!$A$22)
+SUMIFS(F20:F39,$O$20:$O$39,Lister!$D$30,$A$20:$A$39,Lister!$A$23)
+SUMIFS(F20:F39,$O$20:$O$39,Lister!$D$30,$A$20:$A$39,Lister!$A$20)
+SUMIFS(F20:F39,$O$20:$O$39,Lister!$D$30,$A$20:$A$39,Lister!$A$33)
+SUMIFS(F20:F39,$O$20:$O$39,Lister!$D$30,$A$20:$A$39,Lister!$A$34))
/12)*Takstblad!F$85,0)</f>
        <v>0</v>
      </c>
      <c r="W115" s="155">
        <f>+IF($C$8="Project-Supplement",((
SUMIFS(G20:G39,$O$20:$O$39,Lister!$D$30,$A$20:$A$39,Lister!$A$21)
+SUMIFS(G20:G39,$O$20:$O$39,Lister!$D$30,$A$20:$A$39,Lister!$A$31)
+SUMIFS(G20:G39,$O$20:$O$39,Lister!$D$30,$A$20:$A$39,Lister!$A$32)
+SUMIFS(G20:G39,$O$20:$O$39,Lister!$D$30,$A$20:$A$39,Lister!$A$22)
+SUMIFS(G20:G39,$O$20:$O$39,Lister!$D$30,$A$20:$A$39,Lister!$A$23)
+SUMIFS(G20:G39,$O$20:$O$39,Lister!$D$30,$A$20:$A$39,Lister!$A$20)
+SUMIFS(G20:G39,$O$20:$O$39,Lister!$D$30,$A$20:$A$39,Lister!$A$33)
+SUMIFS(G20:G39,$O$20:$O$39,Lister!$D$30,$A$20:$A$39,Lister!$A$34))
/12)*Takstblad!G$85,0)</f>
        <v>0</v>
      </c>
      <c r="X115" s="308">
        <f>+IF($C$8="Project-Supplement",((
SUMIFS(H20:H39,$O$20:$O$39,Lister!$D$30,$A$20:$A$39,Lister!$A$21)
+SUMIFS(H20:H39,$O$20:$O$39,Lister!$D$30,$A$20:$A$39,Lister!$A$31)
+SUMIFS(H20:H39,$O$20:$O$39,Lister!$D$30,$A$20:$A$39,Lister!$A$32)
+SUMIFS(H20:H39,$O$20:$O$39,Lister!$D$30,$A$20:$A$39,Lister!$A$22)
+SUMIFS(H20:H39,$O$20:$O$39,Lister!$D$30,$A$20:$A$39,Lister!$A$23)
+SUMIFS(H20:H39,$O$20:$O$39,Lister!$D$30,$A$20:$A$39,Lister!$A$20)
+SUMIFS(H20:H39,$O$20:$O$39,Lister!$D$30,$A$20:$A$39,Lister!$A$33)
+SUMIFS(H20:H39,$O$20:$O$39,Lister!$D$30,$A$20:$A$39,Lister!$A$34))
/12)*Takstblad!H$85,0)</f>
        <v>0</v>
      </c>
      <c r="Y115" s="114">
        <f>+IF($C$8="Project-Supplement",((
SUMIFS(I20:I39,$O$20:$O$39,Lister!$D$30,$A$20:$A$39,Lister!$A$21)
+SUMIFS(I20:I39,$O$20:$O$39,Lister!$D$30,$A$20:$A$39,Lister!$A$31)
+SUMIFS(I20:I39,$O$20:$O$39,Lister!$D$30,$A$20:$A$39,Lister!$A$32)
+SUMIFS(I20:I39,$O$20:$O$39,Lister!$D$30,$A$20:$A$39,Lister!$A$22)
+SUMIFS(I20:I39,$O$20:$O$39,Lister!$D$30,$A$20:$A$39,Lister!$A$23)
+SUMIFS(I20:I39,$O$20:$O$39,Lister!$D$30,$A$20:$A$39,Lister!$A$20)
+SUMIFS(I20:I39,$O$20:$O$39,Lister!$D$30,$A$20:$A$39,Lister!$A$33)
+SUMIFS(I20:I39,$O$20:$O$39,Lister!$D$30,$A$20:$A$39,Lister!$A$34))
/12)*Takstblad!I$85,0)</f>
        <v>0</v>
      </c>
      <c r="Z115" s="115">
        <f>+IF($C$8="Project-Supplement",((
SUMIFS(J20:J39,$O$20:$O$39,Lister!$D$30,$A$20:$A$39,Lister!$A$21)
+SUMIFS(J20:J39,$O$20:$O$39,Lister!$D$30,$A$20:$A$39,Lister!$A$31)
+SUMIFS(J20:J39,$O$20:$O$39,Lister!$D$30,$A$20:$A$39,Lister!$A$32)
+SUMIFS(J20:J39,$O$20:$O$39,Lister!$D$30,$A$20:$A$39,Lister!$A$22)
+SUMIFS(J20:J39,$O$20:$O$39,Lister!$D$30,$A$20:$A$39,Lister!$A$23)
+SUMIFS(J20:J39,$O$20:$O$39,Lister!$D$30,$A$20:$A$39,Lister!$A$20)
+SUMIFS(J20:J39,$O$20:$O$39,Lister!$D$30,$A$20:$A$39,Lister!$A$33)
+SUMIFS(J20:J39,$O$20:$O$39,Lister!$D$30,$A$20:$A$39,Lister!$A$34))
/12)*Takstblad!J$85,0)</f>
        <v>0</v>
      </c>
      <c r="AA115" s="115">
        <f>+IF($C$8="Project-Supplement",((
SUMIFS(K20:K39,$O$20:$O$39,Lister!$D$30,$A$20:$A$39,Lister!$A$21)
+SUMIFS(K20:K39,$O$20:$O$39,Lister!$D$30,$A$20:$A$39,Lister!$A$31)
+SUMIFS(K20:K39,$O$20:$O$39,Lister!$D$30,$A$20:$A$39,Lister!$A$32)
+SUMIFS(K20:K39,$O$20:$O$39,Lister!$D$30,$A$20:$A$39,Lister!$A$22)
+SUMIFS(K20:K39,$O$20:$O$39,Lister!$D$30,$A$20:$A$39,Lister!$A$23)
+SUMIFS(K20:K39,$O$20:$O$39,Lister!$D$30,$A$20:$A$39,Lister!$A$20)
+SUMIFS(K20:K39,$O$20:$O$39,Lister!$D$30,$A$20:$A$39,Lister!$A$33)
+SUMIFS(K20:K39,$O$20:$O$39,Lister!$D$30,$A$20:$A$39,Lister!$A$34))
/12)*Takstblad!K$85,0)</f>
        <v>0</v>
      </c>
      <c r="AB115" s="115">
        <f>+IF($C$8="Project-Supplement",((
SUMIFS(L20:L39,$O$20:$O$39,Lister!$D$30,$A$20:$A$39,Lister!$A$21)
+SUMIFS(L20:L39,$O$20:$O$39,Lister!$D$30,$A$20:$A$39,Lister!$A$31)
+SUMIFS(L20:L39,$O$20:$O$39,Lister!$D$30,$A$20:$A$39,Lister!$A$32)
+SUMIFS(L20:L39,$O$20:$O$39,Lister!$D$30,$A$20:$A$39,Lister!$A$22)
+SUMIFS(L20:L39,$O$20:$O$39,Lister!$D$30,$A$20:$A$39,Lister!$A$23)
+SUMIFS(L20:L39,$O$20:$O$39,Lister!$D$30,$A$20:$A$39,Lister!$A$20)
+SUMIFS(L20:L39,$O$20:$O$39,Lister!$D$30,$A$20:$A$39,Lister!$A$33)
+SUMIFS(L20:L39,$O$20:$O$39,Lister!$D$30,$A$20:$A$39,Lister!$A$34))
/12)*Takstblad!L$85,0)</f>
        <v>0</v>
      </c>
      <c r="AC115" s="138">
        <f t="shared" si="111"/>
        <v>0</v>
      </c>
      <c r="AD115" s="71"/>
      <c r="AE115" s="71"/>
      <c r="AF115" s="71"/>
      <c r="AG115" s="71"/>
      <c r="AH115" s="71"/>
      <c r="AI115" s="82"/>
      <c r="AJ115" s="82"/>
      <c r="AK115" s="82"/>
      <c r="AL115" s="82"/>
      <c r="AM115" s="82"/>
      <c r="AN115" s="82"/>
      <c r="AO115" s="82"/>
      <c r="AP115" s="82"/>
      <c r="AQ115" s="82"/>
      <c r="AR115" s="82"/>
      <c r="AS115" s="82"/>
      <c r="AT115" s="82"/>
      <c r="AU115" s="82"/>
      <c r="AV115" s="82"/>
      <c r="AW115" s="82"/>
      <c r="AX115" s="82"/>
      <c r="AY115" s="82"/>
      <c r="AZ115" s="82"/>
      <c r="BA115" s="82"/>
      <c r="BB115" s="82"/>
      <c r="BC115" s="82"/>
      <c r="BD115" s="82"/>
      <c r="BE115" s="82"/>
      <c r="BF115" s="82"/>
      <c r="BG115" s="82"/>
      <c r="BH115" s="82"/>
      <c r="BI115" s="82"/>
      <c r="BJ115" s="82"/>
    </row>
    <row r="116" spans="14:62" ht="14.25" customHeight="1">
      <c r="N116" s="71"/>
      <c r="O116" s="87"/>
      <c r="P116" s="87"/>
      <c r="Q116" s="150" t="s">
        <v>531</v>
      </c>
      <c r="R116" s="312">
        <f t="shared" si="110"/>
        <v>0</v>
      </c>
      <c r="S116" s="153" t="str">
        <f>IF($C$12=2,(SUM(S112:S115)*$C$13)/100,"0")</f>
        <v>0</v>
      </c>
      <c r="T116" s="155" t="str">
        <f>IF($C$12=2,(SUM(T112:T115)*$C$13)/100,"0")</f>
        <v>0</v>
      </c>
      <c r="U116" s="155" t="str">
        <f t="shared" ref="U116:Z116" si="114">IF($C$12=2,(SUM(U112:U115)*$C$13)/100,"0")</f>
        <v>0</v>
      </c>
      <c r="V116" s="155" t="str">
        <f t="shared" si="114"/>
        <v>0</v>
      </c>
      <c r="W116" s="155" t="str">
        <f t="shared" si="114"/>
        <v>0</v>
      </c>
      <c r="X116" s="308" t="str">
        <f t="shared" si="114"/>
        <v>0</v>
      </c>
      <c r="Y116" s="156" t="str">
        <f t="shared" si="114"/>
        <v>0</v>
      </c>
      <c r="Z116" s="155" t="str">
        <f t="shared" si="114"/>
        <v>0</v>
      </c>
      <c r="AA116" s="155" t="str">
        <f>IF($C$12=2,(SUM(AA112:AA115)*$C$13)/100,"0")</f>
        <v>0</v>
      </c>
      <c r="AB116" s="155" t="str">
        <f>IF($C$12=2,(SUM(AB112:AB115)*$C$13)/100,"0")</f>
        <v>0</v>
      </c>
      <c r="AC116" s="138">
        <f t="shared" si="111"/>
        <v>0</v>
      </c>
      <c r="AD116" s="71"/>
      <c r="AE116" s="71"/>
      <c r="AF116" s="71"/>
      <c r="AG116" s="71"/>
      <c r="AH116" s="71"/>
      <c r="AI116" s="71"/>
      <c r="AJ116" s="71"/>
      <c r="AK116" s="71"/>
      <c r="AL116" s="71"/>
      <c r="AM116" s="71"/>
      <c r="AN116" s="71"/>
      <c r="AO116" s="71"/>
      <c r="AP116" s="71"/>
      <c r="AQ116" s="71"/>
      <c r="AR116" s="71"/>
      <c r="AS116" s="71"/>
      <c r="AT116" s="71"/>
      <c r="AU116" s="71"/>
      <c r="AV116" s="71"/>
      <c r="AW116" s="71"/>
      <c r="AX116" s="71"/>
      <c r="AY116" s="71"/>
      <c r="AZ116" s="71"/>
      <c r="BA116" s="71"/>
      <c r="BB116" s="71"/>
      <c r="BC116" s="71"/>
      <c r="BD116" s="71"/>
      <c r="BE116" s="71"/>
      <c r="BF116" s="71"/>
      <c r="BG116" s="71"/>
      <c r="BH116" s="71"/>
      <c r="BI116" s="71"/>
      <c r="BJ116" s="71"/>
    </row>
    <row r="117" spans="14:62" ht="14.25" customHeight="1">
      <c r="N117" s="70"/>
      <c r="O117" s="85"/>
      <c r="P117" s="85"/>
      <c r="Q117" s="149" t="s">
        <v>101</v>
      </c>
      <c r="R117" s="312">
        <f t="shared" si="110"/>
        <v>0</v>
      </c>
      <c r="S117" s="313">
        <f>+SUM(S112:S116)</f>
        <v>0</v>
      </c>
      <c r="T117" s="313">
        <f t="shared" ref="T117:Z117" si="115">+SUM(T112:T116)</f>
        <v>0</v>
      </c>
      <c r="U117" s="313">
        <f t="shared" si="115"/>
        <v>0</v>
      </c>
      <c r="V117" s="313">
        <f t="shared" si="115"/>
        <v>0</v>
      </c>
      <c r="W117" s="313">
        <f t="shared" si="115"/>
        <v>0</v>
      </c>
      <c r="X117" s="314">
        <f t="shared" si="115"/>
        <v>0</v>
      </c>
      <c r="Y117" s="296">
        <f t="shared" si="115"/>
        <v>0</v>
      </c>
      <c r="Z117" s="137">
        <f t="shared" si="115"/>
        <v>0</v>
      </c>
      <c r="AA117" s="137">
        <f>+SUM(AA112:AA116)</f>
        <v>0</v>
      </c>
      <c r="AB117" s="137">
        <f>+SUM(AB112:AB116)</f>
        <v>0</v>
      </c>
      <c r="AC117" s="138">
        <f t="shared" si="111"/>
        <v>0</v>
      </c>
      <c r="AD117" s="71"/>
      <c r="AE117" s="82"/>
      <c r="AF117" s="82"/>
      <c r="AG117" s="82"/>
      <c r="AH117" s="82"/>
      <c r="AI117" s="70"/>
      <c r="AJ117" s="70"/>
      <c r="AK117" s="70"/>
      <c r="AL117" s="70"/>
      <c r="AM117" s="70"/>
      <c r="AN117" s="70"/>
      <c r="AO117" s="70"/>
      <c r="AP117" s="70"/>
      <c r="AQ117" s="70"/>
      <c r="AR117" s="70"/>
      <c r="AS117" s="70"/>
      <c r="AT117" s="70"/>
      <c r="AU117" s="70"/>
      <c r="AV117" s="70"/>
      <c r="AW117" s="70"/>
      <c r="AX117" s="70"/>
      <c r="AY117" s="70"/>
      <c r="AZ117" s="70"/>
      <c r="BA117" s="70"/>
      <c r="BB117" s="70"/>
      <c r="BC117" s="70"/>
      <c r="BD117" s="70"/>
      <c r="BE117" s="70"/>
      <c r="BF117" s="70"/>
      <c r="BG117" s="70"/>
      <c r="BH117" s="70"/>
      <c r="BI117" s="70"/>
      <c r="BJ117" s="70"/>
    </row>
    <row r="118" spans="14:62" s="9" customFormat="1" ht="14.25" customHeight="1">
      <c r="N118" s="70"/>
      <c r="O118" s="85"/>
      <c r="P118" s="85"/>
      <c r="Q118" s="227"/>
      <c r="R118" s="133"/>
      <c r="S118" s="76"/>
      <c r="T118" s="76"/>
      <c r="U118" s="76"/>
      <c r="V118" s="76"/>
      <c r="W118" s="76"/>
      <c r="X118" s="133"/>
      <c r="Y118" s="76"/>
      <c r="Z118" s="76"/>
      <c r="AA118" s="76"/>
      <c r="AB118" s="76"/>
      <c r="AC118" s="133"/>
      <c r="AD118" s="82"/>
      <c r="AE118" s="71"/>
      <c r="AF118" s="71"/>
      <c r="AG118" s="71"/>
      <c r="AH118" s="71"/>
      <c r="AI118" s="70"/>
      <c r="AJ118" s="70"/>
      <c r="AK118" s="70"/>
      <c r="AL118" s="70"/>
      <c r="AM118" s="70"/>
      <c r="AN118" s="70"/>
      <c r="AO118" s="70"/>
      <c r="AP118" s="70"/>
      <c r="AQ118" s="70"/>
      <c r="AR118" s="70"/>
      <c r="AS118" s="70"/>
      <c r="AT118" s="70"/>
      <c r="AU118" s="70"/>
      <c r="AV118" s="70"/>
      <c r="AW118" s="70"/>
      <c r="AX118" s="70"/>
      <c r="AY118" s="70"/>
      <c r="AZ118" s="70"/>
      <c r="BA118" s="70"/>
      <c r="BB118" s="70"/>
      <c r="BC118" s="70"/>
      <c r="BD118" s="70"/>
      <c r="BE118" s="70"/>
      <c r="BF118" s="70"/>
      <c r="BG118" s="70"/>
      <c r="BH118" s="70"/>
      <c r="BI118" s="70"/>
      <c r="BJ118" s="70"/>
    </row>
    <row r="119" spans="14:62" ht="14.25" customHeight="1">
      <c r="N119" s="70"/>
      <c r="O119" s="85"/>
      <c r="P119" s="85"/>
      <c r="Q119" s="130" t="s">
        <v>606</v>
      </c>
      <c r="R119" s="131"/>
      <c r="S119" s="230"/>
      <c r="T119" s="136"/>
      <c r="U119" s="136"/>
      <c r="V119" s="136"/>
      <c r="W119" s="136"/>
      <c r="X119" s="305"/>
      <c r="Y119" s="136"/>
      <c r="Z119" s="136"/>
      <c r="AA119" s="136"/>
      <c r="AB119" s="136"/>
      <c r="AC119" s="131"/>
      <c r="AD119" s="71"/>
      <c r="AE119" s="70"/>
      <c r="AF119" s="70"/>
      <c r="AG119" s="70"/>
      <c r="AH119" s="70"/>
      <c r="AI119" s="70"/>
      <c r="AJ119" s="70"/>
      <c r="AK119" s="70"/>
      <c r="AL119" s="70"/>
      <c r="AM119" s="70"/>
      <c r="AN119" s="70"/>
      <c r="AO119" s="70"/>
      <c r="AP119" s="70"/>
      <c r="AQ119" s="70"/>
      <c r="AR119" s="70"/>
      <c r="AS119" s="70"/>
      <c r="AT119" s="70"/>
      <c r="AU119" s="70"/>
      <c r="AV119" s="70"/>
      <c r="AW119" s="70"/>
      <c r="AX119" s="70"/>
      <c r="AY119" s="70"/>
      <c r="AZ119" s="70"/>
      <c r="BA119" s="70"/>
      <c r="BB119" s="70"/>
      <c r="BC119" s="70"/>
      <c r="BD119" s="70"/>
      <c r="BE119" s="70"/>
      <c r="BF119" s="70"/>
      <c r="BG119" s="70"/>
      <c r="BH119" s="70"/>
      <c r="BI119" s="70"/>
      <c r="BJ119" s="70"/>
    </row>
    <row r="120" spans="14:62" ht="14.25" customHeight="1">
      <c r="N120" s="9"/>
      <c r="O120" s="9"/>
      <c r="P120" s="9"/>
      <c r="Q120" s="134"/>
      <c r="R120" s="133"/>
      <c r="S120" s="16"/>
      <c r="T120" s="76"/>
      <c r="U120" s="76"/>
      <c r="V120" s="76"/>
      <c r="W120" s="76"/>
      <c r="X120" s="133"/>
      <c r="Y120" s="76"/>
      <c r="Z120" s="76"/>
      <c r="AA120" s="76"/>
      <c r="AB120" s="76"/>
      <c r="AC120" s="133"/>
      <c r="AD120" s="70"/>
      <c r="AE120" s="70"/>
      <c r="AF120" s="70"/>
      <c r="AG120" s="70"/>
      <c r="AH120" s="70"/>
      <c r="AI120" s="71"/>
      <c r="AJ120" s="71"/>
      <c r="AK120" s="71"/>
      <c r="AL120" s="71"/>
      <c r="AM120" s="71"/>
      <c r="AN120" s="71"/>
      <c r="AO120" s="71"/>
      <c r="AP120" s="71"/>
      <c r="AQ120" s="71"/>
      <c r="AR120" s="71"/>
      <c r="AS120" s="71"/>
      <c r="AT120" s="71"/>
      <c r="AU120" s="71"/>
      <c r="AV120" s="71"/>
      <c r="AW120" s="71"/>
      <c r="AX120" s="71"/>
      <c r="AY120" s="71"/>
      <c r="AZ120" s="71"/>
      <c r="BA120" s="71"/>
      <c r="BB120" s="71"/>
      <c r="BC120" s="71"/>
      <c r="BD120" s="71"/>
      <c r="BE120" s="71"/>
      <c r="BF120" s="71"/>
      <c r="BG120" s="71"/>
      <c r="BH120" s="71"/>
      <c r="BI120" s="71"/>
      <c r="BJ120" s="71"/>
    </row>
    <row r="121" spans="14:62" ht="14.25" customHeight="1">
      <c r="Q121" s="152" t="s">
        <v>22</v>
      </c>
      <c r="R121" s="124" t="s">
        <v>34</v>
      </c>
      <c r="S121" s="45">
        <f>+S107</f>
        <v>2026</v>
      </c>
      <c r="T121" s="8">
        <f t="shared" ref="T121:Z121" si="116">+T107</f>
        <v>2027</v>
      </c>
      <c r="U121" s="8">
        <f t="shared" si="116"/>
        <v>2028</v>
      </c>
      <c r="V121" s="8">
        <f t="shared" si="116"/>
        <v>2029</v>
      </c>
      <c r="W121" s="8">
        <f t="shared" si="116"/>
        <v>2030</v>
      </c>
      <c r="X121" s="124">
        <f t="shared" si="116"/>
        <v>2031</v>
      </c>
      <c r="Y121" s="8">
        <f t="shared" si="116"/>
        <v>2032</v>
      </c>
      <c r="Z121" s="8">
        <f t="shared" si="116"/>
        <v>2033</v>
      </c>
      <c r="AA121" s="8">
        <f>+AA107</f>
        <v>2034</v>
      </c>
      <c r="AB121" s="8">
        <f>+AB107</f>
        <v>2035</v>
      </c>
      <c r="AC121" s="124" t="s">
        <v>34</v>
      </c>
      <c r="AD121" s="70"/>
      <c r="AE121" s="70"/>
      <c r="AF121" s="70"/>
      <c r="AG121" s="70"/>
      <c r="AH121" s="70"/>
    </row>
    <row r="122" spans="14:62" ht="14.25" customHeight="1">
      <c r="Q122" s="147" t="s">
        <v>74</v>
      </c>
      <c r="R122" s="315">
        <f t="shared" ref="R122:R131" si="117">+AC122</f>
        <v>0</v>
      </c>
      <c r="S122" s="316">
        <f>+SUMIF($O$20:$O$39,Lister!$D$31,S$20:S$39)</f>
        <v>0</v>
      </c>
      <c r="T122" s="316">
        <f>+SUMIF($O$20:$O$39,Lister!$D$31,T$20:T$39)</f>
        <v>0</v>
      </c>
      <c r="U122" s="316">
        <f>+SUMIF($O$20:$O$39,Lister!$D$31,U$20:U$39)</f>
        <v>0</v>
      </c>
      <c r="V122" s="316">
        <f>+SUMIF($O$20:$O$39,Lister!$D$31,V$20:V$39)</f>
        <v>0</v>
      </c>
      <c r="W122" s="316">
        <f>+SUMIF($O$20:$O$39,Lister!$D$31,W$20:W$39)</f>
        <v>0</v>
      </c>
      <c r="X122" s="316">
        <f>+SUMIF($O$20:$O$39,Lister!$D$31,X$20:X$39)</f>
        <v>0</v>
      </c>
      <c r="Y122" s="316">
        <f>+SUMIF($O$20:$O$39,Lister!$D$31,Y$20:Y$39)</f>
        <v>0</v>
      </c>
      <c r="Z122" s="316">
        <f>+SUMIF($O$20:$O$39,Lister!$D$31,Z$20:Z$39)</f>
        <v>0</v>
      </c>
      <c r="AA122" s="316">
        <f>+SUMIF($O$20:$O$39,Lister!$D$31,AA$20:AA$39)</f>
        <v>0</v>
      </c>
      <c r="AB122" s="316">
        <f>+SUMIF($O$20:$O$39,Lister!$D$31,AB$20:AB$39)</f>
        <v>0</v>
      </c>
      <c r="AC122" s="140">
        <f t="shared" ref="AC122:AC131" si="118">SUM(S122:Z122)</f>
        <v>0</v>
      </c>
      <c r="AD122" s="70"/>
      <c r="AE122" s="71"/>
      <c r="AF122" s="71"/>
      <c r="AG122" s="71"/>
      <c r="AH122" s="71"/>
    </row>
    <row r="123" spans="14:62" ht="14.25" customHeight="1">
      <c r="Q123" s="148" t="s">
        <v>75</v>
      </c>
      <c r="R123" s="309">
        <f t="shared" si="117"/>
        <v>0</v>
      </c>
      <c r="S123" s="310">
        <f>+SUMIF($O$43:$O$55,Lister!$D$31,S$43:S$55)</f>
        <v>0</v>
      </c>
      <c r="T123" s="319">
        <f>+SUMIF($O$43:$O$55,Lister!$D$31,T$43:T$55)</f>
        <v>0</v>
      </c>
      <c r="U123" s="310">
        <f>+SUMIF($O$43:$O$55,Lister!$D$31,U$43:U$55)</f>
        <v>0</v>
      </c>
      <c r="V123" s="319">
        <f>+SUMIF($O$43:$O$55,Lister!$D$31,V$43:V$55)</f>
        <v>0</v>
      </c>
      <c r="W123" s="310">
        <f>+SUMIF($O$43:$O$55,Lister!$D$31,W$43:W$55)</f>
        <v>0</v>
      </c>
      <c r="X123" s="320">
        <f>+SUMIF($O$43:$O$55,Lister!$D$31,X$43:X$55)</f>
        <v>0</v>
      </c>
      <c r="Y123" s="295">
        <f>+SUMIF($O$43:$O$55,Lister!$D$31,Y$43:Y$55)</f>
        <v>0</v>
      </c>
      <c r="Z123" s="113">
        <f>+SUMIF($O$43:$O$55,Lister!$D$31,Z$43:Z$55)</f>
        <v>0</v>
      </c>
      <c r="AA123" s="113">
        <f>+SUMIF($O$43:$O$55,Lister!$D$31,AA$43:AA$55)</f>
        <v>0</v>
      </c>
      <c r="AB123" s="113">
        <f>+SUMIF($O$43:$O$55,Lister!$D$31,AB$43:AB$55)</f>
        <v>0</v>
      </c>
      <c r="AC123" s="141">
        <f t="shared" si="118"/>
        <v>0</v>
      </c>
      <c r="AD123" s="71"/>
    </row>
    <row r="124" spans="14:62" ht="14.25" customHeight="1">
      <c r="Q124" s="149" t="s">
        <v>76</v>
      </c>
      <c r="R124" s="312">
        <f t="shared" si="117"/>
        <v>0</v>
      </c>
      <c r="S124" s="313">
        <f>+S123+S122</f>
        <v>0</v>
      </c>
      <c r="T124" s="313">
        <f t="shared" ref="T124:Z124" si="119">+T123+T122</f>
        <v>0</v>
      </c>
      <c r="U124" s="313">
        <f t="shared" si="119"/>
        <v>0</v>
      </c>
      <c r="V124" s="313">
        <f t="shared" si="119"/>
        <v>0</v>
      </c>
      <c r="W124" s="313">
        <f t="shared" si="119"/>
        <v>0</v>
      </c>
      <c r="X124" s="314">
        <f t="shared" si="119"/>
        <v>0</v>
      </c>
      <c r="Y124" s="296">
        <f t="shared" si="119"/>
        <v>0</v>
      </c>
      <c r="Z124" s="137">
        <f t="shared" si="119"/>
        <v>0</v>
      </c>
      <c r="AA124" s="137">
        <f>+AA123+AA122</f>
        <v>0</v>
      </c>
      <c r="AB124" s="137">
        <f>+AB123+AB122</f>
        <v>0</v>
      </c>
      <c r="AC124" s="138">
        <f t="shared" si="118"/>
        <v>0</v>
      </c>
    </row>
    <row r="125" spans="14:62" ht="14.25" customHeight="1">
      <c r="Q125" s="149" t="s">
        <v>77</v>
      </c>
      <c r="R125" s="312">
        <f t="shared" si="117"/>
        <v>0</v>
      </c>
      <c r="S125" s="313">
        <f>+SUMIF($O$62:$O$74,Lister!$D$31,C$62:C$74)</f>
        <v>0</v>
      </c>
      <c r="T125" s="327">
        <f>+SUMIF($O$62:$O$74,Lister!$D$31,D$62:D$74)</f>
        <v>0</v>
      </c>
      <c r="U125" s="327">
        <f>+SUMIF($O$62:$O$74,Lister!$D$31,E$62:E$74)</f>
        <v>0</v>
      </c>
      <c r="V125" s="327">
        <f>+SUMIF($O$62:$O$74,Lister!$D$31,F$62:F$74)</f>
        <v>0</v>
      </c>
      <c r="W125" s="327">
        <f>+SUMIF($O$62:$O$74,Lister!$D$31,G$62:G$74)</f>
        <v>0</v>
      </c>
      <c r="X125" s="328">
        <f>+SUMIF($O$62:$O$74,Lister!$D$31,H$62:H$74)</f>
        <v>0</v>
      </c>
      <c r="Y125" s="209">
        <f>+SUMIF($O$62:$O$74,Lister!$D$31,I$62:I$74)</f>
        <v>0</v>
      </c>
      <c r="Z125" s="208">
        <f>+SUMIF($O$62:$O$74,Lister!$D$31,J$62:J$74)</f>
        <v>0</v>
      </c>
      <c r="AA125" s="208">
        <f>+SUMIF($O$62:$O$74,Lister!$D$31,K$62:K$74)</f>
        <v>0</v>
      </c>
      <c r="AB125" s="208">
        <f>+SUMIF($O$62:$O$74,Lister!$D$31,L$62:L$74)</f>
        <v>0</v>
      </c>
      <c r="AC125" s="138">
        <f t="shared" si="118"/>
        <v>0</v>
      </c>
    </row>
    <row r="126" spans="14:62" ht="14.25" customHeight="1">
      <c r="Q126" s="149" t="s">
        <v>78</v>
      </c>
      <c r="R126" s="312">
        <f t="shared" si="117"/>
        <v>0</v>
      </c>
      <c r="S126" s="313">
        <f>+S125+S124</f>
        <v>0</v>
      </c>
      <c r="T126" s="329">
        <f t="shared" ref="T126:Z126" si="120">+T125+T124</f>
        <v>0</v>
      </c>
      <c r="U126" s="329">
        <f t="shared" si="120"/>
        <v>0</v>
      </c>
      <c r="V126" s="329">
        <f t="shared" si="120"/>
        <v>0</v>
      </c>
      <c r="W126" s="329">
        <f t="shared" si="120"/>
        <v>0</v>
      </c>
      <c r="X126" s="330">
        <f t="shared" si="120"/>
        <v>0</v>
      </c>
      <c r="Y126" s="146">
        <f t="shared" si="120"/>
        <v>0</v>
      </c>
      <c r="Z126" s="145">
        <f t="shared" si="120"/>
        <v>0</v>
      </c>
      <c r="AA126" s="145">
        <f>+AA125+AA124</f>
        <v>0</v>
      </c>
      <c r="AB126" s="145">
        <f>+AB125+AB124</f>
        <v>0</v>
      </c>
      <c r="AC126" s="138">
        <f t="shared" si="118"/>
        <v>0</v>
      </c>
    </row>
    <row r="127" spans="14:62" ht="14.25" customHeight="1">
      <c r="Q127" s="150" t="s">
        <v>0</v>
      </c>
      <c r="R127" s="312">
        <f t="shared" si="117"/>
        <v>0</v>
      </c>
      <c r="S127" s="153">
        <f>IF($C$12=2,S124*$C$6/100,
IF($G$6=Lister!$D$4,S124*$C$6/100,
IF($G$6=Lister!$D$5,S126*$C$6/100,
IF($G$6=Lister!$D$6,(S126-SUMIFS(C62:C74,$O$62:$O$74,Lister!$D$31,$A$62:$A$74,Lister!$M$10))*$C$6/100,
IF($G$6=Lister!$D$7,(S126-SUMIFS(C62:C74,$O$62:$O$74,Lister!$D$31,$A$62:$A$74,Lister!$M$10)-SUMIFS(C62:C74,$O$62:$O$74,Lister!$D$31,$A$62:$A$74,Lister!$M$7))*$C$6/100,
IF($G$6=Lister!$D$8,(S126+S128)*$C$6/100,
IF($G$6=Lister!$D$9,S125*$C$6/100,0)))))))</f>
        <v>0</v>
      </c>
      <c r="T127" s="323">
        <f>IF($C$12=2,T124*$C$6/100,
IF($G$6=Lister!$D$4,T124*$C$6/100,
IF($G$6=Lister!$D$5,T126*$C$6/100,
IF($G$6=Lister!$D$6,(T126-SUMIFS(D62:D74,$O$62:$O$74,Lister!$D$31,$A$62:$A$74,Lister!$M$10))*$C$6/100,
IF($G$6=Lister!$D$7,(T126-SUMIFS(D62:D74,$O$62:$O$74,Lister!$D$31,$A$62:$A$74,Lister!$M$10)-SUMIFS(D62:D74,$O$62:$O$74,Lister!$D$31,$A$62:$A$74,Lister!$M$7))*$C$6/100,
IF($G$6=Lister!$D$8,(T126+T128)*$C$6/100,
IF($G$6=Lister!$D$9,T125*$C$6/100,0)))))))</f>
        <v>0</v>
      </c>
      <c r="U127" s="323">
        <f>IF($C$12=2,U124*$C$6/100,
IF($G$6=Lister!$D$4,U124*$C$6/100,
IF($G$6=Lister!$D$5,U126*$C$6/100,
IF($G$6=Lister!$D$6,(U126-SUMIFS(E62:E74,$O$62:$O$74,Lister!$D$31,$A$62:$A$74,Lister!$M$10))*$C$6/100,
IF($G$6=Lister!$D$7,(U126-SUMIFS(E62:E74,$O$62:$O$74,Lister!$D$31,$A$62:$A$74,Lister!$M$10)-SUMIFS(E62:E74,$O$62:$O$74,Lister!$D$31,$A$62:$A$74,Lister!$M$7))*$C$6/100,
IF($G$6=Lister!$D$8,(U126+U128)*$C$6/100,
IF($G$6=Lister!$D$9,U125*$C$6/100,0)))))))</f>
        <v>0</v>
      </c>
      <c r="V127" s="323">
        <f>IF($C$12=2,V124*$C$6/100,
IF($G$6=Lister!$D$4,V124*$C$6/100,
IF($G$6=Lister!$D$5,V126*$C$6/100,
IF($G$6=Lister!$D$6,(V126-SUMIFS(F62:F74,$O$62:$O$74,Lister!$D$31,$A$62:$A$74,Lister!$M$10))*$C$6/100,
IF($G$6=Lister!$D$7,(V126-SUMIFS(F62:F74,$O$62:$O$74,Lister!$D$31,$A$62:$A$74,Lister!$M$10)-SUMIFS(F62:F74,$O$62:$O$74,Lister!$D$31,$A$62:$A$74,Lister!$M$7))*$C$6/100,
IF($G$6=Lister!$D$8,(V126+V128)*$C$6/100,
IF($G$6=Lister!$D$9,V125*$C$6/100,0)))))))</f>
        <v>0</v>
      </c>
      <c r="W127" s="323">
        <f>IF($C$12=2,W124*$C$6/100,
IF($G$6=Lister!$D$4,W124*$C$6/100,
IF($G$6=Lister!$D$5,W126*$C$6/100,
IF($G$6=Lister!$D$6,(W126-SUMIFS(G62:G74,$O$62:$O$74,Lister!$D$31,$A$62:$A$74,Lister!$M$10))*$C$6/100,
IF($G$6=Lister!$D$7,(W126-SUMIFS(G62:G74,$O$62:$O$74,Lister!$D$31,$A$62:$A$74,Lister!$M$10)-SUMIFS(G62:G74,$O$62:$O$74,Lister!$D$31,$A$62:$A$74,Lister!$M$7))*$C$6/100,
IF($G$6=Lister!$D$8,(W126+W128)*$C$6/100,
IF($G$6=Lister!$D$9,W125*$C$6/100,0)))))))</f>
        <v>0</v>
      </c>
      <c r="X127" s="324">
        <f>IF($C$12=2,X124*$C$6/100,
IF($G$6=Lister!$D$4,X124*$C$6/100,
IF($G$6=Lister!$D$5,X126*$C$6/100,
IF($G$6=Lister!$D$6,(X126-SUMIFS(H62:H74,$O$62:$O$74,Lister!$D$31,$A$62:$A$74,Lister!$M$10))*$C$6/100,
IF($G$6=Lister!$D$7,(X126-SUMIFS(H62:H74,$O$62:$O$74,Lister!$D$31,$A$62:$A$74,Lister!$M$10)-SUMIFS(H62:H74,$O$62:$O$74,Lister!$D$31,$A$62:$A$74,Lister!$M$7))*$C$6/100,
IF($G$6=Lister!$D$8,(X126+X128)*$C$6/100,
IF($G$6=Lister!$D$9,X125*$C$6/100,0)))))))</f>
        <v>0</v>
      </c>
      <c r="Y127" s="205">
        <f>IF($C$12=2,Y124*$C$6/100,
IF($G$6=Lister!$D$4,Y124*$C$6/100,
IF($G$6=Lister!$D$5,Y126*$C$6/100,
IF($G$6=Lister!$D$6,(Y126-SUMIFS(I62:I74,$O$62:$O$74,Lister!$D$31,$A$62:$A$74,Lister!$M$10))*$C$6/100,
IF($G$6=Lister!$D$7,(Y126-SUMIFS(I62:I74,$O$62:$O$74,Lister!$D$31,$A$62:$A$74,Lister!$M$10)-SUMIFS(I62:I74,$O$62:$O$74,Lister!$D$31,$A$62:$A$74,Lister!$M$7))*$C$6/100,
IF($G$6=Lister!$D$8,(Y126+Y128)*$C$6/100,
IF($G$6=Lister!$D$9,Y125*$C$6/100,0)))))))</f>
        <v>0</v>
      </c>
      <c r="Z127" s="204">
        <f>IF($C$12=2,Z124*$C$6/100,
IF($G$6=Lister!$D$4,Z124*$C$6/100,
IF($G$6=Lister!$D$5,Z126*$C$6/100,
IF($G$6=Lister!$D$6,(Z126-SUMIFS(J62:J74,$O$62:$O$74,Lister!$D$31,$A$62:$A$74,Lister!$M$10))*$C$6/100,
IF($G$6=Lister!$D$7,(Z126-SUMIFS(J62:J74,$O$62:$O$74,Lister!$D$31,$A$62:$A$74,Lister!$M$10)-SUMIFS(J62:J74,$O$62:$O$74,Lister!$D$31,$A$62:$A$74,Lister!$M$7))*$C$6/100,
IF($G$6=Lister!$D$8,(Z126+Z128)*$C$6/100,
IF($G$6=Lister!$D$9,Z125*$C$6/100,0)))))))</f>
        <v>0</v>
      </c>
      <c r="AA127" s="204">
        <f>IF($C$12=2,AA124*$C$6/100,
IF($G$6=Lister!$D$4,AA124*$C$6/100,
IF($G$6=Lister!$D$5,AA126*$C$6/100,
IF($G$6=Lister!$D$6,(AA126-SUMIFS(K62:K74,$O$62:$O$74,Lister!$D$31,$A$62:$A$74,Lister!$M$10))*$C$6/100,
IF($G$6=Lister!$D$7,(AA126-SUMIFS(K62:K74,$O$62:$O$74,Lister!$D$31,$A$62:$A$74,Lister!$M$10)-SUMIFS(K62:K74,$O$62:$O$74,Lister!$D$31,$A$62:$A$74,Lister!$M$7))*$C$6/100,
IF($G$6=Lister!$D$8,(AA126+AA128)*$C$6/100,
IF($G$6=Lister!$D$9,AA125*$C$6/100,0)))))))</f>
        <v>0</v>
      </c>
      <c r="AB127" s="204">
        <f>IF($C$12=2,AB124*$C$6/100,
IF($G$6=Lister!$D$4,AB124*$C$6/100,
IF($G$6=Lister!$D$5,AB126*$C$6/100,
IF($G$6=Lister!$D$6,(AB126-SUMIFS(L62:L74,$O$62:$O$74,Lister!$D$31,$A$62:$A$74,Lister!$M$10))*$C$6/100,
IF($G$6=Lister!$D$7,(AB126-SUMIFS(L62:L74,$O$62:$O$74,Lister!$D$31,$A$62:$A$74,Lister!$M$10)-SUMIFS(L62:L74,$O$62:$O$74,Lister!$D$31,$A$62:$A$74,Lister!$M$7))*$C$6/100,
IF($G$6=Lister!$D$8,(AB126+AB128)*$C$6/100,
IF($G$6=Lister!$D$9,AB125*$C$6/100,0)))))))</f>
        <v>0</v>
      </c>
      <c r="AC127" s="138">
        <f t="shared" si="118"/>
        <v>0</v>
      </c>
    </row>
    <row r="128" spans="14:62" ht="14.25" customHeight="1">
      <c r="Q128" s="151" t="s">
        <v>103</v>
      </c>
      <c r="R128" s="312">
        <f t="shared" si="117"/>
        <v>0</v>
      </c>
      <c r="S128" s="153">
        <f>+IF($C$8=Lister!$O$5,(SUMIF($O$20:$O$29,Lister!$D$31,C20:C29))*Takstblad!C$84,0)</f>
        <v>0</v>
      </c>
      <c r="T128" s="153">
        <f>+IF($C$8=Lister!$O$5,(SUMIF($O$20:$O$29,Lister!$D$31,D20:D29))*Takstblad!D$84,0)</f>
        <v>0</v>
      </c>
      <c r="U128" s="153">
        <f>+IF($C$8=Lister!$O$5,(SUMIF($O$20:$O$29,Lister!$D$31,E20:E29))*Takstblad!E$84,0)</f>
        <v>0</v>
      </c>
      <c r="V128" s="153">
        <f>+IF($C$8=Lister!$O$5,(SUMIF($O$20:$O$29,Lister!$D$31,F20:F29))*Takstblad!F$84,0)</f>
        <v>0</v>
      </c>
      <c r="W128" s="153">
        <f>+IF($C$8=Lister!$O$5,(SUMIF($O$20:$O$29,Lister!$D$31,G20:G29))*Takstblad!G$84,0)</f>
        <v>0</v>
      </c>
      <c r="X128" s="300">
        <f>+IF($C$8=Lister!$O$5,(SUMIF($O$20:$O$29,Lister!$D$31,H20:H29))*Takstblad!H$84,0)</f>
        <v>0</v>
      </c>
      <c r="Y128" s="297">
        <f>+IF($C$8=Lister!$O$5,(SUMIF($O$20:$O$29,Lister!$D$31,I20:I29))*Takstblad!I$84,0)</f>
        <v>0</v>
      </c>
      <c r="Z128" s="21">
        <f>+IF($C$8=Lister!$O$5,(SUMIF($O$20:$O$29,Lister!$D$31,J20:J29))*Takstblad!J$84,0)</f>
        <v>0</v>
      </c>
      <c r="AA128" s="21">
        <f>+IF($C$8=Lister!$O$5,(SUMIF($O$20:$O$29,Lister!$D$31,K20:K29))*Takstblad!K$84,0)</f>
        <v>0</v>
      </c>
      <c r="AB128" s="21">
        <f>+IF($C$8=Lister!$O$5,(SUMIF($O$20:$O$29,Lister!$D$31,L20:L29))*Takstblad!L$84,0)</f>
        <v>0</v>
      </c>
      <c r="AC128" s="138">
        <f t="shared" si="118"/>
        <v>0</v>
      </c>
    </row>
    <row r="129" spans="17:29" ht="14.25" customHeight="1">
      <c r="Q129" s="151" t="s">
        <v>108</v>
      </c>
      <c r="R129" s="312">
        <f t="shared" si="117"/>
        <v>0</v>
      </c>
      <c r="S129" s="153"/>
      <c r="T129" s="155"/>
      <c r="U129" s="155"/>
      <c r="V129" s="155"/>
      <c r="W129" s="155"/>
      <c r="X129" s="308"/>
      <c r="Y129" s="114"/>
      <c r="Z129" s="115"/>
      <c r="AA129" s="115"/>
      <c r="AB129" s="115"/>
      <c r="AC129" s="138">
        <f t="shared" si="118"/>
        <v>0</v>
      </c>
    </row>
    <row r="130" spans="17:29" ht="14.25" customHeight="1">
      <c r="Q130" s="150" t="s">
        <v>531</v>
      </c>
      <c r="R130" s="312">
        <f t="shared" si="117"/>
        <v>0</v>
      </c>
      <c r="S130" s="153" t="str">
        <f>IF($C$12=2,(SUM(S126:S129)*$C$13)/100,"0")</f>
        <v>0</v>
      </c>
      <c r="T130" s="155" t="str">
        <f t="shared" ref="T130:Z130" si="121">IF($C$12=2,(SUM(T126:T129)*$C$13)/100,"0")</f>
        <v>0</v>
      </c>
      <c r="U130" s="155" t="str">
        <f t="shared" si="121"/>
        <v>0</v>
      </c>
      <c r="V130" s="155" t="str">
        <f t="shared" si="121"/>
        <v>0</v>
      </c>
      <c r="W130" s="155" t="str">
        <f t="shared" si="121"/>
        <v>0</v>
      </c>
      <c r="X130" s="308" t="str">
        <f t="shared" si="121"/>
        <v>0</v>
      </c>
      <c r="Y130" s="156" t="str">
        <f t="shared" si="121"/>
        <v>0</v>
      </c>
      <c r="Z130" s="155" t="str">
        <f t="shared" si="121"/>
        <v>0</v>
      </c>
      <c r="AA130" s="155" t="str">
        <f>IF($C$12=2,(SUM(AA126:AA129)*$C$13)/100,"0")</f>
        <v>0</v>
      </c>
      <c r="AB130" s="155" t="str">
        <f>IF($C$12=2,(SUM(AB126:AB129)*$C$13)/100,"0")</f>
        <v>0</v>
      </c>
      <c r="AC130" s="138">
        <f t="shared" si="118"/>
        <v>0</v>
      </c>
    </row>
    <row r="131" spans="17:29" ht="14.25" customHeight="1" thickBot="1">
      <c r="Q131" s="303" t="s">
        <v>101</v>
      </c>
      <c r="R131" s="331">
        <f t="shared" si="117"/>
        <v>0</v>
      </c>
      <c r="S131" s="332">
        <f>+SUM(S126:S130)</f>
        <v>0</v>
      </c>
      <c r="T131" s="332">
        <f t="shared" ref="T131:Z131" si="122">+SUM(T126:T130)</f>
        <v>0</v>
      </c>
      <c r="U131" s="332">
        <f t="shared" si="122"/>
        <v>0</v>
      </c>
      <c r="V131" s="332">
        <f t="shared" si="122"/>
        <v>0</v>
      </c>
      <c r="W131" s="332">
        <f t="shared" si="122"/>
        <v>0</v>
      </c>
      <c r="X131" s="333">
        <f t="shared" si="122"/>
        <v>0</v>
      </c>
      <c r="Y131" s="299">
        <f t="shared" si="122"/>
        <v>0</v>
      </c>
      <c r="Z131" s="143">
        <f t="shared" si="122"/>
        <v>0</v>
      </c>
      <c r="AA131" s="143">
        <f>+SUM(AA126:AA130)</f>
        <v>0</v>
      </c>
      <c r="AB131" s="143">
        <f>+SUM(AB126:AB130)</f>
        <v>0</v>
      </c>
      <c r="AC131" s="144">
        <f t="shared" si="118"/>
        <v>0</v>
      </c>
    </row>
    <row r="132" spans="17:29" ht="12.5">
      <c r="Q132" s="7"/>
      <c r="R132" s="7"/>
    </row>
    <row r="133" spans="17:29" ht="12.5">
      <c r="Q133" s="7"/>
      <c r="R133" s="7"/>
    </row>
    <row r="134" spans="17:29" ht="12.5">
      <c r="Q134" s="7"/>
      <c r="R134" s="7"/>
    </row>
    <row r="142" spans="17:29" ht="12.5">
      <c r="Q142" s="7"/>
      <c r="R142" s="7"/>
    </row>
    <row r="143" spans="17:29" ht="12.5">
      <c r="Q143" s="7"/>
      <c r="R143" s="7"/>
    </row>
    <row r="144" spans="17:29" ht="12.5">
      <c r="Q144" s="7"/>
      <c r="R144" s="7"/>
    </row>
    <row r="145" s="7" customFormat="1" ht="12.5"/>
    <row r="146" s="7" customFormat="1" ht="12.5"/>
    <row r="147" s="7" customFormat="1" ht="12.5"/>
    <row r="148" s="7" customFormat="1" ht="12.5"/>
    <row r="149" s="7" customFormat="1" ht="12.5"/>
    <row r="150" s="7" customFormat="1" ht="12.5"/>
    <row r="151" s="7" customFormat="1" ht="12.5"/>
    <row r="152" s="7" customFormat="1" ht="12.5"/>
  </sheetData>
  <sheetProtection algorithmName="SHA-512" hashValue="J19qbrTBPN2E+ouFHeIrKlMdtdGgPWuIFparA0tztQrZihHtD+OMF+223bObLKYum2Xzi4JDn6tQV/JszR3Gdg==" saltValue="0xKfuWYWSkYpjOOcQsxWOg==" spinCount="100000" sheet="1" objects="1" scenarios="1"/>
  <mergeCells count="35">
    <mergeCell ref="BF19:BG19"/>
    <mergeCell ref="BF42:BG42"/>
    <mergeCell ref="BI19:BJ19"/>
    <mergeCell ref="BI42:BJ42"/>
    <mergeCell ref="AE42:AF42"/>
    <mergeCell ref="AH42:AI42"/>
    <mergeCell ref="AK42:AL42"/>
    <mergeCell ref="AN42:AO42"/>
    <mergeCell ref="AQ42:AR42"/>
    <mergeCell ref="AZ19:BA19"/>
    <mergeCell ref="AZ42:BA42"/>
    <mergeCell ref="BC19:BD19"/>
    <mergeCell ref="BC42:BD42"/>
    <mergeCell ref="AT19:AU19"/>
    <mergeCell ref="AW19:AX19"/>
    <mergeCell ref="AT42:AU42"/>
    <mergeCell ref="AW42:AX42"/>
    <mergeCell ref="AN19:AO19"/>
    <mergeCell ref="AQ19:AR19"/>
    <mergeCell ref="D6:F6"/>
    <mergeCell ref="G6:H6"/>
    <mergeCell ref="G7:H7"/>
    <mergeCell ref="D12:G12"/>
    <mergeCell ref="D13:G13"/>
    <mergeCell ref="J12:O12"/>
    <mergeCell ref="C8:D8"/>
    <mergeCell ref="C3:H3"/>
    <mergeCell ref="C4:H4"/>
    <mergeCell ref="C5:H5"/>
    <mergeCell ref="AH19:AI19"/>
    <mergeCell ref="AK19:AL19"/>
    <mergeCell ref="AE19:AF19"/>
    <mergeCell ref="D7:F7"/>
    <mergeCell ref="D14:H14"/>
    <mergeCell ref="D16:H16"/>
  </mergeCells>
  <dataValidations count="2">
    <dataValidation type="decimal" operator="lessThan" allowBlank="1" showInputMessage="1" showErrorMessage="1" errorTitle="Too high value" error="Value can't exceed 12 months" sqref="C43:L52 C20:L39" xr:uid="{7BA0F8CA-389F-4443-B0A8-BDEAC0CF344C}">
      <formula1>13</formula1>
    </dataValidation>
    <dataValidation type="date" allowBlank="1" showInputMessage="1" showErrorMessage="1" sqref="C9 D9:D10 I9:I10 H9" xr:uid="{B1BAED33-219B-4B78-AB23-8B733D6B1B83}">
      <formula1>45292</formula1>
      <formula2>73050</formula2>
    </dataValidation>
  </dataValidations>
  <pageMargins left="0.15748031496062992" right="0.23622047244094491" top="0.27559055118110237" bottom="0.19685039370078741" header="0" footer="0"/>
  <pageSetup paperSize="9" scale="55" orientation="landscape" r:id="rId1"/>
  <headerFooter alignWithMargins="0">
    <oddFooter>&amp;R&amp;A
&amp;D</oddFooter>
  </headerFooter>
  <rowBreaks count="1" manualBreakCount="1">
    <brk id="118" max="16383" man="1"/>
  </rowBreaks>
  <legacyDrawing r:id="rId2"/>
  <extLst>
    <ext xmlns:x14="http://schemas.microsoft.com/office/spreadsheetml/2009/9/main" uri="{CCE6A557-97BC-4b89-ADB6-D9C93CAAB3DF}">
      <x14:dataValidations xmlns:xm="http://schemas.microsoft.com/office/excel/2006/main" count="18">
        <x14:dataValidation type="list" allowBlank="1" showInputMessage="1" showErrorMessage="1" xr:uid="{00000000-0002-0000-0A00-000000000000}">
          <x14:formula1>
            <xm:f>Takstblad!$A$5:$A$30</xm:f>
          </x14:formula1>
          <xm:sqref>A20:A39</xm:sqref>
        </x14:dataValidation>
        <x14:dataValidation type="list" allowBlank="1" showInputMessage="1" xr:uid="{953937EF-466A-41B1-A68C-422D38111C6E}">
          <x14:formula1>
            <xm:f>Lister!$O$4:$O$5</xm:f>
          </x14:formula1>
          <xm:sqref>C11</xm:sqref>
        </x14:dataValidation>
        <x14:dataValidation type="list" allowBlank="1" showInputMessage="1" showErrorMessage="1" errorTitle="Information" error="Please choose a department from the list" xr:uid="{00000000-0002-0000-0A00-000004000000}">
          <x14:formula1>
            <xm:f>Lister!$A$4:$A$16</xm:f>
          </x14:formula1>
          <xm:sqref>C2</xm:sqref>
        </x14:dataValidation>
        <x14:dataValidation type="list" errorStyle="warning" allowBlank="1" showInputMessage="1" showErrorMessage="1" errorTitle="Are you sure" error="You are about to select a number of hours that is not on the list. Are you sure you want to continue?" xr:uid="{0DAF420C-17A0-447B-A9E9-2569A38349C8}">
          <x14:formula1>
            <xm:f>Lister!$F$4:$F$10</xm:f>
          </x14:formula1>
          <xm:sqref>C7</xm:sqref>
        </x14:dataValidation>
        <x14:dataValidation type="list" allowBlank="1" showInputMessage="1" showErrorMessage="1" errorTitle="STOP" error="You can only select a value from the list." xr:uid="{74F59852-B208-4B4C-B7E1-37519AF9C0DB}">
          <x14:formula1>
            <xm:f>Lister!$I$4:$I$7</xm:f>
          </x14:formula1>
          <xm:sqref>G7:H7</xm:sqref>
        </x14:dataValidation>
        <x14:dataValidation type="list" allowBlank="1" showInputMessage="1" showErrorMessage="1" errorTitle="STOP" error="You can only select a value from the list." xr:uid="{367ABFCB-579E-434B-B4B2-639008C7FC26}">
          <x14:formula1>
            <xm:f>Lister!$A$40:$A$41</xm:f>
          </x14:formula1>
          <xm:sqref>H8 H15</xm:sqref>
        </x14:dataValidation>
        <x14:dataValidation type="list" allowBlank="1" showInputMessage="1" showErrorMessage="1" errorTitle="STOP" error="You can only select a value from the list." xr:uid="{617F15C9-C077-4C54-8C27-CE4F895CA864}">
          <x14:formula1>
            <xm:f>Lister!$A$49:$A$50</xm:f>
          </x14:formula1>
          <xm:sqref>C12</xm:sqref>
        </x14:dataValidation>
        <x14:dataValidation type="list" errorStyle="warning" allowBlank="1" showErrorMessage="1" errorTitle="Are you sure" error="You are about to select an EBIT that is different from 10. Are you sure you want to continue?" xr:uid="{7C5FDE1E-1C9B-4C9F-B3C6-A0C8AFC3FC70}">
          <x14:formula1>
            <xm:f>Lister!$A$53:$A$53</xm:f>
          </x14:formula1>
          <xm:sqref>C13</xm:sqref>
        </x14:dataValidation>
        <x14:dataValidation type="list" errorStyle="information" allowBlank="1" showInputMessage="1" xr:uid="{58009774-C984-433C-832C-AAF8F019A100}">
          <x14:formula1>
            <xm:f>Lister!$I$20:$I$45</xm:f>
          </x14:formula1>
          <xm:sqref>C5:H5</xm:sqref>
        </x14:dataValidation>
        <x14:dataValidation type="list" errorStyle="warning" allowBlank="1" showInputMessage="1" showErrorMessage="1" errorTitle="Are you sure" error="You are about to select an EBIT that is different from 10. Are you sure you want to continue?" xr:uid="{6E70156B-00F4-4324-B7AC-2A9887CEC679}">
          <x14:formula1>
            <xm:f>Lister!$A$40:$A$41</xm:f>
          </x14:formula1>
          <xm:sqref>C14:C16</xm:sqref>
        </x14:dataValidation>
        <x14:dataValidation type="list" allowBlank="1" showInputMessage="1" xr:uid="{09E0E20B-46D6-47D1-A5D2-95F759F5A6BD}">
          <x14:formula1>
            <xm:f>Lister!$O$4:$O$6</xm:f>
          </x14:formula1>
          <xm:sqref>C8:D8</xm:sqref>
        </x14:dataValidation>
        <x14:dataValidation type="list" allowBlank="1" showInputMessage="1" showErrorMessage="1" errorTitle="STOP" error="You can only select a value from the list." xr:uid="{1869BE9A-6C38-41F4-90F4-E1314A5EBC25}">
          <x14:formula1>
            <xm:f>Lister!$D$29:$D$32</xm:f>
          </x14:formula1>
          <xm:sqref>O62:P72 O43:P52 O20:P39</xm:sqref>
        </x14:dataValidation>
        <x14:dataValidation type="list" allowBlank="1" showInputMessage="1" xr:uid="{44406389-17BE-45D6-B2A6-7C109796A576}">
          <x14:formula1>
            <xm:f>Lister!$A$61:$A$62</xm:f>
          </x14:formula1>
          <xm:sqref>C10</xm:sqref>
        </x14:dataValidation>
        <x14:dataValidation type="list" allowBlank="1" showInputMessage="1" showErrorMessage="1" xr:uid="{73B46050-2A30-43D0-BDE8-E328EEB57B10}">
          <x14:formula1>
            <xm:f>Lister!$A$65:$A$66</xm:f>
          </x14:formula1>
          <xm:sqref>H10</xm:sqref>
        </x14:dataValidation>
        <x14:dataValidation type="list" allowBlank="1" showInputMessage="1" showErrorMessage="1" xr:uid="{4D0BD7AC-EFD5-4560-AD13-81CE42AC87A1}">
          <x14:formula1>
            <xm:f>Takstblad!$A$33:$A$47</xm:f>
          </x14:formula1>
          <xm:sqref>A43:A52</xm:sqref>
        </x14:dataValidation>
        <x14:dataValidation type="list" allowBlank="1" showInputMessage="1" showErrorMessage="1" xr:uid="{081B462D-0647-48FF-A15A-B82822956010}">
          <x14:formula1>
            <xm:f>Lister!$M$4:$M$17</xm:f>
          </x14:formula1>
          <xm:sqref>A62:A72</xm:sqref>
        </x14:dataValidation>
        <x14:dataValidation type="list" errorStyle="warning" allowBlank="1" showInputMessage="1" showErrorMessage="1" errorTitle="Are you sure" error="You are about to select an overhead rate that is not on the list. Are you sure you want to continue?" xr:uid="{35E577DC-0F97-47E9-B455-1DEEEB9CDE47}">
          <x14:formula1>
            <xm:f>Lister!$D$37:$D$44</xm:f>
          </x14:formula1>
          <xm:sqref>C6</xm:sqref>
        </x14:dataValidation>
        <x14:dataValidation type="list" allowBlank="1" showInputMessage="1" showErrorMessage="1" errorTitle="STOP" error="You can only select a value from the list." xr:uid="{A56C6D63-3CC3-4837-9720-7ADBE185ADA7}">
          <x14:formula1>
            <xm:f>Lister!$D$4:$D$9</xm:f>
          </x14:formula1>
          <xm:sqref>G6:H6</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Ark9">
    <tabColor theme="8" tint="0.59999389629810485"/>
  </sheetPr>
  <dimension ref="A1:BN152"/>
  <sheetViews>
    <sheetView showGridLines="0" showZeros="0" zoomScale="80" zoomScaleNormal="80" workbookViewId="0">
      <pane xSplit="2" ySplit="17" topLeftCell="C18" activePane="bottomRight" state="frozen"/>
      <selection activeCell="C6" sqref="C6"/>
      <selection pane="topRight" activeCell="C6" sqref="C6"/>
      <selection pane="bottomLeft" activeCell="C6" sqref="C6"/>
      <selection pane="bottomRight" activeCell="C2" sqref="C2"/>
    </sheetView>
  </sheetViews>
  <sheetFormatPr defaultColWidth="16.75" defaultRowHeight="13" outlineLevelRow="1" outlineLevelCol="1"/>
  <cols>
    <col min="1" max="1" width="53.58203125" style="7" customWidth="1"/>
    <col min="2" max="2" width="11.58203125" style="7" hidden="1" customWidth="1"/>
    <col min="3" max="8" width="11.58203125" style="7" customWidth="1"/>
    <col min="9" max="12" width="11.58203125" style="7" hidden="1" customWidth="1" outlineLevel="1"/>
    <col min="13" max="13" width="11.58203125" style="7" customWidth="1" collapsed="1"/>
    <col min="14" max="14" width="35.25" style="7" customWidth="1"/>
    <col min="15" max="15" width="27.08203125" style="7" customWidth="1"/>
    <col min="16" max="16" width="6" style="7" customWidth="1"/>
    <col min="17" max="18" width="25.08203125" style="6" customWidth="1"/>
    <col min="19" max="24" width="12.58203125" style="7" customWidth="1"/>
    <col min="25" max="29" width="12.58203125" style="7" hidden="1" customWidth="1" outlineLevel="1"/>
    <col min="30" max="30" width="4.08203125" style="7" customWidth="1" collapsed="1"/>
    <col min="31" max="31" width="10.75" style="7" bestFit="1" customWidth="1"/>
    <col min="32" max="32" width="14.75" style="7" bestFit="1" customWidth="1"/>
    <col min="33" max="33" width="1.75" style="7" customWidth="1"/>
    <col min="34" max="34" width="10.75" style="7" bestFit="1" customWidth="1"/>
    <col min="35" max="35" width="14.75" style="7" bestFit="1" customWidth="1"/>
    <col min="36" max="36" width="1.75" style="7" customWidth="1"/>
    <col min="37" max="37" width="10.75" style="7" bestFit="1" customWidth="1"/>
    <col min="38" max="38" width="14.75" style="7" bestFit="1" customWidth="1"/>
    <col min="39" max="39" width="1.75" style="7" customWidth="1"/>
    <col min="40" max="40" width="10.75" style="7" bestFit="1" customWidth="1"/>
    <col min="41" max="41" width="14.75" style="7" bestFit="1" customWidth="1"/>
    <col min="42" max="42" width="1.75" style="7" customWidth="1"/>
    <col min="43" max="43" width="10.75" style="7" bestFit="1" customWidth="1"/>
    <col min="44" max="44" width="14.75" style="7" bestFit="1" customWidth="1"/>
    <col min="45" max="45" width="1.75" style="7" customWidth="1"/>
    <col min="46" max="46" width="10.75" style="7" bestFit="1" customWidth="1"/>
    <col min="47" max="47" width="14.75" style="7" bestFit="1" customWidth="1"/>
    <col min="48" max="48" width="1.75" style="7" customWidth="1"/>
    <col min="49" max="49" width="10.75" style="7" bestFit="1" customWidth="1"/>
    <col min="50" max="50" width="14.75" style="7" bestFit="1" customWidth="1"/>
    <col min="51" max="51" width="1.75" style="7" customWidth="1"/>
    <col min="52" max="52" width="10.75" style="7" hidden="1" customWidth="1" outlineLevel="1"/>
    <col min="53" max="53" width="14.75" style="7" hidden="1" customWidth="1" outlineLevel="1"/>
    <col min="54" max="54" width="1.75" style="7" hidden="1" customWidth="1" outlineLevel="1"/>
    <col min="55" max="55" width="10.75" style="7" hidden="1" customWidth="1" outlineLevel="1"/>
    <col min="56" max="56" width="14.75" style="7" hidden="1" customWidth="1" outlineLevel="1"/>
    <col min="57" max="57" width="1.75" style="7" hidden="1" customWidth="1" outlineLevel="1"/>
    <col min="58" max="58" width="10.75" style="7" hidden="1" customWidth="1" outlineLevel="1"/>
    <col min="59" max="59" width="14.75" style="7" hidden="1" customWidth="1" outlineLevel="1"/>
    <col min="60" max="60" width="1.75" style="7" hidden="1" customWidth="1" outlineLevel="1"/>
    <col min="61" max="61" width="10.75" style="7" hidden="1" customWidth="1" outlineLevel="1"/>
    <col min="62" max="62" width="14.75" style="7" hidden="1" customWidth="1" outlineLevel="1"/>
    <col min="63" max="63" width="16.75" style="7" collapsed="1"/>
    <col min="64" max="16384" width="16.75" style="7"/>
  </cols>
  <sheetData>
    <row r="1" spans="1:62" s="5" customFormat="1" ht="22.4" customHeight="1">
      <c r="A1" s="40" t="s">
        <v>28</v>
      </c>
      <c r="B1" s="7"/>
      <c r="E1" s="339" t="s">
        <v>732</v>
      </c>
      <c r="I1" s="7"/>
      <c r="N1" s="339"/>
      <c r="Q1" s="16"/>
      <c r="R1" s="16"/>
    </row>
    <row r="2" spans="1:62" s="5" customFormat="1" ht="15.65" customHeight="1">
      <c r="A2" s="340" t="s">
        <v>160</v>
      </c>
      <c r="B2" s="7"/>
      <c r="C2" s="278"/>
      <c r="D2" s="339"/>
      <c r="E2" s="339" t="s">
        <v>32</v>
      </c>
      <c r="I2" s="7"/>
      <c r="M2" s="344"/>
      <c r="N2" s="339"/>
      <c r="O2" s="339"/>
      <c r="P2" s="339"/>
      <c r="Q2" s="16"/>
      <c r="R2" s="16"/>
    </row>
    <row r="3" spans="1:62" s="5" customFormat="1" ht="15.65" customHeight="1" thickBot="1">
      <c r="A3" s="340" t="s">
        <v>151</v>
      </c>
      <c r="B3" s="7"/>
      <c r="C3" s="541">
        <f>+'B1'!C3</f>
        <v>0</v>
      </c>
      <c r="D3" s="542"/>
      <c r="E3" s="542"/>
      <c r="F3" s="542"/>
      <c r="G3" s="542"/>
      <c r="H3" s="543"/>
      <c r="I3" s="69"/>
      <c r="J3" s="353"/>
      <c r="K3" s="353"/>
      <c r="L3" s="353"/>
      <c r="M3" s="191"/>
      <c r="N3" s="179"/>
      <c r="O3" s="351"/>
      <c r="P3" s="351"/>
      <c r="Q3" s="168"/>
      <c r="R3" s="168"/>
      <c r="S3" s="345"/>
      <c r="T3" s="179"/>
      <c r="U3" s="352"/>
      <c r="V3" s="179"/>
      <c r="W3" s="179"/>
      <c r="X3" s="179"/>
      <c r="Y3" s="179"/>
      <c r="Z3" s="179"/>
      <c r="AA3" s="179"/>
      <c r="AB3" s="179"/>
      <c r="AC3" s="179"/>
      <c r="AD3" s="179"/>
      <c r="AE3" s="179"/>
      <c r="AF3" s="179"/>
      <c r="AG3" s="179"/>
      <c r="AH3" s="179"/>
      <c r="AI3" s="179"/>
      <c r="AJ3" s="179"/>
      <c r="AK3" s="179"/>
      <c r="AL3" s="179"/>
      <c r="AM3" s="179"/>
      <c r="AN3" s="179"/>
      <c r="AO3" s="179"/>
      <c r="AP3" s="179"/>
      <c r="AQ3" s="179"/>
      <c r="AR3" s="179"/>
      <c r="AS3" s="179"/>
      <c r="AT3" s="179"/>
      <c r="AU3" s="179"/>
      <c r="AV3" s="179"/>
      <c r="AW3" s="179"/>
      <c r="AX3" s="179"/>
      <c r="AY3" s="179"/>
      <c r="AZ3" s="179"/>
      <c r="BA3" s="179"/>
      <c r="BB3" s="179"/>
      <c r="BC3" s="179"/>
      <c r="BD3" s="179"/>
      <c r="BE3" s="179"/>
      <c r="BF3" s="179"/>
      <c r="BG3" s="179"/>
      <c r="BH3" s="179"/>
      <c r="BI3" s="179"/>
      <c r="BJ3" s="179"/>
    </row>
    <row r="4" spans="1:62" s="5" customFormat="1" ht="15.65" customHeight="1" thickBot="1">
      <c r="A4" s="340" t="s">
        <v>737</v>
      </c>
      <c r="B4" s="7"/>
      <c r="C4" s="541">
        <f>+'B1'!C4</f>
        <v>0</v>
      </c>
      <c r="D4" s="542"/>
      <c r="E4" s="542"/>
      <c r="F4" s="542"/>
      <c r="G4" s="542"/>
      <c r="H4" s="543"/>
      <c r="I4" s="69"/>
      <c r="J4" s="336"/>
      <c r="K4" s="336"/>
      <c r="L4" s="354"/>
      <c r="M4" s="396"/>
      <c r="N4" s="334" t="s">
        <v>586</v>
      </c>
      <c r="O4" s="394">
        <f>IFERROR((R89-R84+R112-R126)/(R84-R112+R126),0)</f>
        <v>0</v>
      </c>
      <c r="P4" s="351"/>
      <c r="Q4" s="168"/>
      <c r="R4" s="168"/>
      <c r="S4"/>
      <c r="T4" s="179"/>
      <c r="U4" s="352"/>
      <c r="V4" s="179"/>
      <c r="W4" s="179"/>
      <c r="X4" s="179"/>
      <c r="Y4" s="179"/>
      <c r="Z4" s="179"/>
      <c r="AA4" s="179"/>
      <c r="AB4" s="179"/>
      <c r="AC4" s="179"/>
      <c r="AD4" s="179"/>
      <c r="AE4" s="179"/>
      <c r="AF4" s="179"/>
      <c r="AG4" s="179"/>
      <c r="AH4" s="179"/>
      <c r="AI4" s="179"/>
      <c r="AJ4" s="179"/>
      <c r="AK4" s="179"/>
      <c r="AL4" s="179"/>
      <c r="AM4" s="179"/>
      <c r="AN4" s="179"/>
      <c r="AO4" s="179"/>
      <c r="AP4" s="179"/>
      <c r="AQ4" s="179"/>
      <c r="AR4" s="179"/>
      <c r="AS4" s="179"/>
      <c r="AT4" s="179"/>
      <c r="AU4" s="179"/>
      <c r="AV4" s="179"/>
      <c r="AW4" s="179"/>
      <c r="AX4" s="179"/>
      <c r="AY4" s="179"/>
      <c r="AZ4" s="179"/>
      <c r="BA4" s="179"/>
      <c r="BB4" s="179"/>
      <c r="BC4" s="179"/>
      <c r="BD4" s="179"/>
      <c r="BE4" s="179"/>
      <c r="BF4" s="179"/>
      <c r="BG4" s="179"/>
      <c r="BH4" s="179"/>
      <c r="BI4" s="179"/>
      <c r="BJ4" s="179"/>
    </row>
    <row r="5" spans="1:62" s="5" customFormat="1" ht="15.65" customHeight="1" thickBot="1">
      <c r="A5" s="340" t="s">
        <v>609</v>
      </c>
      <c r="B5" s="7"/>
      <c r="C5" s="544"/>
      <c r="D5" s="545"/>
      <c r="E5" s="545"/>
      <c r="F5" s="545"/>
      <c r="G5" s="545"/>
      <c r="H5" s="546"/>
      <c r="I5" s="69"/>
      <c r="J5" s="336"/>
      <c r="K5" s="336"/>
      <c r="L5" s="355"/>
      <c r="M5" s="396"/>
      <c r="N5" s="335" t="s">
        <v>610</v>
      </c>
      <c r="O5" s="395">
        <f>IFERROR((AC126/AC68),0)</f>
        <v>0</v>
      </c>
      <c r="P5" s="345"/>
      <c r="Q5" s="168"/>
      <c r="R5" s="168"/>
      <c r="S5" s="179"/>
      <c r="T5" s="179"/>
      <c r="U5" s="352"/>
      <c r="V5" s="179"/>
      <c r="W5" s="179"/>
      <c r="X5" s="179"/>
      <c r="Y5" s="179"/>
      <c r="Z5" s="179"/>
      <c r="AA5" s="179"/>
      <c r="AB5" s="179"/>
      <c r="AC5" s="179"/>
      <c r="AD5" s="179"/>
      <c r="AE5" s="179"/>
      <c r="AF5" s="179"/>
      <c r="AG5" s="179"/>
      <c r="AH5" s="179"/>
      <c r="AI5" s="179"/>
      <c r="AJ5" s="179"/>
      <c r="AK5" s="179"/>
      <c r="AL5" s="179"/>
      <c r="AM5" s="179"/>
      <c r="AN5" s="179"/>
      <c r="AO5" s="179"/>
      <c r="AP5" s="179"/>
      <c r="AQ5" s="179"/>
      <c r="AR5" s="179"/>
      <c r="AS5" s="179"/>
      <c r="AT5" s="179"/>
      <c r="AU5" s="179"/>
      <c r="AV5" s="179"/>
      <c r="AW5" s="179"/>
      <c r="AX5" s="179"/>
      <c r="AY5" s="179"/>
      <c r="AZ5" s="179"/>
      <c r="BA5" s="179"/>
      <c r="BB5" s="179"/>
      <c r="BC5" s="179"/>
      <c r="BD5" s="179"/>
      <c r="BE5" s="179"/>
      <c r="BF5" s="179"/>
      <c r="BG5" s="179"/>
      <c r="BH5" s="179"/>
      <c r="BI5" s="179"/>
      <c r="BJ5" s="179"/>
    </row>
    <row r="6" spans="1:62" s="5" customFormat="1" ht="15.65" customHeight="1" thickBot="1">
      <c r="A6" s="340" t="s">
        <v>29</v>
      </c>
      <c r="B6" s="7"/>
      <c r="C6" s="279">
        <f>IFERROR(IF(C12=Lister!A50,INDEX(Table22[Overhead],MATCH(C9,Table22[IV fra-dato],1)),IF(C8=Lister!O5,5,VLOOKUP(C5,Lister!I20:O52,5,FALSE))),0)</f>
        <v>0</v>
      </c>
      <c r="D6" s="558" t="s">
        <v>31</v>
      </c>
      <c r="E6" s="559"/>
      <c r="F6" s="559"/>
      <c r="G6" s="562" t="str">
        <f>IF(C8="Bench Fee","Salary, operations and Bench Fee",IFERROR(VLOOKUP(C5,Lister!I19:S52,9,FALSE),"Salary and operations"))</f>
        <v>Salary and operations</v>
      </c>
      <c r="H6" s="567"/>
      <c r="I6" s="75"/>
      <c r="J6" s="336"/>
      <c r="K6" s="336"/>
      <c r="L6" s="355"/>
      <c r="M6" s="396"/>
      <c r="N6" s="335" t="s">
        <v>672</v>
      </c>
      <c r="O6" s="395">
        <f>IFERROR(AC103/AC73,0)</f>
        <v>0</v>
      </c>
      <c r="P6" s="345"/>
      <c r="Q6" s="168"/>
      <c r="R6" s="356"/>
      <c r="S6" s="179"/>
      <c r="T6" s="179"/>
      <c r="U6" s="179"/>
      <c r="V6" s="179"/>
      <c r="W6" s="179"/>
      <c r="X6" s="179"/>
      <c r="Y6" s="179"/>
      <c r="Z6" s="179"/>
      <c r="AA6" s="179"/>
      <c r="AB6" s="179"/>
      <c r="AC6" s="179"/>
      <c r="AD6" s="179"/>
      <c r="AE6" s="179"/>
      <c r="AF6" s="179"/>
      <c r="AG6" s="179"/>
      <c r="AH6" s="179"/>
      <c r="AI6" s="179"/>
      <c r="AJ6" s="179"/>
      <c r="AK6" s="179"/>
      <c r="AL6" s="179"/>
      <c r="AM6" s="179"/>
      <c r="AN6" s="179"/>
      <c r="AO6" s="179"/>
      <c r="AP6" s="179"/>
      <c r="AQ6" s="179"/>
      <c r="AR6" s="179"/>
      <c r="AS6" s="179"/>
      <c r="AT6" s="179"/>
      <c r="AU6" s="179"/>
      <c r="AV6" s="179"/>
      <c r="AW6" s="179"/>
      <c r="AX6" s="179"/>
      <c r="AY6" s="179"/>
      <c r="AZ6" s="179"/>
      <c r="BA6" s="179"/>
      <c r="BB6" s="179"/>
      <c r="BC6" s="179"/>
      <c r="BD6" s="179"/>
      <c r="BE6" s="179"/>
      <c r="BF6" s="179"/>
      <c r="BG6" s="179"/>
      <c r="BH6" s="179"/>
      <c r="BI6" s="179"/>
      <c r="BJ6" s="179"/>
    </row>
    <row r="7" spans="1:62" s="5" customFormat="1" ht="15.65" customHeight="1">
      <c r="A7" s="340" t="s">
        <v>30</v>
      </c>
      <c r="B7" s="7"/>
      <c r="C7" s="279">
        <f>IFERROR(IF(C12=Lister!A50,1460,VLOOKUP(C5,Lister!I20:M52,3,FALSE)),0)</f>
        <v>0</v>
      </c>
      <c r="D7" s="550" t="s">
        <v>748</v>
      </c>
      <c r="E7" s="551"/>
      <c r="F7" s="552"/>
      <c r="G7" s="562" t="str">
        <f>IFERROR(VLOOKUP(C5,Lister!I19:S52,11,FALSE),"Salary and operations")</f>
        <v>Salary and operations</v>
      </c>
      <c r="H7" s="567"/>
      <c r="I7" s="72"/>
      <c r="J7" s="336"/>
      <c r="K7" s="336"/>
      <c r="L7" s="336"/>
      <c r="M7" s="336"/>
      <c r="N7" s="337"/>
      <c r="O7" s="345"/>
      <c r="P7" s="345"/>
      <c r="Q7" s="168"/>
      <c r="R7" s="168"/>
      <c r="S7" s="179"/>
      <c r="T7" s="179"/>
      <c r="U7" s="179"/>
      <c r="V7" s="179"/>
      <c r="W7" s="179"/>
      <c r="X7" s="179"/>
      <c r="Y7" s="179"/>
      <c r="Z7" s="179"/>
      <c r="AA7" s="179"/>
      <c r="AB7" s="179"/>
      <c r="AC7" s="179"/>
      <c r="AD7" s="179"/>
      <c r="AE7" s="179"/>
      <c r="AF7" s="179"/>
      <c r="AG7" s="179"/>
      <c r="AH7" s="179"/>
      <c r="AI7" s="179"/>
      <c r="AJ7" s="179"/>
      <c r="AK7" s="179"/>
      <c r="AL7" s="179"/>
      <c r="AM7" s="179"/>
      <c r="AN7" s="179"/>
      <c r="AO7" s="179"/>
      <c r="AP7" s="179"/>
      <c r="AQ7" s="179"/>
      <c r="AR7" s="179"/>
      <c r="AS7" s="179"/>
      <c r="AT7" s="179"/>
      <c r="AU7" s="179"/>
      <c r="AV7" s="179"/>
      <c r="AW7" s="179"/>
      <c r="AX7" s="179"/>
      <c r="AY7" s="179"/>
      <c r="AZ7" s="179"/>
      <c r="BA7" s="179"/>
      <c r="BB7" s="179"/>
      <c r="BC7" s="179"/>
      <c r="BD7" s="179"/>
      <c r="BE7" s="179"/>
      <c r="BF7" s="179"/>
      <c r="BG7" s="179"/>
      <c r="BH7" s="179"/>
      <c r="BI7" s="179"/>
      <c r="BJ7" s="179"/>
    </row>
    <row r="8" spans="1:62" s="5" customFormat="1" ht="15.65" customHeight="1">
      <c r="A8" s="4" t="s">
        <v>105</v>
      </c>
      <c r="B8" s="7"/>
      <c r="C8" s="544" t="str">
        <f>IFERROR((VLOOKUP(C5,Lister!I20:O52,7,FALSE)),"None")</f>
        <v>None</v>
      </c>
      <c r="D8" s="546"/>
      <c r="E8" s="4" t="s">
        <v>530</v>
      </c>
      <c r="F8" s="4"/>
      <c r="G8" s="346"/>
      <c r="H8" s="388"/>
      <c r="I8" s="69"/>
      <c r="J8" s="353"/>
      <c r="K8" s="353"/>
      <c r="L8" s="353"/>
      <c r="M8" s="4"/>
      <c r="N8" s="345"/>
      <c r="O8" s="345"/>
      <c r="P8" s="345"/>
      <c r="Q8" s="168"/>
      <c r="R8" s="168"/>
      <c r="S8" s="179"/>
      <c r="T8" s="179"/>
      <c r="U8" s="179"/>
      <c r="V8" s="179"/>
      <c r="W8" s="179"/>
      <c r="X8" s="179"/>
      <c r="Y8" s="179"/>
      <c r="Z8" s="179"/>
      <c r="AA8" s="179"/>
      <c r="AB8" s="179"/>
      <c r="AC8" s="179"/>
      <c r="AD8" s="179"/>
      <c r="AE8" s="179"/>
      <c r="AF8" s="179"/>
      <c r="AG8" s="179"/>
      <c r="AH8" s="179"/>
      <c r="AI8" s="179"/>
      <c r="AJ8" s="179"/>
      <c r="AK8" s="179"/>
      <c r="AL8" s="179"/>
      <c r="AM8" s="179"/>
      <c r="AN8" s="179"/>
      <c r="AO8" s="179"/>
      <c r="AP8" s="179"/>
      <c r="AQ8" s="179"/>
      <c r="AR8" s="179"/>
      <c r="AS8" s="179"/>
      <c r="AT8" s="179"/>
      <c r="AU8" s="179"/>
      <c r="AV8" s="179"/>
      <c r="AW8" s="179"/>
      <c r="AX8" s="179"/>
      <c r="AY8" s="179"/>
      <c r="AZ8" s="179"/>
      <c r="BA8" s="179"/>
      <c r="BB8" s="179"/>
      <c r="BC8" s="179"/>
      <c r="BD8" s="179"/>
      <c r="BE8" s="179"/>
      <c r="BF8" s="179"/>
      <c r="BG8" s="179"/>
      <c r="BH8" s="179"/>
      <c r="BI8" s="179"/>
      <c r="BJ8" s="179"/>
    </row>
    <row r="9" spans="1:62" s="5" customFormat="1" ht="15.65" customHeight="1" thickBot="1">
      <c r="A9" s="341" t="s">
        <v>1351</v>
      </c>
      <c r="B9" s="221"/>
      <c r="C9" s="390">
        <f>+'B1'!C9</f>
        <v>0</v>
      </c>
      <c r="D9" s="347"/>
      <c r="E9" s="341"/>
      <c r="F9" s="341"/>
      <c r="G9" s="349" t="s">
        <v>1352</v>
      </c>
      <c r="H9" s="390">
        <f>+'B1'!H9</f>
        <v>0</v>
      </c>
      <c r="I9" s="260"/>
      <c r="J9" s="353"/>
      <c r="K9" s="353"/>
      <c r="L9" s="353"/>
      <c r="M9" s="345"/>
      <c r="N9" s="345"/>
      <c r="O9" s="345"/>
      <c r="P9" s="345"/>
      <c r="Q9" s="168"/>
      <c r="R9" s="168"/>
      <c r="S9" s="179"/>
      <c r="T9" s="179"/>
      <c r="U9" s="179"/>
      <c r="V9" s="179"/>
      <c r="W9" s="179"/>
      <c r="X9" s="179"/>
      <c r="Y9" s="179"/>
      <c r="Z9" s="179"/>
      <c r="AA9" s="179"/>
      <c r="AB9" s="179"/>
      <c r="AC9" s="179"/>
      <c r="AD9" s="179"/>
      <c r="AE9" s="179"/>
      <c r="AF9" s="179"/>
      <c r="AG9" s="179"/>
      <c r="AH9" s="179"/>
      <c r="AI9" s="179"/>
      <c r="AJ9" s="179"/>
      <c r="AK9" s="179"/>
      <c r="AL9" s="179"/>
      <c r="AM9" s="179"/>
      <c r="AN9" s="179"/>
      <c r="AO9" s="179"/>
      <c r="AP9" s="179"/>
      <c r="AQ9" s="179"/>
      <c r="AR9" s="179"/>
      <c r="AS9" s="179"/>
      <c r="AT9" s="179"/>
      <c r="AU9" s="179"/>
      <c r="AV9" s="179"/>
      <c r="AW9" s="179"/>
      <c r="AX9" s="179"/>
      <c r="AY9" s="179"/>
      <c r="AZ9" s="179"/>
      <c r="BA9" s="179"/>
      <c r="BB9" s="179"/>
      <c r="BC9" s="179"/>
      <c r="BD9" s="179"/>
      <c r="BE9" s="179"/>
      <c r="BF9" s="179"/>
      <c r="BG9" s="179"/>
      <c r="BH9" s="179"/>
      <c r="BI9" s="179"/>
      <c r="BJ9" s="179"/>
    </row>
    <row r="10" spans="1:62" s="5" customFormat="1" ht="15.65" customHeight="1" thickBot="1">
      <c r="A10" s="4" t="s">
        <v>1248</v>
      </c>
      <c r="B10" s="221"/>
      <c r="C10" s="280" t="str">
        <f>+IF(OR(C2="FOOD",C2="BCE"),"Yes","No")</f>
        <v>No</v>
      </c>
      <c r="D10" s="348"/>
      <c r="E10" s="341"/>
      <c r="F10" s="341"/>
      <c r="G10" s="349" t="s">
        <v>1279</v>
      </c>
      <c r="H10" s="389">
        <f>+'B1'!H10</f>
        <v>0</v>
      </c>
      <c r="I10" s="108"/>
      <c r="J10" s="353"/>
      <c r="K10" s="353"/>
      <c r="L10" s="353"/>
      <c r="M10" s="350"/>
      <c r="N10" s="345"/>
      <c r="O10" s="345"/>
      <c r="P10" s="345"/>
      <c r="Q10" s="168"/>
      <c r="R10" s="168"/>
      <c r="S10" s="179"/>
      <c r="T10" s="179"/>
      <c r="U10" s="179"/>
      <c r="V10" s="179"/>
      <c r="W10" s="179"/>
      <c r="X10" s="179"/>
      <c r="Y10" s="179"/>
      <c r="Z10" s="179"/>
      <c r="AA10" s="179"/>
      <c r="AB10" s="179"/>
      <c r="AC10" s="179"/>
      <c r="AD10" s="179"/>
      <c r="AE10" s="179"/>
      <c r="AF10" s="179"/>
      <c r="AG10" s="179"/>
      <c r="AH10" s="179"/>
      <c r="AI10" s="179"/>
      <c r="AJ10" s="179"/>
      <c r="AK10" s="179"/>
      <c r="AL10" s="179"/>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row>
    <row r="11" spans="1:62" s="1" customFormat="1" ht="19.399999999999999" customHeight="1" thickBot="1">
      <c r="A11" s="342" t="s">
        <v>1237</v>
      </c>
      <c r="B11" s="261"/>
      <c r="C11" s="376"/>
      <c r="D11" s="377"/>
      <c r="E11" s="377"/>
      <c r="F11" s="377"/>
      <c r="G11" s="378"/>
      <c r="H11" s="378"/>
      <c r="I11" s="262"/>
      <c r="J11" s="358"/>
      <c r="K11" s="358"/>
      <c r="L11" s="358"/>
      <c r="M11" s="359"/>
      <c r="N11" s="359"/>
      <c r="O11" s="360"/>
      <c r="P11" s="361"/>
      <c r="Q11" s="362"/>
      <c r="R11" s="362"/>
      <c r="S11" s="352"/>
      <c r="T11" s="352"/>
      <c r="U11" s="352"/>
      <c r="V11" s="352"/>
      <c r="W11" s="352"/>
      <c r="X11" s="352"/>
      <c r="Y11" s="352"/>
      <c r="Z11" s="352"/>
      <c r="AA11" s="352"/>
      <c r="AB11" s="352"/>
      <c r="AC11" s="352"/>
      <c r="AD11" s="352"/>
      <c r="AE11" s="352"/>
      <c r="AF11" s="352"/>
      <c r="AG11" s="352"/>
      <c r="AH11" s="352"/>
      <c r="AI11" s="352"/>
      <c r="AJ11" s="352"/>
      <c r="AK11" s="352"/>
      <c r="AL11" s="352"/>
      <c r="AM11" s="352"/>
      <c r="AN11" s="352"/>
      <c r="AO11" s="352"/>
      <c r="AP11" s="352"/>
      <c r="AQ11" s="352"/>
      <c r="AR11" s="352"/>
      <c r="AS11" s="352"/>
      <c r="AT11" s="352"/>
      <c r="AU11" s="352"/>
      <c r="AV11" s="352"/>
      <c r="AW11" s="352"/>
      <c r="AX11" s="352"/>
      <c r="AY11" s="352"/>
      <c r="AZ11" s="352"/>
      <c r="BA11" s="352"/>
      <c r="BB11" s="352"/>
      <c r="BC11" s="352"/>
      <c r="BD11" s="352"/>
      <c r="BE11" s="352"/>
      <c r="BF11" s="352"/>
      <c r="BG11" s="352"/>
      <c r="BH11" s="352"/>
      <c r="BI11" s="352"/>
      <c r="BJ11" s="352"/>
    </row>
    <row r="12" spans="1:62" s="5" customFormat="1" ht="15.65" customHeight="1">
      <c r="A12" s="107" t="s">
        <v>749</v>
      </c>
      <c r="B12" s="7"/>
      <c r="C12" s="281"/>
      <c r="D12" s="551"/>
      <c r="E12" s="551"/>
      <c r="F12" s="551"/>
      <c r="G12" s="551"/>
      <c r="H12" s="379"/>
      <c r="I12" s="69"/>
      <c r="J12" s="564"/>
      <c r="K12" s="565"/>
      <c r="L12" s="565"/>
      <c r="M12" s="565"/>
      <c r="N12" s="565"/>
      <c r="O12" s="566"/>
      <c r="P12" s="363"/>
      <c r="Q12" s="168"/>
      <c r="R12" s="168"/>
      <c r="S12" s="179"/>
      <c r="T12" s="179"/>
      <c r="U12" s="179"/>
      <c r="V12" s="179"/>
      <c r="W12" s="179"/>
      <c r="X12" s="179"/>
      <c r="Y12" s="179"/>
      <c r="Z12" s="179"/>
      <c r="AA12" s="179"/>
      <c r="AB12" s="179"/>
      <c r="AC12" s="179"/>
      <c r="AD12" s="179"/>
      <c r="AE12" s="179"/>
      <c r="AF12" s="179"/>
      <c r="AG12" s="179"/>
      <c r="AH12" s="179"/>
      <c r="AI12" s="179"/>
      <c r="AJ12" s="179"/>
      <c r="AK12" s="179"/>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79"/>
    </row>
    <row r="13" spans="1:62" s="5" customFormat="1" ht="15.65" customHeight="1">
      <c r="A13" s="107" t="s">
        <v>531</v>
      </c>
      <c r="B13" s="7"/>
      <c r="C13" s="282">
        <f>+IF(C12=2,10,0)</f>
        <v>0</v>
      </c>
      <c r="D13" s="550"/>
      <c r="E13" s="551"/>
      <c r="F13" s="551"/>
      <c r="G13" s="551"/>
      <c r="H13" s="380"/>
      <c r="I13" s="86"/>
      <c r="J13" s="383"/>
      <c r="K13" s="383"/>
      <c r="L13" s="383"/>
      <c r="M13" s="383"/>
      <c r="N13" s="383"/>
      <c r="O13" s="384"/>
      <c r="P13" s="383"/>
      <c r="Q13" s="367"/>
      <c r="R13" s="367"/>
      <c r="S13" s="367" t="s">
        <v>607</v>
      </c>
      <c r="T13" s="367"/>
      <c r="U13" s="367"/>
      <c r="V13" s="367"/>
      <c r="W13" s="367"/>
      <c r="X13" s="367"/>
      <c r="Y13" s="179"/>
      <c r="Z13" s="179"/>
      <c r="AA13" s="179"/>
      <c r="AB13" s="179"/>
      <c r="AC13" s="179"/>
      <c r="AD13" s="179"/>
      <c r="AE13" s="179"/>
      <c r="AF13" s="179"/>
      <c r="AG13" s="179"/>
      <c r="AH13" s="179"/>
      <c r="AI13" s="179"/>
      <c r="AJ13" s="179"/>
      <c r="AK13" s="179"/>
      <c r="AL13" s="179"/>
      <c r="AM13" s="179"/>
      <c r="AN13" s="179"/>
      <c r="AO13" s="179"/>
      <c r="AP13" s="179"/>
      <c r="AQ13" s="179"/>
      <c r="AR13" s="179"/>
      <c r="AS13" s="179"/>
      <c r="AT13" s="179"/>
      <c r="AU13" s="179"/>
      <c r="AV13" s="179"/>
      <c r="AW13" s="179"/>
      <c r="AX13" s="179"/>
      <c r="AY13" s="179"/>
      <c r="AZ13" s="179"/>
      <c r="BA13" s="179"/>
      <c r="BB13" s="179"/>
      <c r="BC13" s="179"/>
      <c r="BD13" s="179"/>
      <c r="BE13" s="179"/>
      <c r="BF13" s="179"/>
      <c r="BG13" s="179"/>
      <c r="BH13" s="179"/>
      <c r="BI13" s="179"/>
      <c r="BJ13" s="179"/>
    </row>
    <row r="14" spans="1:62" s="5" customFormat="1" ht="29.25" customHeight="1">
      <c r="A14" s="4" t="s">
        <v>533</v>
      </c>
      <c r="B14" s="9"/>
      <c r="C14" s="282"/>
      <c r="D14" s="553" t="s">
        <v>713</v>
      </c>
      <c r="E14" s="554"/>
      <c r="F14" s="554"/>
      <c r="G14" s="554"/>
      <c r="H14" s="555"/>
      <c r="I14" s="283"/>
      <c r="J14" s="368"/>
      <c r="K14" s="369"/>
      <c r="L14" s="383"/>
      <c r="M14" s="383"/>
      <c r="N14" s="383"/>
      <c r="O14" s="384"/>
      <c r="P14" s="383"/>
      <c r="Q14" s="367"/>
      <c r="R14" s="367"/>
      <c r="S14" s="367"/>
      <c r="T14" s="367"/>
      <c r="U14" s="367"/>
      <c r="V14" s="367"/>
      <c r="W14" s="367"/>
      <c r="X14" s="367"/>
      <c r="Y14" s="179"/>
      <c r="Z14" s="179"/>
      <c r="AA14" s="179"/>
      <c r="AB14" s="179"/>
      <c r="AC14" s="179"/>
      <c r="AD14" s="179"/>
      <c r="AE14" s="179"/>
      <c r="AF14" s="179"/>
      <c r="AG14" s="179"/>
      <c r="AH14" s="179"/>
      <c r="AI14" s="179"/>
      <c r="AJ14" s="179"/>
      <c r="AK14" s="179"/>
      <c r="AL14" s="179"/>
      <c r="AM14" s="179"/>
      <c r="AN14" s="179"/>
      <c r="AO14" s="179"/>
      <c r="AP14" s="179"/>
      <c r="AQ14" s="179"/>
      <c r="AR14" s="179"/>
      <c r="AS14" s="179"/>
      <c r="AT14" s="179"/>
      <c r="AU14" s="179"/>
      <c r="AV14" s="179"/>
      <c r="AW14" s="179"/>
      <c r="AX14" s="179"/>
      <c r="AY14" s="179"/>
      <c r="AZ14" s="179"/>
      <c r="BA14" s="179"/>
      <c r="BB14" s="179"/>
      <c r="BC14" s="179"/>
      <c r="BD14" s="179"/>
      <c r="BE14" s="179"/>
      <c r="BF14" s="179"/>
      <c r="BG14" s="179"/>
      <c r="BH14" s="179"/>
      <c r="BI14" s="179"/>
      <c r="BJ14" s="179"/>
    </row>
    <row r="15" spans="1:62" s="5" customFormat="1" ht="15.65" customHeight="1">
      <c r="A15" s="107" t="s">
        <v>534</v>
      </c>
      <c r="B15" s="7"/>
      <c r="C15" s="282"/>
      <c r="D15" s="382"/>
      <c r="E15" s="370"/>
      <c r="F15" s="370"/>
      <c r="G15" s="370"/>
      <c r="H15" s="370"/>
      <c r="I15" s="250"/>
      <c r="J15" s="370"/>
      <c r="K15" s="370"/>
      <c r="L15" s="363"/>
      <c r="M15" s="383"/>
      <c r="N15" s="383"/>
      <c r="O15" s="384"/>
      <c r="P15" s="383"/>
      <c r="Q15" s="367"/>
      <c r="R15" s="367"/>
      <c r="S15" s="367"/>
      <c r="T15" s="367"/>
      <c r="U15" s="367"/>
      <c r="V15" s="367"/>
      <c r="W15" s="367"/>
      <c r="X15" s="367"/>
      <c r="Y15" s="179"/>
      <c r="Z15" s="179"/>
      <c r="AA15" s="179"/>
      <c r="AB15" s="179"/>
      <c r="AC15" s="179"/>
      <c r="AD15" s="179"/>
      <c r="AE15" s="179"/>
      <c r="AF15" s="179"/>
      <c r="AG15" s="179"/>
      <c r="AH15" s="179"/>
      <c r="AI15" s="179"/>
      <c r="AJ15" s="179"/>
      <c r="AK15" s="179"/>
      <c r="AL15" s="179"/>
      <c r="AM15" s="179"/>
      <c r="AN15" s="179"/>
      <c r="AO15" s="179"/>
      <c r="AP15" s="179"/>
      <c r="AQ15" s="179"/>
      <c r="AR15" s="179"/>
      <c r="AS15" s="179"/>
      <c r="AT15" s="179"/>
      <c r="AU15" s="179"/>
      <c r="AV15" s="179"/>
      <c r="AW15" s="179"/>
      <c r="AX15" s="179"/>
      <c r="AY15" s="179"/>
      <c r="AZ15" s="179"/>
      <c r="BA15" s="179"/>
      <c r="BB15" s="179"/>
      <c r="BC15" s="179"/>
      <c r="BD15" s="179"/>
      <c r="BE15" s="179"/>
      <c r="BF15" s="179"/>
      <c r="BG15" s="179"/>
      <c r="BH15" s="179"/>
      <c r="BI15" s="179"/>
      <c r="BJ15" s="179"/>
    </row>
    <row r="16" spans="1:62" s="5" customFormat="1" ht="27" customHeight="1">
      <c r="A16" s="107" t="s">
        <v>750</v>
      </c>
      <c r="B16" s="7"/>
      <c r="C16" s="282"/>
      <c r="D16" s="553" t="s">
        <v>2085</v>
      </c>
      <c r="E16" s="556"/>
      <c r="F16" s="556"/>
      <c r="G16" s="556"/>
      <c r="H16" s="557"/>
      <c r="I16" s="284"/>
      <c r="J16" s="368"/>
      <c r="K16" s="369"/>
      <c r="L16" s="371"/>
      <c r="M16" s="371"/>
      <c r="N16" s="371"/>
      <c r="O16" s="372"/>
      <c r="P16" s="373"/>
      <c r="Q16" s="168"/>
      <c r="R16" s="168"/>
      <c r="S16" s="179"/>
      <c r="T16" s="179"/>
      <c r="U16" s="179"/>
      <c r="V16" s="179"/>
      <c r="W16" s="179"/>
      <c r="X16" s="179"/>
      <c r="Y16" s="179"/>
      <c r="Z16" s="179"/>
      <c r="AA16" s="179"/>
      <c r="AB16" s="179"/>
      <c r="AC16" s="179"/>
      <c r="AD16" s="179"/>
      <c r="AE16" s="179"/>
      <c r="AF16" s="179"/>
      <c r="AG16" s="179"/>
      <c r="AH16" s="179"/>
      <c r="AI16" s="179"/>
      <c r="AJ16" s="179"/>
      <c r="AK16" s="179"/>
      <c r="AL16" s="179"/>
      <c r="AM16" s="179"/>
      <c r="AN16" s="179"/>
      <c r="AO16" s="179"/>
      <c r="AP16" s="179"/>
      <c r="AQ16" s="179"/>
      <c r="AR16" s="179"/>
      <c r="AS16" s="179"/>
      <c r="AT16" s="179"/>
      <c r="AU16" s="179"/>
      <c r="AV16" s="179"/>
      <c r="AW16" s="179"/>
      <c r="AX16" s="179"/>
      <c r="AY16" s="179"/>
      <c r="AZ16" s="179"/>
      <c r="BA16" s="179"/>
      <c r="BB16" s="179"/>
      <c r="BC16" s="179"/>
      <c r="BD16" s="179"/>
      <c r="BE16" s="179"/>
      <c r="BF16" s="179"/>
      <c r="BG16" s="179"/>
      <c r="BH16" s="179"/>
      <c r="BI16" s="179"/>
      <c r="BJ16" s="179"/>
    </row>
    <row r="17" spans="1:62" ht="15.65" customHeight="1" thickBot="1">
      <c r="A17" s="343"/>
      <c r="B17" s="108"/>
      <c r="C17" s="246"/>
      <c r="D17" s="109"/>
      <c r="E17" s="247"/>
      <c r="F17" s="247"/>
      <c r="G17" s="247"/>
      <c r="H17" s="248"/>
      <c r="I17" s="248"/>
      <c r="J17" s="248"/>
      <c r="K17" s="248"/>
      <c r="L17" s="248"/>
      <c r="M17" s="248"/>
      <c r="N17" s="248"/>
      <c r="O17" s="249"/>
      <c r="P17" s="117"/>
      <c r="Q17" s="71"/>
      <c r="R17" s="71"/>
      <c r="S17" s="70"/>
      <c r="T17" s="70"/>
      <c r="U17" s="70"/>
      <c r="V17" s="70"/>
      <c r="W17" s="70"/>
      <c r="X17" s="70"/>
      <c r="Y17" s="70"/>
      <c r="Z17" s="70"/>
      <c r="AA17" s="70"/>
      <c r="AB17" s="70"/>
      <c r="AC17" s="70"/>
      <c r="AD17" s="70"/>
      <c r="AE17" s="70"/>
      <c r="AF17" s="70"/>
      <c r="AG17" s="70"/>
      <c r="AH17" s="70"/>
      <c r="AI17" s="70"/>
      <c r="AJ17" s="70"/>
      <c r="AK17" s="70"/>
      <c r="AL17" s="70"/>
      <c r="AM17" s="70"/>
      <c r="AN17" s="70"/>
      <c r="AO17" s="70"/>
      <c r="AP17" s="70"/>
      <c r="AQ17" s="70"/>
      <c r="AR17" s="70"/>
      <c r="AS17" s="70"/>
      <c r="AT17" s="70"/>
      <c r="AU17" s="70"/>
      <c r="AV17" s="70"/>
      <c r="AW17" s="70"/>
      <c r="AX17" s="70"/>
      <c r="AY17" s="70"/>
      <c r="AZ17" s="70"/>
      <c r="BA17" s="70"/>
      <c r="BB17" s="70"/>
      <c r="BC17" s="70"/>
      <c r="BD17" s="70"/>
      <c r="BE17" s="70"/>
      <c r="BF17" s="70"/>
      <c r="BG17" s="70"/>
      <c r="BH17" s="70"/>
      <c r="BI17" s="70"/>
      <c r="BJ17" s="70"/>
    </row>
    <row r="18" spans="1:62" ht="15.65" customHeight="1">
      <c r="A18" s="63"/>
      <c r="D18" s="9"/>
      <c r="V18" s="229" t="s">
        <v>608</v>
      </c>
      <c r="AE18" s="29" t="s">
        <v>90</v>
      </c>
      <c r="AF18" s="29" t="s">
        <v>89</v>
      </c>
      <c r="AH18" s="29" t="s">
        <v>90</v>
      </c>
      <c r="AI18" s="29" t="s">
        <v>89</v>
      </c>
      <c r="AK18" s="29" t="s">
        <v>90</v>
      </c>
      <c r="AL18" s="29" t="s">
        <v>89</v>
      </c>
      <c r="AN18" s="29" t="s">
        <v>90</v>
      </c>
      <c r="AO18" s="29" t="s">
        <v>89</v>
      </c>
      <c r="AQ18" s="29" t="s">
        <v>90</v>
      </c>
      <c r="AR18" s="29" t="s">
        <v>89</v>
      </c>
      <c r="AT18" s="29" t="s">
        <v>90</v>
      </c>
      <c r="AU18" s="29" t="s">
        <v>89</v>
      </c>
      <c r="AW18" s="29" t="s">
        <v>90</v>
      </c>
      <c r="AX18" s="29" t="s">
        <v>89</v>
      </c>
      <c r="AZ18" s="29" t="s">
        <v>90</v>
      </c>
      <c r="BA18" s="29" t="s">
        <v>89</v>
      </c>
      <c r="BC18" s="29" t="s">
        <v>90</v>
      </c>
      <c r="BD18" s="29" t="s">
        <v>89</v>
      </c>
      <c r="BF18" s="29" t="s">
        <v>90</v>
      </c>
      <c r="BG18" s="29" t="s">
        <v>89</v>
      </c>
      <c r="BI18" s="29" t="s">
        <v>90</v>
      </c>
      <c r="BJ18" s="29" t="s">
        <v>89</v>
      </c>
    </row>
    <row r="19" spans="1:62" ht="15.65" customHeight="1">
      <c r="A19" s="4" t="s">
        <v>79</v>
      </c>
      <c r="B19" s="8"/>
      <c r="C19" s="45">
        <f>+Takstblad!C3</f>
        <v>2026</v>
      </c>
      <c r="D19" s="8">
        <f t="shared" ref="D19:L19" si="0">+C19+1</f>
        <v>2027</v>
      </c>
      <c r="E19" s="8">
        <f t="shared" si="0"/>
        <v>2028</v>
      </c>
      <c r="F19" s="8">
        <f t="shared" si="0"/>
        <v>2029</v>
      </c>
      <c r="G19" s="8">
        <f t="shared" si="0"/>
        <v>2030</v>
      </c>
      <c r="H19" s="8">
        <f t="shared" si="0"/>
        <v>2031</v>
      </c>
      <c r="I19" s="8">
        <f t="shared" si="0"/>
        <v>2032</v>
      </c>
      <c r="J19" s="8">
        <f t="shared" si="0"/>
        <v>2033</v>
      </c>
      <c r="K19" s="8">
        <f t="shared" si="0"/>
        <v>2034</v>
      </c>
      <c r="L19" s="8">
        <f t="shared" si="0"/>
        <v>2035</v>
      </c>
      <c r="M19" s="8" t="s">
        <v>34</v>
      </c>
      <c r="N19" s="8" t="s">
        <v>33</v>
      </c>
      <c r="O19" s="8" t="s">
        <v>111</v>
      </c>
      <c r="P19" s="8"/>
      <c r="Q19" s="23" t="s">
        <v>73</v>
      </c>
      <c r="R19" s="4" t="s">
        <v>34</v>
      </c>
      <c r="S19" s="45">
        <f t="shared" ref="S19:AB19" si="1">+C19</f>
        <v>2026</v>
      </c>
      <c r="T19" s="8">
        <f t="shared" si="1"/>
        <v>2027</v>
      </c>
      <c r="U19" s="8">
        <f t="shared" si="1"/>
        <v>2028</v>
      </c>
      <c r="V19" s="8">
        <f t="shared" si="1"/>
        <v>2029</v>
      </c>
      <c r="W19" s="8">
        <f t="shared" si="1"/>
        <v>2030</v>
      </c>
      <c r="X19" s="8">
        <f t="shared" si="1"/>
        <v>2031</v>
      </c>
      <c r="Y19" s="8">
        <f t="shared" si="1"/>
        <v>2032</v>
      </c>
      <c r="Z19" s="8">
        <f t="shared" si="1"/>
        <v>2033</v>
      </c>
      <c r="AA19" s="8">
        <f t="shared" si="1"/>
        <v>2034</v>
      </c>
      <c r="AB19" s="8">
        <f t="shared" si="1"/>
        <v>2035</v>
      </c>
      <c r="AC19" s="4" t="s">
        <v>34</v>
      </c>
      <c r="AE19" s="549" t="s">
        <v>34</v>
      </c>
      <c r="AF19" s="548"/>
      <c r="AH19" s="547">
        <f>+S19</f>
        <v>2026</v>
      </c>
      <c r="AI19" s="548"/>
      <c r="AJ19" s="221"/>
      <c r="AK19" s="549">
        <f>+T19</f>
        <v>2027</v>
      </c>
      <c r="AL19" s="548"/>
      <c r="AM19" s="221"/>
      <c r="AN19" s="549">
        <f>+U19</f>
        <v>2028</v>
      </c>
      <c r="AO19" s="548"/>
      <c r="AQ19" s="549">
        <f>+V19</f>
        <v>2029</v>
      </c>
      <c r="AR19" s="548"/>
      <c r="AS19" s="221"/>
      <c r="AT19" s="549">
        <f>+W19</f>
        <v>2030</v>
      </c>
      <c r="AU19" s="548"/>
      <c r="AW19" s="549">
        <f>+X19</f>
        <v>2031</v>
      </c>
      <c r="AX19" s="548"/>
      <c r="AY19" s="221"/>
      <c r="AZ19" s="549">
        <f>Y19</f>
        <v>2032</v>
      </c>
      <c r="BA19" s="548"/>
      <c r="BB19" s="221"/>
      <c r="BC19" s="549">
        <f>+Z19</f>
        <v>2033</v>
      </c>
      <c r="BD19" s="548"/>
      <c r="BE19" s="221"/>
      <c r="BF19" s="549">
        <f>+AA19</f>
        <v>2034</v>
      </c>
      <c r="BG19" s="548"/>
      <c r="BH19" s="221"/>
      <c r="BI19" s="549">
        <f>+AB19</f>
        <v>2035</v>
      </c>
      <c r="BJ19" s="548"/>
    </row>
    <row r="20" spans="1:62" ht="15.65" customHeight="1">
      <c r="A20" s="212" t="s">
        <v>1238</v>
      </c>
      <c r="B20" s="213" t="str">
        <f>+VLOOKUP(A20,Takstblad!$A$5:$B$30,2,FALSE)</f>
        <v/>
      </c>
      <c r="C20" s="285"/>
      <c r="D20" s="285"/>
      <c r="E20" s="285"/>
      <c r="F20" s="285"/>
      <c r="G20" s="285"/>
      <c r="H20" s="285"/>
      <c r="I20" s="285"/>
      <c r="J20" s="285"/>
      <c r="K20" s="285"/>
      <c r="L20" s="285"/>
      <c r="M20" s="19">
        <f>SUM(C20:L20)</f>
        <v>0</v>
      </c>
      <c r="N20" s="285"/>
      <c r="O20" s="285" t="s">
        <v>113</v>
      </c>
      <c r="P20" s="212"/>
      <c r="Q20" s="214"/>
      <c r="R20" s="216">
        <f>+AC20</f>
        <v>0</v>
      </c>
      <c r="S20" s="215">
        <f>+IFERROR(IF(S$19=Takstblad!C$3,VLOOKUP($A20,takstblad,3,FALSE)*C20,"fejl i år"),0)</f>
        <v>0</v>
      </c>
      <c r="T20" s="215">
        <f>+IFERROR(IF(T$19=Takstblad!D$3,VLOOKUP($A20,takstblad,4,FALSE)*D20,"fejl i år"),0)</f>
        <v>0</v>
      </c>
      <c r="U20" s="215">
        <f>+IFERROR(IF(U$19=Takstblad!E$3,VLOOKUP($A20,takstblad,5,FALSE)*E20,"fejl i år"),0)</f>
        <v>0</v>
      </c>
      <c r="V20" s="215">
        <f>+IFERROR(IF(V$19=Takstblad!F$3,VLOOKUP($A20,takstblad,6,FALSE)*F20,"fejl i år"),0)</f>
        <v>0</v>
      </c>
      <c r="W20" s="215">
        <f>+IFERROR(IF(W$19=Takstblad!G$3,VLOOKUP($A20,takstblad,7,FALSE)*G20,"fejl i år"),0)</f>
        <v>0</v>
      </c>
      <c r="X20" s="215">
        <f>+IFERROR(IF(X$19=Takstblad!H$3,VLOOKUP($A20,takstblad,8,FALSE)*H20,"fejl i år"),0)</f>
        <v>0</v>
      </c>
      <c r="Y20" s="215">
        <f>+IFERROR(IF(Y$19=Takstblad!I$3,VLOOKUP($A20,takstblad,9,FALSE)*I20,"fejl i år"),0)</f>
        <v>0</v>
      </c>
      <c r="Z20" s="215">
        <f>+IFERROR(IF(Z$19=Takstblad!J$3,VLOOKUP($A20,takstblad,10,FALSE)*J20,"fejl i år"),0)</f>
        <v>0</v>
      </c>
      <c r="AA20" s="215">
        <f>+IFERROR(IF(AA$19=Takstblad!K$3,VLOOKUP($A20,takstblad,11,FALSE)*K20,"fejl i år"),0)</f>
        <v>0</v>
      </c>
      <c r="AB20" s="215">
        <f>+IFERROR(IF(AB$19=Takstblad!L$3,VLOOKUP($A20,takstblad,12,FALSE)*L20,"fejl i år"),0)</f>
        <v>0</v>
      </c>
      <c r="AC20" s="216">
        <f>SUM(S20:AB20)</f>
        <v>0</v>
      </c>
      <c r="AD20" s="221"/>
      <c r="AE20" s="217">
        <f>+M20*($C$7/12)</f>
        <v>0</v>
      </c>
      <c r="AF20" s="217">
        <f>IFERROR(AC20/AE20,0)</f>
        <v>0</v>
      </c>
      <c r="AG20" s="221"/>
      <c r="AH20" s="217">
        <f>+C20*($C$7/12)</f>
        <v>0</v>
      </c>
      <c r="AI20" s="217">
        <f t="shared" ref="AI20:AI29" si="2">IFERROR(S20/AH20,0)</f>
        <v>0</v>
      </c>
      <c r="AJ20" s="221"/>
      <c r="AK20" s="217">
        <f>+D20*($C$7/12)</f>
        <v>0</v>
      </c>
      <c r="AL20" s="217">
        <f>IFERROR(T20/AK20,0)</f>
        <v>0</v>
      </c>
      <c r="AM20" s="221"/>
      <c r="AN20" s="217">
        <f>+E20*($C$7/12)</f>
        <v>0</v>
      </c>
      <c r="AO20" s="217">
        <f>IFERROR(U20/AN20,0)</f>
        <v>0</v>
      </c>
      <c r="AP20" s="221"/>
      <c r="AQ20" s="217">
        <f>+F20*($C$7/12)</f>
        <v>0</v>
      </c>
      <c r="AR20" s="217">
        <f>IFERROR(V20/AQ20,0)</f>
        <v>0</v>
      </c>
      <c r="AS20" s="221"/>
      <c r="AT20" s="217">
        <f>+G20*($C$7/12)</f>
        <v>0</v>
      </c>
      <c r="AU20" s="217">
        <f>IFERROR(W20/AT20,0)</f>
        <v>0</v>
      </c>
      <c r="AV20" s="221"/>
      <c r="AW20" s="217">
        <f>+H20*($C$7/12)</f>
        <v>0</v>
      </c>
      <c r="AX20" s="217">
        <f>IFERROR(X20/AW20,0)</f>
        <v>0</v>
      </c>
      <c r="AY20" s="221"/>
      <c r="AZ20" s="217">
        <f>+I20*($C$7/12)</f>
        <v>0</v>
      </c>
      <c r="BA20" s="217">
        <f t="shared" ref="BA20:BA29" si="3">IFERROR(Y20/AZ20,0)</f>
        <v>0</v>
      </c>
      <c r="BB20" s="221"/>
      <c r="BC20" s="217">
        <f>+J20*($C$7/12)</f>
        <v>0</v>
      </c>
      <c r="BD20" s="217">
        <f t="shared" ref="BD20:BD28" si="4">IFERROR(Z20/BC20,0)</f>
        <v>0</v>
      </c>
      <c r="BE20" s="221"/>
      <c r="BF20" s="217">
        <f>+K20*($C$7/12)</f>
        <v>0</v>
      </c>
      <c r="BG20" s="217">
        <f>IFERROR(AA20/BF20,0)</f>
        <v>0</v>
      </c>
      <c r="BH20" s="221"/>
      <c r="BI20" s="217">
        <f>+L20*($C$7/12)</f>
        <v>0</v>
      </c>
      <c r="BJ20" s="217">
        <f>IFERROR(AB20/BI20,0)</f>
        <v>0</v>
      </c>
    </row>
    <row r="21" spans="1:62" ht="15.65" customHeight="1">
      <c r="A21" s="7" t="s">
        <v>1238</v>
      </c>
      <c r="B21" s="4" t="str">
        <f>+VLOOKUP(A21,Takstblad!$A$5:$B$30,2,FALSE)</f>
        <v/>
      </c>
      <c r="C21" s="285"/>
      <c r="D21" s="285"/>
      <c r="E21" s="285"/>
      <c r="F21" s="285"/>
      <c r="G21" s="285"/>
      <c r="H21" s="285"/>
      <c r="I21" s="285"/>
      <c r="J21" s="285"/>
      <c r="K21" s="285"/>
      <c r="L21" s="285"/>
      <c r="M21" s="19">
        <f t="shared" ref="M21:M29" si="5">SUM(C21:L21)</f>
        <v>0</v>
      </c>
      <c r="N21" s="285"/>
      <c r="O21" s="285" t="s">
        <v>113</v>
      </c>
      <c r="Q21" s="24"/>
      <c r="R21" s="21">
        <f t="shared" ref="R21:R29" si="6">+AC21</f>
        <v>0</v>
      </c>
      <c r="S21" s="25">
        <f>+IFERROR(IF(S$19=Takstblad!C$3,VLOOKUP($A21,takstblad,3,FALSE)*C21,"fejl i år"),0)</f>
        <v>0</v>
      </c>
      <c r="T21" s="25">
        <f>+IFERROR(IF(T$19=Takstblad!D$3,VLOOKUP($A21,takstblad,4,FALSE)*D21,"fejl i år"),0)</f>
        <v>0</v>
      </c>
      <c r="U21" s="25">
        <f>+IFERROR(IF(U$19=Takstblad!E$3,VLOOKUP($A21,takstblad,5,FALSE)*E21,"fejl i år"),0)</f>
        <v>0</v>
      </c>
      <c r="V21" s="25">
        <f>+IFERROR(IF(V$19=Takstblad!F$3,VLOOKUP($A21,takstblad,6,FALSE)*F21,"fejl i år"),0)</f>
        <v>0</v>
      </c>
      <c r="W21" s="25">
        <f>+IFERROR(IF(W$19=Takstblad!G$3,VLOOKUP($A21,takstblad,7,FALSE)*G21,"fejl i år"),0)</f>
        <v>0</v>
      </c>
      <c r="X21" s="25">
        <f>+IFERROR(IF(X$19=Takstblad!H$3,VLOOKUP($A21,takstblad,8,FALSE)*H21,"fejl i år"),0)</f>
        <v>0</v>
      </c>
      <c r="Y21" s="25">
        <f>+IFERROR(IF(Y$19=Takstblad!I$3,VLOOKUP($A21,takstblad,9,FALSE)*I21,"fejl i år"),0)</f>
        <v>0</v>
      </c>
      <c r="Z21" s="25">
        <f>+IFERROR(IF(Z$19=Takstblad!J$3,VLOOKUP($A21,takstblad,10,FALSE)*J21,"fejl i år"),0)</f>
        <v>0</v>
      </c>
      <c r="AA21" s="25">
        <f>+IFERROR(IF(AA$19=Takstblad!K$3,VLOOKUP($A21,takstblad,11,FALSE)*K21,"fejl i år"),0)</f>
        <v>0</v>
      </c>
      <c r="AB21" s="25">
        <f>+IFERROR(IF(AB$19=Takstblad!L$3,VLOOKUP($A21,takstblad,12,FALSE)*L21,"fejl i år"),0)</f>
        <v>0</v>
      </c>
      <c r="AC21" s="21">
        <f t="shared" ref="AC21:AC39" si="7">SUM(S21:AB21)</f>
        <v>0</v>
      </c>
      <c r="AD21" s="221"/>
      <c r="AE21" s="25">
        <f t="shared" ref="AE21:AE29" si="8">+M21*($C$7/12)</f>
        <v>0</v>
      </c>
      <c r="AF21" s="25">
        <f t="shared" ref="AF21:AF29" si="9">IFERROR(AC21/AE21,0)</f>
        <v>0</v>
      </c>
      <c r="AG21" s="221"/>
      <c r="AH21" s="25">
        <f t="shared" ref="AH21:AH29" si="10">+C21*($C$7/12)</f>
        <v>0</v>
      </c>
      <c r="AI21" s="25">
        <f t="shared" si="2"/>
        <v>0</v>
      </c>
      <c r="AJ21" s="221"/>
      <c r="AK21" s="25">
        <f t="shared" ref="AK21:AK29" si="11">+D21*($C$7/12)</f>
        <v>0</v>
      </c>
      <c r="AL21" s="25">
        <f t="shared" ref="AL21:AL40" si="12">IFERROR(T21/AK21,0)</f>
        <v>0</v>
      </c>
      <c r="AM21" s="221"/>
      <c r="AN21" s="25">
        <f t="shared" ref="AN21:AN29" si="13">+E21*($C$7/12)</f>
        <v>0</v>
      </c>
      <c r="AO21" s="25">
        <f t="shared" ref="AO21:AO40" si="14">IFERROR(U21/AN21,0)</f>
        <v>0</v>
      </c>
      <c r="AP21" s="221"/>
      <c r="AQ21" s="25">
        <f t="shared" ref="AQ21:AQ29" si="15">+F21*($C$7/12)</f>
        <v>0</v>
      </c>
      <c r="AR21" s="25">
        <f t="shared" ref="AR21:AR40" si="16">IFERROR(V21/AQ21,0)</f>
        <v>0</v>
      </c>
      <c r="AS21" s="221"/>
      <c r="AT21" s="25">
        <f t="shared" ref="AT21:AT29" si="17">+G21*($C$7/12)</f>
        <v>0</v>
      </c>
      <c r="AU21" s="25">
        <f t="shared" ref="AU21:AU40" si="18">IFERROR(W21/AT21,0)</f>
        <v>0</v>
      </c>
      <c r="AV21" s="221"/>
      <c r="AW21" s="25">
        <f t="shared" ref="AW21:AW29" si="19">+H21*($C$7/12)</f>
        <v>0</v>
      </c>
      <c r="AX21" s="25">
        <f t="shared" ref="AX21:AX29" si="20">IFERROR(X21/AW21,0)</f>
        <v>0</v>
      </c>
      <c r="AY21" s="221"/>
      <c r="AZ21" s="25">
        <f t="shared" ref="AZ21:AZ29" si="21">+I21*($C$7/12)</f>
        <v>0</v>
      </c>
      <c r="BA21" s="25">
        <f t="shared" si="3"/>
        <v>0</v>
      </c>
      <c r="BB21" s="221"/>
      <c r="BC21" s="25">
        <f t="shared" ref="BC21:BC29" si="22">+J21*($C$7/12)</f>
        <v>0</v>
      </c>
      <c r="BD21" s="25">
        <f t="shared" si="4"/>
        <v>0</v>
      </c>
      <c r="BE21" s="221"/>
      <c r="BF21" s="25">
        <f t="shared" ref="BF21:BF29" si="23">+K21*($C$7/12)</f>
        <v>0</v>
      </c>
      <c r="BG21" s="25">
        <f t="shared" ref="BG21:BG29" si="24">IFERROR(AA21/BF21,0)</f>
        <v>0</v>
      </c>
      <c r="BH21" s="221"/>
      <c r="BI21" s="25">
        <f t="shared" ref="BI21:BI29" si="25">+L21*($C$7/12)</f>
        <v>0</v>
      </c>
      <c r="BJ21" s="25">
        <f t="shared" ref="BJ21:BJ29" si="26">IFERROR(AB21/BI21,0)</f>
        <v>0</v>
      </c>
    </row>
    <row r="22" spans="1:62" ht="15.65" customHeight="1">
      <c r="A22" s="212" t="s">
        <v>1238</v>
      </c>
      <c r="B22" s="213" t="str">
        <f>+VLOOKUP(A22,Takstblad!$A$5:$B$30,2,FALSE)</f>
        <v/>
      </c>
      <c r="C22" s="285"/>
      <c r="D22" s="285"/>
      <c r="E22" s="285"/>
      <c r="F22" s="285"/>
      <c r="G22" s="285"/>
      <c r="H22" s="285"/>
      <c r="I22" s="285"/>
      <c r="J22" s="285"/>
      <c r="K22" s="285"/>
      <c r="L22" s="285"/>
      <c r="M22" s="19">
        <f t="shared" si="5"/>
        <v>0</v>
      </c>
      <c r="N22" s="285"/>
      <c r="O22" s="285" t="s">
        <v>113</v>
      </c>
      <c r="P22" s="212"/>
      <c r="Q22" s="214"/>
      <c r="R22" s="216">
        <f t="shared" si="6"/>
        <v>0</v>
      </c>
      <c r="S22" s="215">
        <f>+IFERROR(IF(S$19=Takstblad!C$3,VLOOKUP($A22,takstblad,3,FALSE)*C22,"fejl i år"),0)</f>
        <v>0</v>
      </c>
      <c r="T22" s="215">
        <f>+IFERROR(IF(T$19=Takstblad!D$3,VLOOKUP($A22,takstblad,4,FALSE)*D22,"fejl i år"),0)</f>
        <v>0</v>
      </c>
      <c r="U22" s="215">
        <f>+IFERROR(IF(U$19=Takstblad!E$3,VLOOKUP($A22,takstblad,5,FALSE)*E22,"fejl i år"),0)</f>
        <v>0</v>
      </c>
      <c r="V22" s="215">
        <f>+IFERROR(IF(V$19=Takstblad!F$3,VLOOKUP($A22,takstblad,6,FALSE)*F22,"fejl i år"),0)</f>
        <v>0</v>
      </c>
      <c r="W22" s="215">
        <f>+IFERROR(IF(W$19=Takstblad!G$3,VLOOKUP($A22,takstblad,7,FALSE)*G22,"fejl i år"),0)</f>
        <v>0</v>
      </c>
      <c r="X22" s="215">
        <f>+IFERROR(IF(X$19=Takstblad!H$3,VLOOKUP($A22,takstblad,8,FALSE)*H22,"fejl i år"),0)</f>
        <v>0</v>
      </c>
      <c r="Y22" s="215">
        <f>+IFERROR(IF(Y$19=Takstblad!I$3,VLOOKUP($A22,takstblad,9,FALSE)*I22,"fejl i år"),0)</f>
        <v>0</v>
      </c>
      <c r="Z22" s="215">
        <f>+IFERROR(IF(Z$19=Takstblad!J$3,VLOOKUP($A22,takstblad,10,FALSE)*J22,"fejl i år"),0)</f>
        <v>0</v>
      </c>
      <c r="AA22" s="215">
        <f>+IFERROR(IF(AA$19=Takstblad!K$3,VLOOKUP($A22,takstblad,11,FALSE)*K22,"fejl i år"),0)</f>
        <v>0</v>
      </c>
      <c r="AB22" s="215">
        <f>+IFERROR(IF(AB$19=Takstblad!L$3,VLOOKUP($A22,takstblad,12,FALSE)*L22,"fejl i år"),0)</f>
        <v>0</v>
      </c>
      <c r="AC22" s="216">
        <f t="shared" si="7"/>
        <v>0</v>
      </c>
      <c r="AD22" s="221"/>
      <c r="AE22" s="217">
        <f t="shared" si="8"/>
        <v>0</v>
      </c>
      <c r="AF22" s="217">
        <f t="shared" si="9"/>
        <v>0</v>
      </c>
      <c r="AG22" s="221"/>
      <c r="AH22" s="217">
        <f t="shared" si="10"/>
        <v>0</v>
      </c>
      <c r="AI22" s="217">
        <f t="shared" si="2"/>
        <v>0</v>
      </c>
      <c r="AJ22" s="221"/>
      <c r="AK22" s="217">
        <f t="shared" si="11"/>
        <v>0</v>
      </c>
      <c r="AL22" s="217">
        <f t="shared" si="12"/>
        <v>0</v>
      </c>
      <c r="AM22" s="221"/>
      <c r="AN22" s="217">
        <f t="shared" si="13"/>
        <v>0</v>
      </c>
      <c r="AO22" s="217">
        <f t="shared" si="14"/>
        <v>0</v>
      </c>
      <c r="AP22" s="221"/>
      <c r="AQ22" s="217">
        <f t="shared" si="15"/>
        <v>0</v>
      </c>
      <c r="AR22" s="217">
        <f t="shared" si="16"/>
        <v>0</v>
      </c>
      <c r="AS22" s="221"/>
      <c r="AT22" s="217">
        <f t="shared" si="17"/>
        <v>0</v>
      </c>
      <c r="AU22" s="217">
        <f t="shared" si="18"/>
        <v>0</v>
      </c>
      <c r="AV22" s="221"/>
      <c r="AW22" s="217">
        <f t="shared" si="19"/>
        <v>0</v>
      </c>
      <c r="AX22" s="217">
        <f t="shared" si="20"/>
        <v>0</v>
      </c>
      <c r="AY22" s="221"/>
      <c r="AZ22" s="217">
        <f t="shared" si="21"/>
        <v>0</v>
      </c>
      <c r="BA22" s="217">
        <f t="shared" si="3"/>
        <v>0</v>
      </c>
      <c r="BB22" s="221"/>
      <c r="BC22" s="217">
        <f t="shared" si="22"/>
        <v>0</v>
      </c>
      <c r="BD22" s="217">
        <f t="shared" si="4"/>
        <v>0</v>
      </c>
      <c r="BE22" s="221"/>
      <c r="BF22" s="217">
        <f t="shared" si="23"/>
        <v>0</v>
      </c>
      <c r="BG22" s="217">
        <f t="shared" si="24"/>
        <v>0</v>
      </c>
      <c r="BH22" s="221"/>
      <c r="BI22" s="217">
        <f t="shared" si="25"/>
        <v>0</v>
      </c>
      <c r="BJ22" s="217">
        <f t="shared" si="26"/>
        <v>0</v>
      </c>
    </row>
    <row r="23" spans="1:62" ht="15.65" customHeight="1">
      <c r="A23" s="7" t="s">
        <v>1238</v>
      </c>
      <c r="B23" s="4" t="str">
        <f>+VLOOKUP(A23,Takstblad!$A$5:$B$30,2,FALSE)</f>
        <v/>
      </c>
      <c r="C23" s="285"/>
      <c r="D23" s="285"/>
      <c r="E23" s="285"/>
      <c r="F23" s="285"/>
      <c r="G23" s="285"/>
      <c r="H23" s="285"/>
      <c r="I23" s="285"/>
      <c r="J23" s="285"/>
      <c r="K23" s="285"/>
      <c r="L23" s="285"/>
      <c r="M23" s="19">
        <f t="shared" si="5"/>
        <v>0</v>
      </c>
      <c r="N23" s="285"/>
      <c r="O23" s="285" t="s">
        <v>113</v>
      </c>
      <c r="Q23" s="16"/>
      <c r="R23" s="21">
        <f t="shared" si="6"/>
        <v>0</v>
      </c>
      <c r="S23" s="25">
        <f>+IFERROR(IF(S$19=Takstblad!C$3,VLOOKUP($A23,takstblad,3,FALSE)*C23,"fejl i år"),0)</f>
        <v>0</v>
      </c>
      <c r="T23" s="25">
        <f>+IFERROR(IF(T$19=Takstblad!D$3,VLOOKUP($A23,takstblad,4,FALSE)*D23,"fejl i år"),0)</f>
        <v>0</v>
      </c>
      <c r="U23" s="25">
        <f>+IFERROR(IF(U$19=Takstblad!E$3,VLOOKUP($A23,takstblad,5,FALSE)*E23,"fejl i år"),0)</f>
        <v>0</v>
      </c>
      <c r="V23" s="25">
        <f>+IFERROR(IF(V$19=Takstblad!F$3,VLOOKUP($A23,takstblad,6,FALSE)*F23,"fejl i år"),0)</f>
        <v>0</v>
      </c>
      <c r="W23" s="25">
        <f>+IFERROR(IF(W$19=Takstblad!G$3,VLOOKUP($A23,takstblad,7,FALSE)*G23,"fejl i år"),0)</f>
        <v>0</v>
      </c>
      <c r="X23" s="25">
        <f>+IFERROR(IF(X$19=Takstblad!H$3,VLOOKUP($A23,takstblad,8,FALSE)*H23,"fejl i år"),0)</f>
        <v>0</v>
      </c>
      <c r="Y23" s="25">
        <f>+IFERROR(IF(Y$19=Takstblad!I$3,VLOOKUP($A23,takstblad,9,FALSE)*I23,"fejl i år"),0)</f>
        <v>0</v>
      </c>
      <c r="Z23" s="25">
        <f>+IFERROR(IF(Z$19=Takstblad!J$3,VLOOKUP($A23,takstblad,10,FALSE)*J23,"fejl i år"),0)</f>
        <v>0</v>
      </c>
      <c r="AA23" s="25">
        <f>+IFERROR(IF(AA$19=Takstblad!K$3,VLOOKUP($A23,takstblad,11,FALSE)*K23,"fejl i år"),0)</f>
        <v>0</v>
      </c>
      <c r="AB23" s="25">
        <f>+IFERROR(IF(AB$19=Takstblad!L$3,VLOOKUP($A23,takstblad,12,FALSE)*L23,"fejl i år"),0)</f>
        <v>0</v>
      </c>
      <c r="AC23" s="21">
        <f t="shared" si="7"/>
        <v>0</v>
      </c>
      <c r="AD23" s="221"/>
      <c r="AE23" s="25">
        <f t="shared" si="8"/>
        <v>0</v>
      </c>
      <c r="AF23" s="25">
        <f t="shared" si="9"/>
        <v>0</v>
      </c>
      <c r="AG23" s="221"/>
      <c r="AH23" s="25">
        <f t="shared" si="10"/>
        <v>0</v>
      </c>
      <c r="AI23" s="25">
        <f t="shared" si="2"/>
        <v>0</v>
      </c>
      <c r="AJ23" s="221"/>
      <c r="AK23" s="25">
        <f t="shared" si="11"/>
        <v>0</v>
      </c>
      <c r="AL23" s="25">
        <f t="shared" si="12"/>
        <v>0</v>
      </c>
      <c r="AM23" s="221"/>
      <c r="AN23" s="25">
        <f t="shared" si="13"/>
        <v>0</v>
      </c>
      <c r="AO23" s="25">
        <f t="shared" si="14"/>
        <v>0</v>
      </c>
      <c r="AP23" s="221"/>
      <c r="AQ23" s="25">
        <f t="shared" si="15"/>
        <v>0</v>
      </c>
      <c r="AR23" s="25">
        <f t="shared" si="16"/>
        <v>0</v>
      </c>
      <c r="AS23" s="221"/>
      <c r="AT23" s="25">
        <f t="shared" si="17"/>
        <v>0</v>
      </c>
      <c r="AU23" s="25">
        <f t="shared" si="18"/>
        <v>0</v>
      </c>
      <c r="AV23" s="221"/>
      <c r="AW23" s="25">
        <f t="shared" si="19"/>
        <v>0</v>
      </c>
      <c r="AX23" s="25">
        <f t="shared" si="20"/>
        <v>0</v>
      </c>
      <c r="AY23" s="221"/>
      <c r="AZ23" s="25">
        <f t="shared" si="21"/>
        <v>0</v>
      </c>
      <c r="BA23" s="25">
        <f t="shared" si="3"/>
        <v>0</v>
      </c>
      <c r="BB23" s="221"/>
      <c r="BC23" s="25">
        <f t="shared" si="22"/>
        <v>0</v>
      </c>
      <c r="BD23" s="25">
        <f t="shared" si="4"/>
        <v>0</v>
      </c>
      <c r="BE23" s="221"/>
      <c r="BF23" s="25">
        <f t="shared" si="23"/>
        <v>0</v>
      </c>
      <c r="BG23" s="25">
        <f t="shared" si="24"/>
        <v>0</v>
      </c>
      <c r="BH23" s="221"/>
      <c r="BI23" s="25">
        <f t="shared" si="25"/>
        <v>0</v>
      </c>
      <c r="BJ23" s="25">
        <f t="shared" si="26"/>
        <v>0</v>
      </c>
    </row>
    <row r="24" spans="1:62" ht="15.65" customHeight="1">
      <c r="A24" s="212" t="s">
        <v>1238</v>
      </c>
      <c r="B24" s="213" t="str">
        <f>+VLOOKUP(A24,Takstblad!$A$5:$B$30,2,FALSE)</f>
        <v/>
      </c>
      <c r="C24" s="285"/>
      <c r="D24" s="285"/>
      <c r="E24" s="285"/>
      <c r="F24" s="285"/>
      <c r="G24" s="285"/>
      <c r="H24" s="285"/>
      <c r="I24" s="285"/>
      <c r="J24" s="285"/>
      <c r="K24" s="285"/>
      <c r="L24" s="285"/>
      <c r="M24" s="19">
        <f t="shared" si="5"/>
        <v>0</v>
      </c>
      <c r="N24" s="285"/>
      <c r="O24" s="285" t="s">
        <v>113</v>
      </c>
      <c r="P24" s="212"/>
      <c r="Q24" s="214"/>
      <c r="R24" s="216">
        <f t="shared" si="6"/>
        <v>0</v>
      </c>
      <c r="S24" s="215">
        <f>+IFERROR(IF(S$19=Takstblad!C$3,VLOOKUP($A24,takstblad,3,FALSE)*C24,"fejl i år"),0)</f>
        <v>0</v>
      </c>
      <c r="T24" s="215">
        <f>+IFERROR(IF(T$19=Takstblad!D$3,VLOOKUP($A24,takstblad,4,FALSE)*D24,"fejl i år"),0)</f>
        <v>0</v>
      </c>
      <c r="U24" s="215">
        <f>+IFERROR(IF(U$19=Takstblad!E$3,VLOOKUP($A24,takstblad,5,FALSE)*E24,"fejl i år"),0)</f>
        <v>0</v>
      </c>
      <c r="V24" s="215">
        <f>+IFERROR(IF(V$19=Takstblad!F$3,VLOOKUP($A24,takstblad,6,FALSE)*F24,"fejl i år"),0)</f>
        <v>0</v>
      </c>
      <c r="W24" s="215">
        <f>+IFERROR(IF(W$19=Takstblad!G$3,VLOOKUP($A24,takstblad,7,FALSE)*G24,"fejl i år"),0)</f>
        <v>0</v>
      </c>
      <c r="X24" s="215">
        <f>+IFERROR(IF(X$19=Takstblad!H$3,VLOOKUP($A24,takstblad,8,FALSE)*H24,"fejl i år"),0)</f>
        <v>0</v>
      </c>
      <c r="Y24" s="215">
        <f>+IFERROR(IF(Y$19=Takstblad!I$3,VLOOKUP($A24,takstblad,9,FALSE)*I24,"fejl i år"),0)</f>
        <v>0</v>
      </c>
      <c r="Z24" s="215">
        <f>+IFERROR(IF(Z$19=Takstblad!J$3,VLOOKUP($A24,takstblad,10,FALSE)*J24,"fejl i år"),0)</f>
        <v>0</v>
      </c>
      <c r="AA24" s="215">
        <f>+IFERROR(IF(AA$19=Takstblad!K$3,VLOOKUP($A24,takstblad,11,FALSE)*K24,"fejl i år"),0)</f>
        <v>0</v>
      </c>
      <c r="AB24" s="215">
        <f>+IFERROR(IF(AB$19=Takstblad!L$3,VLOOKUP($A24,takstblad,12,FALSE)*L24,"fejl i år"),0)</f>
        <v>0</v>
      </c>
      <c r="AC24" s="216">
        <f t="shared" si="7"/>
        <v>0</v>
      </c>
      <c r="AD24" s="221"/>
      <c r="AE24" s="217">
        <f>+M24*($C$7/12)</f>
        <v>0</v>
      </c>
      <c r="AF24" s="217">
        <f>IFERROR(AC24/AE24,0)</f>
        <v>0</v>
      </c>
      <c r="AG24" s="221"/>
      <c r="AH24" s="217">
        <f>+C24*($C$7/12)</f>
        <v>0</v>
      </c>
      <c r="AI24" s="217">
        <f t="shared" si="2"/>
        <v>0</v>
      </c>
      <c r="AJ24" s="221"/>
      <c r="AK24" s="217">
        <f t="shared" si="11"/>
        <v>0</v>
      </c>
      <c r="AL24" s="217">
        <f t="shared" si="12"/>
        <v>0</v>
      </c>
      <c r="AM24" s="221"/>
      <c r="AN24" s="217">
        <f t="shared" si="13"/>
        <v>0</v>
      </c>
      <c r="AO24" s="217">
        <f t="shared" si="14"/>
        <v>0</v>
      </c>
      <c r="AP24" s="221"/>
      <c r="AQ24" s="217">
        <f t="shared" si="15"/>
        <v>0</v>
      </c>
      <c r="AR24" s="217">
        <f t="shared" si="16"/>
        <v>0</v>
      </c>
      <c r="AS24" s="221"/>
      <c r="AT24" s="217">
        <f t="shared" si="17"/>
        <v>0</v>
      </c>
      <c r="AU24" s="217">
        <f t="shared" si="18"/>
        <v>0</v>
      </c>
      <c r="AV24" s="221"/>
      <c r="AW24" s="217">
        <f t="shared" si="19"/>
        <v>0</v>
      </c>
      <c r="AX24" s="217">
        <f t="shared" si="20"/>
        <v>0</v>
      </c>
      <c r="AY24" s="221"/>
      <c r="AZ24" s="217">
        <f t="shared" si="21"/>
        <v>0</v>
      </c>
      <c r="BA24" s="217">
        <f t="shared" si="3"/>
        <v>0</v>
      </c>
      <c r="BB24" s="221"/>
      <c r="BC24" s="217">
        <f t="shared" si="22"/>
        <v>0</v>
      </c>
      <c r="BD24" s="217">
        <f t="shared" si="4"/>
        <v>0</v>
      </c>
      <c r="BE24" s="221"/>
      <c r="BF24" s="217">
        <f t="shared" si="23"/>
        <v>0</v>
      </c>
      <c r="BG24" s="217">
        <f t="shared" si="24"/>
        <v>0</v>
      </c>
      <c r="BH24" s="221"/>
      <c r="BI24" s="217">
        <f t="shared" si="25"/>
        <v>0</v>
      </c>
      <c r="BJ24" s="217">
        <f t="shared" si="26"/>
        <v>0</v>
      </c>
    </row>
    <row r="25" spans="1:62" ht="15.65" customHeight="1">
      <c r="A25" s="7" t="s">
        <v>1238</v>
      </c>
      <c r="B25" s="4" t="str">
        <f>+VLOOKUP(A25,Takstblad!$A$5:$B$30,2,FALSE)</f>
        <v/>
      </c>
      <c r="C25" s="285"/>
      <c r="D25" s="285"/>
      <c r="E25" s="285"/>
      <c r="F25" s="285"/>
      <c r="G25" s="285"/>
      <c r="H25" s="285"/>
      <c r="I25" s="285"/>
      <c r="J25" s="285"/>
      <c r="K25" s="285"/>
      <c r="L25" s="285"/>
      <c r="M25" s="19">
        <f t="shared" si="5"/>
        <v>0</v>
      </c>
      <c r="N25" s="285"/>
      <c r="O25" s="285" t="s">
        <v>113</v>
      </c>
      <c r="Q25" s="16"/>
      <c r="R25" s="21">
        <f t="shared" si="6"/>
        <v>0</v>
      </c>
      <c r="S25" s="25">
        <f>+IFERROR(IF(S$19=Takstblad!C$3,VLOOKUP($A25,takstblad,3,FALSE)*C25,"fejl i år"),0)</f>
        <v>0</v>
      </c>
      <c r="T25" s="25">
        <f>+IFERROR(IF(T$19=Takstblad!D$3,VLOOKUP($A25,takstblad,4,FALSE)*D25,"fejl i år"),0)</f>
        <v>0</v>
      </c>
      <c r="U25" s="25">
        <f>+IFERROR(IF(U$19=Takstblad!E$3,VLOOKUP($A25,takstblad,5,FALSE)*E25,"fejl i år"),0)</f>
        <v>0</v>
      </c>
      <c r="V25" s="25">
        <f>+IFERROR(IF(V$19=Takstblad!F$3,VLOOKUP($A25,takstblad,6,FALSE)*F25,"fejl i år"),0)</f>
        <v>0</v>
      </c>
      <c r="W25" s="25">
        <f>+IFERROR(IF(W$19=Takstblad!G$3,VLOOKUP($A25,takstblad,7,FALSE)*G25,"fejl i år"),0)</f>
        <v>0</v>
      </c>
      <c r="X25" s="25">
        <f>+IFERROR(IF(X$19=Takstblad!H$3,VLOOKUP($A25,takstblad,8,FALSE)*H25,"fejl i år"),0)</f>
        <v>0</v>
      </c>
      <c r="Y25" s="25">
        <f>+IFERROR(IF(Y$19=Takstblad!I$3,VLOOKUP($A25,takstblad,9,FALSE)*I25,"fejl i år"),0)</f>
        <v>0</v>
      </c>
      <c r="Z25" s="25">
        <f>+IFERROR(IF(Z$19=Takstblad!J$3,VLOOKUP($A25,takstblad,10,FALSE)*J25,"fejl i år"),0)</f>
        <v>0</v>
      </c>
      <c r="AA25" s="25">
        <f>+IFERROR(IF(AA$19=Takstblad!K$3,VLOOKUP($A25,takstblad,11,FALSE)*K25,"fejl i år"),0)</f>
        <v>0</v>
      </c>
      <c r="AB25" s="25">
        <f>+IFERROR(IF(AB$19=Takstblad!L$3,VLOOKUP($A25,takstblad,12,FALSE)*L25,"fejl i år"),0)</f>
        <v>0</v>
      </c>
      <c r="AC25" s="21">
        <f t="shared" si="7"/>
        <v>0</v>
      </c>
      <c r="AD25" s="221"/>
      <c r="AE25" s="25">
        <f>+M25*($C$7/12)</f>
        <v>0</v>
      </c>
      <c r="AF25" s="25">
        <f>IFERROR(AC25/AE25,0)</f>
        <v>0</v>
      </c>
      <c r="AG25" s="221"/>
      <c r="AH25" s="25">
        <f t="shared" si="10"/>
        <v>0</v>
      </c>
      <c r="AI25" s="25">
        <f t="shared" si="2"/>
        <v>0</v>
      </c>
      <c r="AJ25" s="221"/>
      <c r="AK25" s="25">
        <f t="shared" si="11"/>
        <v>0</v>
      </c>
      <c r="AL25" s="25">
        <f t="shared" si="12"/>
        <v>0</v>
      </c>
      <c r="AM25" s="221"/>
      <c r="AN25" s="25">
        <f t="shared" si="13"/>
        <v>0</v>
      </c>
      <c r="AO25" s="25">
        <f t="shared" si="14"/>
        <v>0</v>
      </c>
      <c r="AP25" s="221"/>
      <c r="AQ25" s="25">
        <f t="shared" si="15"/>
        <v>0</v>
      </c>
      <c r="AR25" s="25">
        <f t="shared" si="16"/>
        <v>0</v>
      </c>
      <c r="AS25" s="221"/>
      <c r="AT25" s="25">
        <f t="shared" si="17"/>
        <v>0</v>
      </c>
      <c r="AU25" s="25">
        <f t="shared" si="18"/>
        <v>0</v>
      </c>
      <c r="AV25" s="221"/>
      <c r="AW25" s="25">
        <f t="shared" si="19"/>
        <v>0</v>
      </c>
      <c r="AX25" s="25">
        <f t="shared" si="20"/>
        <v>0</v>
      </c>
      <c r="AY25" s="221"/>
      <c r="AZ25" s="25">
        <f>+I25*($C$7/12)</f>
        <v>0</v>
      </c>
      <c r="BA25" s="25">
        <f t="shared" si="3"/>
        <v>0</v>
      </c>
      <c r="BB25" s="221"/>
      <c r="BC25" s="25">
        <f t="shared" si="22"/>
        <v>0</v>
      </c>
      <c r="BD25" s="25">
        <f t="shared" si="4"/>
        <v>0</v>
      </c>
      <c r="BE25" s="221"/>
      <c r="BF25" s="25">
        <f t="shared" si="23"/>
        <v>0</v>
      </c>
      <c r="BG25" s="25">
        <f t="shared" si="24"/>
        <v>0</v>
      </c>
      <c r="BH25" s="221"/>
      <c r="BI25" s="25">
        <f t="shared" si="25"/>
        <v>0</v>
      </c>
      <c r="BJ25" s="25">
        <f t="shared" si="26"/>
        <v>0</v>
      </c>
    </row>
    <row r="26" spans="1:62" ht="15.65" customHeight="1">
      <c r="A26" s="212" t="s">
        <v>1238</v>
      </c>
      <c r="B26" s="213" t="str">
        <f>+VLOOKUP(A26,Takstblad!$A$5:$B$30,2,FALSE)</f>
        <v/>
      </c>
      <c r="C26" s="285"/>
      <c r="D26" s="285"/>
      <c r="E26" s="285"/>
      <c r="F26" s="285"/>
      <c r="G26" s="285"/>
      <c r="H26" s="285"/>
      <c r="I26" s="285"/>
      <c r="J26" s="285"/>
      <c r="K26" s="285"/>
      <c r="L26" s="285"/>
      <c r="M26" s="19">
        <f t="shared" si="5"/>
        <v>0</v>
      </c>
      <c r="N26" s="285"/>
      <c r="O26" s="285" t="s">
        <v>113</v>
      </c>
      <c r="P26" s="212"/>
      <c r="Q26" s="214"/>
      <c r="R26" s="216">
        <f t="shared" si="6"/>
        <v>0</v>
      </c>
      <c r="S26" s="215">
        <f>+IFERROR(IF(S$19=Takstblad!C$3,VLOOKUP($A26,takstblad,3,FALSE)*C26,"fejl i år"),0)</f>
        <v>0</v>
      </c>
      <c r="T26" s="215">
        <f>+IFERROR(IF(T$19=Takstblad!D$3,VLOOKUP($A26,takstblad,4,FALSE)*D26,"fejl i år"),0)</f>
        <v>0</v>
      </c>
      <c r="U26" s="215">
        <f>+IFERROR(IF(U$19=Takstblad!E$3,VLOOKUP($A26,takstblad,5,FALSE)*E26,"fejl i år"),0)</f>
        <v>0</v>
      </c>
      <c r="V26" s="215">
        <f>+IFERROR(IF(V$19=Takstblad!F$3,VLOOKUP($A26,takstblad,6,FALSE)*F26,"fejl i år"),0)</f>
        <v>0</v>
      </c>
      <c r="W26" s="215">
        <f>+IFERROR(IF(W$19=Takstblad!G$3,VLOOKUP($A26,takstblad,7,FALSE)*G26,"fejl i år"),0)</f>
        <v>0</v>
      </c>
      <c r="X26" s="215">
        <f>+IFERROR(IF(X$19=Takstblad!H$3,VLOOKUP($A26,takstblad,8,FALSE)*H26,"fejl i år"),0)</f>
        <v>0</v>
      </c>
      <c r="Y26" s="215">
        <f>+IFERROR(IF(Y$19=Takstblad!I$3,VLOOKUP($A26,takstblad,9,FALSE)*I26,"fejl i år"),0)</f>
        <v>0</v>
      </c>
      <c r="Z26" s="215">
        <f>+IFERROR(IF(Z$19=Takstblad!J$3,VLOOKUP($A26,takstblad,10,FALSE)*J26,"fejl i år"),0)</f>
        <v>0</v>
      </c>
      <c r="AA26" s="215">
        <f>+IFERROR(IF(AA$19=Takstblad!K$3,VLOOKUP($A26,takstblad,11,FALSE)*K26,"fejl i år"),0)</f>
        <v>0</v>
      </c>
      <c r="AB26" s="215">
        <f>+IFERROR(IF(AB$19=Takstblad!L$3,VLOOKUP($A26,takstblad,12,FALSE)*L26,"fejl i år"),0)</f>
        <v>0</v>
      </c>
      <c r="AC26" s="216">
        <f t="shared" si="7"/>
        <v>0</v>
      </c>
      <c r="AD26" s="221"/>
      <c r="AE26" s="217">
        <f t="shared" si="8"/>
        <v>0</v>
      </c>
      <c r="AF26" s="217">
        <f t="shared" si="9"/>
        <v>0</v>
      </c>
      <c r="AG26" s="221"/>
      <c r="AH26" s="217">
        <f t="shared" si="10"/>
        <v>0</v>
      </c>
      <c r="AI26" s="217">
        <f t="shared" si="2"/>
        <v>0</v>
      </c>
      <c r="AJ26" s="221"/>
      <c r="AK26" s="217">
        <f t="shared" si="11"/>
        <v>0</v>
      </c>
      <c r="AL26" s="217">
        <f t="shared" si="12"/>
        <v>0</v>
      </c>
      <c r="AM26" s="221"/>
      <c r="AN26" s="217">
        <f t="shared" si="13"/>
        <v>0</v>
      </c>
      <c r="AO26" s="217">
        <f t="shared" si="14"/>
        <v>0</v>
      </c>
      <c r="AP26" s="221"/>
      <c r="AQ26" s="217">
        <f t="shared" si="15"/>
        <v>0</v>
      </c>
      <c r="AR26" s="217">
        <f t="shared" si="16"/>
        <v>0</v>
      </c>
      <c r="AS26" s="221"/>
      <c r="AT26" s="217">
        <f t="shared" si="17"/>
        <v>0</v>
      </c>
      <c r="AU26" s="217">
        <f t="shared" si="18"/>
        <v>0</v>
      </c>
      <c r="AV26" s="221"/>
      <c r="AW26" s="217">
        <f t="shared" si="19"/>
        <v>0</v>
      </c>
      <c r="AX26" s="217">
        <f t="shared" si="20"/>
        <v>0</v>
      </c>
      <c r="AY26" s="221"/>
      <c r="AZ26" s="217">
        <f t="shared" si="21"/>
        <v>0</v>
      </c>
      <c r="BA26" s="217">
        <f t="shared" si="3"/>
        <v>0</v>
      </c>
      <c r="BB26" s="221"/>
      <c r="BC26" s="217">
        <f t="shared" si="22"/>
        <v>0</v>
      </c>
      <c r="BD26" s="217">
        <f t="shared" si="4"/>
        <v>0</v>
      </c>
      <c r="BE26" s="221"/>
      <c r="BF26" s="217">
        <f t="shared" si="23"/>
        <v>0</v>
      </c>
      <c r="BG26" s="217">
        <f t="shared" si="24"/>
        <v>0</v>
      </c>
      <c r="BH26" s="221"/>
      <c r="BI26" s="217">
        <f t="shared" si="25"/>
        <v>0</v>
      </c>
      <c r="BJ26" s="217">
        <f t="shared" si="26"/>
        <v>0</v>
      </c>
    </row>
    <row r="27" spans="1:62" ht="15.65" customHeight="1">
      <c r="A27" s="7" t="s">
        <v>1238</v>
      </c>
      <c r="B27" s="4" t="str">
        <f>+VLOOKUP(A27,Takstblad!$A$5:$B$30,2,FALSE)</f>
        <v/>
      </c>
      <c r="C27" s="285"/>
      <c r="D27" s="285"/>
      <c r="E27" s="285"/>
      <c r="F27" s="285"/>
      <c r="G27" s="285"/>
      <c r="H27" s="285"/>
      <c r="I27" s="285"/>
      <c r="J27" s="285"/>
      <c r="K27" s="285"/>
      <c r="L27" s="285"/>
      <c r="M27" s="19">
        <f t="shared" si="5"/>
        <v>0</v>
      </c>
      <c r="N27" s="285"/>
      <c r="O27" s="285" t="s">
        <v>113</v>
      </c>
      <c r="Q27" s="16"/>
      <c r="R27" s="21">
        <f t="shared" si="6"/>
        <v>0</v>
      </c>
      <c r="S27" s="25">
        <f>+IFERROR(IF(S$19=Takstblad!C$3,VLOOKUP($A27,takstblad,3,FALSE)*C27,"fejl i år"),0)</f>
        <v>0</v>
      </c>
      <c r="T27" s="25">
        <f>+IFERROR(IF(T$19=Takstblad!D$3,VLOOKUP($A27,takstblad,4,FALSE)*D27,"fejl i år"),0)</f>
        <v>0</v>
      </c>
      <c r="U27" s="25">
        <f>+IFERROR(IF(U$19=Takstblad!E$3,VLOOKUP($A27,takstblad,5,FALSE)*E27,"fejl i år"),0)</f>
        <v>0</v>
      </c>
      <c r="V27" s="25">
        <f>+IFERROR(IF(V$19=Takstblad!F$3,VLOOKUP($A27,takstblad,6,FALSE)*F27,"fejl i år"),0)</f>
        <v>0</v>
      </c>
      <c r="W27" s="25">
        <f>+IFERROR(IF(W$19=Takstblad!G$3,VLOOKUP($A27,takstblad,7,FALSE)*G27,"fejl i år"),0)</f>
        <v>0</v>
      </c>
      <c r="X27" s="25">
        <f>+IFERROR(IF(X$19=Takstblad!H$3,VLOOKUP($A27,takstblad,8,FALSE)*H27,"fejl i år"),0)</f>
        <v>0</v>
      </c>
      <c r="Y27" s="25">
        <f>+IFERROR(IF(Y$19=Takstblad!I$3,VLOOKUP($A27,takstblad,9,FALSE)*I27,"fejl i år"),0)</f>
        <v>0</v>
      </c>
      <c r="Z27" s="25">
        <f>+IFERROR(IF(Z$19=Takstblad!J$3,VLOOKUP($A27,takstblad,10,FALSE)*J27,"fejl i år"),0)</f>
        <v>0</v>
      </c>
      <c r="AA27" s="25">
        <f>+IFERROR(IF(AA$19=Takstblad!K$3,VLOOKUP($A27,takstblad,11,FALSE)*K27,"fejl i år"),0)</f>
        <v>0</v>
      </c>
      <c r="AB27" s="25">
        <f>+IFERROR(IF(AB$19=Takstblad!L$3,VLOOKUP($A27,takstblad,12,FALSE)*L27,"fejl i år"),0)</f>
        <v>0</v>
      </c>
      <c r="AC27" s="21">
        <f t="shared" si="7"/>
        <v>0</v>
      </c>
      <c r="AD27" s="221"/>
      <c r="AE27" s="25">
        <f t="shared" si="8"/>
        <v>0</v>
      </c>
      <c r="AF27" s="25">
        <f t="shared" si="9"/>
        <v>0</v>
      </c>
      <c r="AG27" s="221"/>
      <c r="AH27" s="25">
        <f t="shared" si="10"/>
        <v>0</v>
      </c>
      <c r="AI27" s="25">
        <f t="shared" si="2"/>
        <v>0</v>
      </c>
      <c r="AJ27" s="221"/>
      <c r="AK27" s="25">
        <f t="shared" si="11"/>
        <v>0</v>
      </c>
      <c r="AL27" s="25">
        <f t="shared" si="12"/>
        <v>0</v>
      </c>
      <c r="AM27" s="221"/>
      <c r="AN27" s="25">
        <f t="shared" si="13"/>
        <v>0</v>
      </c>
      <c r="AO27" s="25">
        <f t="shared" si="14"/>
        <v>0</v>
      </c>
      <c r="AP27" s="221"/>
      <c r="AQ27" s="25">
        <f t="shared" si="15"/>
        <v>0</v>
      </c>
      <c r="AR27" s="25">
        <f t="shared" si="16"/>
        <v>0</v>
      </c>
      <c r="AS27" s="221"/>
      <c r="AT27" s="25">
        <f t="shared" si="17"/>
        <v>0</v>
      </c>
      <c r="AU27" s="25">
        <f t="shared" si="18"/>
        <v>0</v>
      </c>
      <c r="AV27" s="221"/>
      <c r="AW27" s="25">
        <f t="shared" si="19"/>
        <v>0</v>
      </c>
      <c r="AX27" s="25">
        <f t="shared" si="20"/>
        <v>0</v>
      </c>
      <c r="AY27" s="221"/>
      <c r="AZ27" s="25">
        <f t="shared" si="21"/>
        <v>0</v>
      </c>
      <c r="BA27" s="25">
        <f t="shared" si="3"/>
        <v>0</v>
      </c>
      <c r="BB27" s="221"/>
      <c r="BC27" s="25">
        <f t="shared" si="22"/>
        <v>0</v>
      </c>
      <c r="BD27" s="25">
        <f t="shared" si="4"/>
        <v>0</v>
      </c>
      <c r="BE27" s="221"/>
      <c r="BF27" s="25">
        <f t="shared" si="23"/>
        <v>0</v>
      </c>
      <c r="BG27" s="25">
        <f t="shared" si="24"/>
        <v>0</v>
      </c>
      <c r="BH27" s="221"/>
      <c r="BI27" s="25">
        <f t="shared" si="25"/>
        <v>0</v>
      </c>
      <c r="BJ27" s="25">
        <f t="shared" si="26"/>
        <v>0</v>
      </c>
    </row>
    <row r="28" spans="1:62" ht="15.65" customHeight="1">
      <c r="A28" s="212" t="s">
        <v>1238</v>
      </c>
      <c r="B28" s="213" t="str">
        <f>+VLOOKUP(A28,Takstblad!$A$5:$B$30,2,FALSE)</f>
        <v/>
      </c>
      <c r="C28" s="285"/>
      <c r="D28" s="285"/>
      <c r="E28" s="285"/>
      <c r="F28" s="285"/>
      <c r="G28" s="285"/>
      <c r="H28" s="285"/>
      <c r="I28" s="285"/>
      <c r="J28" s="285"/>
      <c r="K28" s="285"/>
      <c r="L28" s="285"/>
      <c r="M28" s="19">
        <f t="shared" si="5"/>
        <v>0</v>
      </c>
      <c r="N28" s="285"/>
      <c r="O28" s="285" t="s">
        <v>113</v>
      </c>
      <c r="P28" s="212"/>
      <c r="Q28" s="214"/>
      <c r="R28" s="216">
        <f t="shared" si="6"/>
        <v>0</v>
      </c>
      <c r="S28" s="215">
        <f>+IFERROR(IF(S$19=Takstblad!C$3,VLOOKUP($A28,takstblad,3,FALSE)*C28,"fejl i år"),0)</f>
        <v>0</v>
      </c>
      <c r="T28" s="215">
        <f>+IFERROR(IF(T$19=Takstblad!D$3,VLOOKUP($A28,takstblad,4,FALSE)*D28,"fejl i år"),0)</f>
        <v>0</v>
      </c>
      <c r="U28" s="215">
        <f>+IFERROR(IF(U$19=Takstblad!E$3,VLOOKUP($A28,takstblad,5,FALSE)*E28,"fejl i år"),0)</f>
        <v>0</v>
      </c>
      <c r="V28" s="215">
        <f>+IFERROR(IF(V$19=Takstblad!F$3,VLOOKUP($A28,takstblad,6,FALSE)*F28,"fejl i år"),0)</f>
        <v>0</v>
      </c>
      <c r="W28" s="215">
        <f>+IFERROR(IF(W$19=Takstblad!G$3,VLOOKUP($A28,takstblad,7,FALSE)*G28,"fejl i år"),0)</f>
        <v>0</v>
      </c>
      <c r="X28" s="215">
        <f>+IFERROR(IF(X$19=Takstblad!H$3,VLOOKUP($A28,takstblad,8,FALSE)*H28,"fejl i år"),0)</f>
        <v>0</v>
      </c>
      <c r="Y28" s="215">
        <f>+IFERROR(IF(Y$19=Takstblad!I$3,VLOOKUP($A28,takstblad,9,FALSE)*I28,"fejl i år"),0)</f>
        <v>0</v>
      </c>
      <c r="Z28" s="215">
        <f>+IFERROR(IF(Z$19=Takstblad!J$3,VLOOKUP($A28,takstblad,10,FALSE)*J28,"fejl i år"),0)</f>
        <v>0</v>
      </c>
      <c r="AA28" s="215">
        <f>+IFERROR(IF(AA$19=Takstblad!K$3,VLOOKUP($A28,takstblad,11,FALSE)*K28,"fejl i år"),0)</f>
        <v>0</v>
      </c>
      <c r="AB28" s="215">
        <f>+IFERROR(IF(AB$19=Takstblad!L$3,VLOOKUP($A28,takstblad,12,FALSE)*L28,"fejl i år"),0)</f>
        <v>0</v>
      </c>
      <c r="AC28" s="216">
        <f t="shared" si="7"/>
        <v>0</v>
      </c>
      <c r="AD28" s="221"/>
      <c r="AE28" s="217">
        <f t="shared" si="8"/>
        <v>0</v>
      </c>
      <c r="AF28" s="217">
        <f t="shared" si="9"/>
        <v>0</v>
      </c>
      <c r="AG28" s="221"/>
      <c r="AH28" s="217">
        <f t="shared" si="10"/>
        <v>0</v>
      </c>
      <c r="AI28" s="217">
        <f t="shared" si="2"/>
        <v>0</v>
      </c>
      <c r="AJ28" s="221"/>
      <c r="AK28" s="217">
        <f t="shared" si="11"/>
        <v>0</v>
      </c>
      <c r="AL28" s="217">
        <f t="shared" si="12"/>
        <v>0</v>
      </c>
      <c r="AM28" s="221"/>
      <c r="AN28" s="217">
        <f t="shared" si="13"/>
        <v>0</v>
      </c>
      <c r="AO28" s="217">
        <f t="shared" si="14"/>
        <v>0</v>
      </c>
      <c r="AP28" s="221"/>
      <c r="AQ28" s="217">
        <f t="shared" si="15"/>
        <v>0</v>
      </c>
      <c r="AR28" s="217">
        <f t="shared" si="16"/>
        <v>0</v>
      </c>
      <c r="AS28" s="221"/>
      <c r="AT28" s="217">
        <f t="shared" si="17"/>
        <v>0</v>
      </c>
      <c r="AU28" s="217">
        <f t="shared" si="18"/>
        <v>0</v>
      </c>
      <c r="AV28" s="221"/>
      <c r="AW28" s="217">
        <f t="shared" si="19"/>
        <v>0</v>
      </c>
      <c r="AX28" s="217">
        <f t="shared" si="20"/>
        <v>0</v>
      </c>
      <c r="AY28" s="221"/>
      <c r="AZ28" s="217">
        <f t="shared" si="21"/>
        <v>0</v>
      </c>
      <c r="BA28" s="217">
        <f t="shared" si="3"/>
        <v>0</v>
      </c>
      <c r="BB28" s="221"/>
      <c r="BC28" s="217">
        <f t="shared" si="22"/>
        <v>0</v>
      </c>
      <c r="BD28" s="217">
        <f t="shared" si="4"/>
        <v>0</v>
      </c>
      <c r="BE28" s="221"/>
      <c r="BF28" s="217">
        <f t="shared" si="23"/>
        <v>0</v>
      </c>
      <c r="BG28" s="217">
        <f t="shared" si="24"/>
        <v>0</v>
      </c>
      <c r="BH28" s="221"/>
      <c r="BI28" s="217">
        <f t="shared" si="25"/>
        <v>0</v>
      </c>
      <c r="BJ28" s="217">
        <f t="shared" si="26"/>
        <v>0</v>
      </c>
    </row>
    <row r="29" spans="1:62" ht="15.65" customHeight="1" thickBot="1">
      <c r="A29" s="7" t="s">
        <v>1238</v>
      </c>
      <c r="B29" s="4" t="str">
        <f>+VLOOKUP(A29,Takstblad!$A$5:$B$30,2,FALSE)</f>
        <v/>
      </c>
      <c r="C29" s="285"/>
      <c r="D29" s="285"/>
      <c r="E29" s="285"/>
      <c r="F29" s="285"/>
      <c r="G29" s="285"/>
      <c r="H29" s="285"/>
      <c r="I29" s="286"/>
      <c r="J29" s="286"/>
      <c r="K29" s="286"/>
      <c r="L29" s="286"/>
      <c r="M29" s="47">
        <f t="shared" si="5"/>
        <v>0</v>
      </c>
      <c r="N29" s="285"/>
      <c r="O29" s="285" t="s">
        <v>113</v>
      </c>
      <c r="Q29" s="16"/>
      <c r="R29" s="21">
        <f t="shared" si="6"/>
        <v>0</v>
      </c>
      <c r="S29" s="25">
        <f>+IFERROR(IF(S$19=Takstblad!C$3,VLOOKUP($A29,takstblad,3,FALSE)*C29,"fejl i år"),0)</f>
        <v>0</v>
      </c>
      <c r="T29" s="25">
        <f>+IFERROR(IF(T$19=Takstblad!D$3,VLOOKUP($A29,takstblad,4,FALSE)*D29,"fejl i år"),0)</f>
        <v>0</v>
      </c>
      <c r="U29" s="25">
        <f>+IFERROR(IF(U$19=Takstblad!E$3,VLOOKUP($A29,takstblad,5,FALSE)*E29,"fejl i år"),0)</f>
        <v>0</v>
      </c>
      <c r="V29" s="25">
        <f>+IFERROR(IF(V$19=Takstblad!F$3,VLOOKUP($A29,takstblad,6,FALSE)*F29,"fejl i år"),0)</f>
        <v>0</v>
      </c>
      <c r="W29" s="25">
        <f>+IFERROR(IF(W$19=Takstblad!G$3,VLOOKUP($A29,takstblad,7,FALSE)*G29,"fejl i år"),0)</f>
        <v>0</v>
      </c>
      <c r="X29" s="25">
        <f>+IFERROR(IF(X$19=Takstblad!H$3,VLOOKUP($A29,takstblad,8,FALSE)*H29,"fejl i år"),0)</f>
        <v>0</v>
      </c>
      <c r="Y29" s="25">
        <f>+IFERROR(IF(Y$19=Takstblad!I$3,VLOOKUP($A29,takstblad,9,FALSE)*I29,"fejl i år"),0)</f>
        <v>0</v>
      </c>
      <c r="Z29" s="25">
        <f>+IFERROR(IF(Z$19=Takstblad!J$3,VLOOKUP($A29,takstblad,10,FALSE)*J29,"fejl i år"),0)</f>
        <v>0</v>
      </c>
      <c r="AA29" s="25">
        <f>+IFERROR(IF(AA$19=Takstblad!K$3,VLOOKUP($A29,takstblad,11,FALSE)*K29,"fejl i år"),0)</f>
        <v>0</v>
      </c>
      <c r="AB29" s="25">
        <f>+IFERROR(IF(AB$19=Takstblad!L$3,VLOOKUP($A29,takstblad,12,FALSE)*L29,"fejl i år"),0)</f>
        <v>0</v>
      </c>
      <c r="AC29" s="21">
        <f t="shared" si="7"/>
        <v>0</v>
      </c>
      <c r="AD29" s="221"/>
      <c r="AE29" s="25">
        <f t="shared" si="8"/>
        <v>0</v>
      </c>
      <c r="AF29" s="25">
        <f t="shared" si="9"/>
        <v>0</v>
      </c>
      <c r="AG29" s="221"/>
      <c r="AH29" s="25">
        <f t="shared" si="10"/>
        <v>0</v>
      </c>
      <c r="AI29" s="25">
        <f t="shared" si="2"/>
        <v>0</v>
      </c>
      <c r="AJ29" s="221"/>
      <c r="AK29" s="25">
        <f t="shared" si="11"/>
        <v>0</v>
      </c>
      <c r="AL29" s="25">
        <f t="shared" si="12"/>
        <v>0</v>
      </c>
      <c r="AM29" s="221"/>
      <c r="AN29" s="25">
        <f t="shared" si="13"/>
        <v>0</v>
      </c>
      <c r="AO29" s="25">
        <f t="shared" si="14"/>
        <v>0</v>
      </c>
      <c r="AP29" s="221"/>
      <c r="AQ29" s="25">
        <f t="shared" si="15"/>
        <v>0</v>
      </c>
      <c r="AR29" s="25">
        <f t="shared" si="16"/>
        <v>0</v>
      </c>
      <c r="AS29" s="221"/>
      <c r="AT29" s="25">
        <f t="shared" si="17"/>
        <v>0</v>
      </c>
      <c r="AU29" s="25">
        <f t="shared" si="18"/>
        <v>0</v>
      </c>
      <c r="AV29" s="221"/>
      <c r="AW29" s="25">
        <f t="shared" si="19"/>
        <v>0</v>
      </c>
      <c r="AX29" s="25">
        <f t="shared" si="20"/>
        <v>0</v>
      </c>
      <c r="AY29" s="221"/>
      <c r="AZ29" s="25">
        <f t="shared" si="21"/>
        <v>0</v>
      </c>
      <c r="BA29" s="25">
        <f t="shared" si="3"/>
        <v>0</v>
      </c>
      <c r="BB29" s="221"/>
      <c r="BC29" s="25">
        <f t="shared" si="22"/>
        <v>0</v>
      </c>
      <c r="BD29" s="25">
        <f>IFERROR(Z29/BC29,0)</f>
        <v>0</v>
      </c>
      <c r="BE29" s="221"/>
      <c r="BF29" s="25">
        <f t="shared" si="23"/>
        <v>0</v>
      </c>
      <c r="BG29" s="25">
        <f t="shared" si="24"/>
        <v>0</v>
      </c>
      <c r="BH29" s="221"/>
      <c r="BI29" s="25">
        <f t="shared" si="25"/>
        <v>0</v>
      </c>
      <c r="BJ29" s="25">
        <f t="shared" si="26"/>
        <v>0</v>
      </c>
    </row>
    <row r="30" spans="1:62" ht="15.65" hidden="1" customHeight="1" outlineLevel="1">
      <c r="A30" s="212" t="s">
        <v>1238</v>
      </c>
      <c r="B30" s="4" t="str">
        <f>+VLOOKUP(A30,Takstblad!$A$5:$B$30,2,FALSE)</f>
        <v/>
      </c>
      <c r="C30" s="285"/>
      <c r="D30" s="285"/>
      <c r="E30" s="285"/>
      <c r="F30" s="285"/>
      <c r="G30" s="285"/>
      <c r="H30" s="285"/>
      <c r="I30" s="286"/>
      <c r="J30" s="286"/>
      <c r="K30" s="286"/>
      <c r="L30" s="286"/>
      <c r="M30" s="47">
        <f t="shared" ref="M30:M39" si="27">SUM(C30:L30)</f>
        <v>0</v>
      </c>
      <c r="N30" s="285"/>
      <c r="O30" s="285" t="s">
        <v>113</v>
      </c>
      <c r="P30" s="212"/>
      <c r="Q30" s="214"/>
      <c r="R30" s="216">
        <f t="shared" ref="R30:R39" si="28">+AC30</f>
        <v>0</v>
      </c>
      <c r="S30" s="215">
        <f>+IFERROR(IF(S$19=Takstblad!C$3,VLOOKUP($A30,takstblad,3,FALSE)*C30,"fejl i år"),0)</f>
        <v>0</v>
      </c>
      <c r="T30" s="215">
        <f>+IFERROR(IF(T$19=Takstblad!D$3,VLOOKUP($A30,takstblad,4,FALSE)*D30,"fejl i år"),0)</f>
        <v>0</v>
      </c>
      <c r="U30" s="215">
        <f>+IFERROR(IF(U$19=Takstblad!E$3,VLOOKUP($A30,takstblad,5,FALSE)*E30,"fejl i år"),0)</f>
        <v>0</v>
      </c>
      <c r="V30" s="215">
        <f>+IFERROR(IF(V$19=Takstblad!F$3,VLOOKUP($A30,takstblad,6,FALSE)*F30,"fejl i år"),0)</f>
        <v>0</v>
      </c>
      <c r="W30" s="215">
        <f>+IFERROR(IF(W$19=Takstblad!G$3,VLOOKUP($A30,takstblad,7,FALSE)*G30,"fejl i år"),0)</f>
        <v>0</v>
      </c>
      <c r="X30" s="215">
        <f>+IFERROR(IF(X$19=Takstblad!H$3,VLOOKUP($A30,takstblad,8,FALSE)*H30,"fejl i år"),0)</f>
        <v>0</v>
      </c>
      <c r="Y30" s="215">
        <f>+IFERROR(IF(Y$19=Takstblad!I$3,VLOOKUP($A30,takstblad,9,FALSE)*I30,"fejl i år"),0)</f>
        <v>0</v>
      </c>
      <c r="Z30" s="215">
        <f>+IFERROR(IF(Z$19=Takstblad!J$3,VLOOKUP($A30,takstblad,10,FALSE)*J30,"fejl i år"),0)</f>
        <v>0</v>
      </c>
      <c r="AA30" s="215">
        <f>+IFERROR(IF(AA$19=Takstblad!K$3,VLOOKUP($A30,takstblad,11,FALSE)*K30,"fejl i år"),0)</f>
        <v>0</v>
      </c>
      <c r="AB30" s="215">
        <f>+IFERROR(IF(AB$19=Takstblad!L$3,VLOOKUP($A30,takstblad,12,FALSE)*L30,"fejl i år"),0)</f>
        <v>0</v>
      </c>
      <c r="AC30" s="216">
        <f t="shared" si="7"/>
        <v>0</v>
      </c>
      <c r="AD30" s="221"/>
      <c r="AE30" s="217">
        <f t="shared" ref="AE30:AE39" si="29">+M30*($C$7/12)</f>
        <v>0</v>
      </c>
      <c r="AF30" s="217">
        <f t="shared" ref="AF30:AF39" si="30">IFERROR(AC30/AE30,0)</f>
        <v>0</v>
      </c>
      <c r="AG30" s="221"/>
      <c r="AH30" s="217">
        <f t="shared" ref="AH30:AH39" si="31">+C30*($C$7/12)</f>
        <v>0</v>
      </c>
      <c r="AI30" s="217">
        <f t="shared" ref="AI30:AI39" si="32">IFERROR(S30/AH30,0)</f>
        <v>0</v>
      </c>
      <c r="AJ30" s="221"/>
      <c r="AK30" s="217">
        <f t="shared" ref="AK30:AK39" si="33">+D30*($C$7/12)</f>
        <v>0</v>
      </c>
      <c r="AL30" s="217">
        <f t="shared" ref="AL30:AL39" si="34">IFERROR(T30/AK30,0)</f>
        <v>0</v>
      </c>
      <c r="AM30" s="221"/>
      <c r="AN30" s="217">
        <f t="shared" ref="AN30:AN39" si="35">+E30*($C$7/12)</f>
        <v>0</v>
      </c>
      <c r="AO30" s="217">
        <f t="shared" ref="AO30:AO39" si="36">IFERROR(U30/AN30,0)</f>
        <v>0</v>
      </c>
      <c r="AP30" s="221"/>
      <c r="AQ30" s="217">
        <f t="shared" ref="AQ30:AQ39" si="37">+F30*($C$7/12)</f>
        <v>0</v>
      </c>
      <c r="AR30" s="217">
        <f t="shared" ref="AR30:AR39" si="38">IFERROR(V30/AQ30,0)</f>
        <v>0</v>
      </c>
      <c r="AS30" s="221"/>
      <c r="AT30" s="217">
        <f t="shared" ref="AT30:AT39" si="39">+G30*($C$7/12)</f>
        <v>0</v>
      </c>
      <c r="AU30" s="217">
        <f t="shared" ref="AU30:AU39" si="40">IFERROR(W30/AT30,0)</f>
        <v>0</v>
      </c>
      <c r="AV30" s="221"/>
      <c r="AW30" s="217">
        <f t="shared" ref="AW30:AW39" si="41">+H30*($C$7/12)</f>
        <v>0</v>
      </c>
      <c r="AX30" s="217">
        <f t="shared" ref="AX30:AX39" si="42">IFERROR(X30/AW30,0)</f>
        <v>0</v>
      </c>
      <c r="AY30" s="221"/>
      <c r="AZ30" s="217">
        <f t="shared" ref="AZ30:AZ39" si="43">+I30*($C$7/12)</f>
        <v>0</v>
      </c>
      <c r="BA30" s="217">
        <f t="shared" ref="BA30:BA39" si="44">IFERROR(Y30/AZ30,0)</f>
        <v>0</v>
      </c>
      <c r="BB30" s="221"/>
      <c r="BC30" s="217">
        <f t="shared" ref="BC30:BC39" si="45">+J30*($C$7/12)</f>
        <v>0</v>
      </c>
      <c r="BD30" s="217">
        <f>IFERROR(Z30/BC30,0)</f>
        <v>0</v>
      </c>
      <c r="BE30" s="221"/>
      <c r="BF30" s="217">
        <f t="shared" ref="BF30:BF39" si="46">+K30*($C$7/12)</f>
        <v>0</v>
      </c>
      <c r="BG30" s="217">
        <f t="shared" ref="BG30:BG39" si="47">IFERROR(AA30/BF30,0)</f>
        <v>0</v>
      </c>
      <c r="BH30" s="221"/>
      <c r="BI30" s="217">
        <f t="shared" ref="BI30:BI39" si="48">+L30*($C$7/12)</f>
        <v>0</v>
      </c>
      <c r="BJ30" s="217">
        <f t="shared" ref="BJ30:BJ39" si="49">IFERROR(AB30/BI30,0)</f>
        <v>0</v>
      </c>
    </row>
    <row r="31" spans="1:62" ht="15.65" hidden="1" customHeight="1" outlineLevel="1">
      <c r="A31" s="7" t="s">
        <v>1238</v>
      </c>
      <c r="B31" s="4" t="str">
        <f>+VLOOKUP(A31,Takstblad!$A$5:$B$30,2,FALSE)</f>
        <v/>
      </c>
      <c r="C31" s="285"/>
      <c r="D31" s="285"/>
      <c r="E31" s="285"/>
      <c r="F31" s="285"/>
      <c r="G31" s="285"/>
      <c r="H31" s="285"/>
      <c r="I31" s="286"/>
      <c r="J31" s="286"/>
      <c r="K31" s="286"/>
      <c r="L31" s="286"/>
      <c r="M31" s="47">
        <f t="shared" si="27"/>
        <v>0</v>
      </c>
      <c r="N31" s="285"/>
      <c r="O31" s="285" t="s">
        <v>113</v>
      </c>
      <c r="Q31" s="16"/>
      <c r="R31" s="21">
        <f t="shared" si="28"/>
        <v>0</v>
      </c>
      <c r="S31" s="25">
        <f>+IFERROR(IF(S$19=Takstblad!C$3,VLOOKUP($A31,takstblad,3,FALSE)*C31,"fejl i år"),0)</f>
        <v>0</v>
      </c>
      <c r="T31" s="25">
        <f>+IFERROR(IF(T$19=Takstblad!D$3,VLOOKUP($A31,takstblad,4,FALSE)*D31,"fejl i år"),0)</f>
        <v>0</v>
      </c>
      <c r="U31" s="25">
        <f>+IFERROR(IF(U$19=Takstblad!E$3,VLOOKUP($A31,takstblad,5,FALSE)*E31,"fejl i år"),0)</f>
        <v>0</v>
      </c>
      <c r="V31" s="25">
        <f>+IFERROR(IF(V$19=Takstblad!F$3,VLOOKUP($A31,takstblad,6,FALSE)*F31,"fejl i år"),0)</f>
        <v>0</v>
      </c>
      <c r="W31" s="25">
        <f>+IFERROR(IF(W$19=Takstblad!G$3,VLOOKUP($A31,takstblad,7,FALSE)*G31,"fejl i år"),0)</f>
        <v>0</v>
      </c>
      <c r="X31" s="25">
        <f>+IFERROR(IF(X$19=Takstblad!H$3,VLOOKUP($A31,takstblad,8,FALSE)*H31,"fejl i år"),0)</f>
        <v>0</v>
      </c>
      <c r="Y31" s="25">
        <f>+IFERROR(IF(Y$19=Takstblad!I$3,VLOOKUP($A31,takstblad,9,FALSE)*I31,"fejl i år"),0)</f>
        <v>0</v>
      </c>
      <c r="Z31" s="25">
        <f>+IFERROR(IF(Z$19=Takstblad!J$3,VLOOKUP($A31,takstblad,10,FALSE)*J31,"fejl i år"),0)</f>
        <v>0</v>
      </c>
      <c r="AA31" s="25">
        <f>+IFERROR(IF(AA$19=Takstblad!K$3,VLOOKUP($A31,takstblad,11,FALSE)*K31,"fejl i år"),0)</f>
        <v>0</v>
      </c>
      <c r="AB31" s="25">
        <f>+IFERROR(IF(AB$19=Takstblad!L$3,VLOOKUP($A31,takstblad,12,FALSE)*L31,"fejl i år"),0)</f>
        <v>0</v>
      </c>
      <c r="AC31" s="21">
        <f t="shared" si="7"/>
        <v>0</v>
      </c>
      <c r="AD31" s="221"/>
      <c r="AE31" s="25">
        <f t="shared" si="29"/>
        <v>0</v>
      </c>
      <c r="AF31" s="25">
        <f t="shared" si="30"/>
        <v>0</v>
      </c>
      <c r="AG31" s="221"/>
      <c r="AH31" s="25">
        <f t="shared" si="31"/>
        <v>0</v>
      </c>
      <c r="AI31" s="25">
        <f t="shared" si="32"/>
        <v>0</v>
      </c>
      <c r="AJ31" s="221"/>
      <c r="AK31" s="25">
        <f t="shared" si="33"/>
        <v>0</v>
      </c>
      <c r="AL31" s="25">
        <f t="shared" si="34"/>
        <v>0</v>
      </c>
      <c r="AM31" s="221"/>
      <c r="AN31" s="25">
        <f t="shared" si="35"/>
        <v>0</v>
      </c>
      <c r="AO31" s="25">
        <f t="shared" si="36"/>
        <v>0</v>
      </c>
      <c r="AP31" s="221"/>
      <c r="AQ31" s="25">
        <f t="shared" si="37"/>
        <v>0</v>
      </c>
      <c r="AR31" s="25">
        <f t="shared" si="38"/>
        <v>0</v>
      </c>
      <c r="AS31" s="221"/>
      <c r="AT31" s="25">
        <f t="shared" si="39"/>
        <v>0</v>
      </c>
      <c r="AU31" s="25">
        <f t="shared" si="40"/>
        <v>0</v>
      </c>
      <c r="AV31" s="221"/>
      <c r="AW31" s="25">
        <f t="shared" si="41"/>
        <v>0</v>
      </c>
      <c r="AX31" s="25">
        <f t="shared" si="42"/>
        <v>0</v>
      </c>
      <c r="AY31" s="221"/>
      <c r="AZ31" s="25">
        <f t="shared" si="43"/>
        <v>0</v>
      </c>
      <c r="BA31" s="25">
        <f t="shared" si="44"/>
        <v>0</v>
      </c>
      <c r="BB31" s="221"/>
      <c r="BC31" s="25">
        <f t="shared" si="45"/>
        <v>0</v>
      </c>
      <c r="BD31" s="25">
        <f t="shared" ref="BD31:BD39" si="50">IFERROR(Z31/BC31,0)</f>
        <v>0</v>
      </c>
      <c r="BE31" s="221"/>
      <c r="BF31" s="25">
        <f t="shared" si="46"/>
        <v>0</v>
      </c>
      <c r="BG31" s="25">
        <f t="shared" si="47"/>
        <v>0</v>
      </c>
      <c r="BH31" s="221"/>
      <c r="BI31" s="25">
        <f t="shared" si="48"/>
        <v>0</v>
      </c>
      <c r="BJ31" s="25">
        <f t="shared" si="49"/>
        <v>0</v>
      </c>
    </row>
    <row r="32" spans="1:62" ht="15.65" hidden="1" customHeight="1" outlineLevel="1">
      <c r="A32" s="212" t="s">
        <v>1238</v>
      </c>
      <c r="B32" s="4" t="str">
        <f>+VLOOKUP(A32,Takstblad!$A$5:$B$30,2,FALSE)</f>
        <v/>
      </c>
      <c r="C32" s="285"/>
      <c r="D32" s="285"/>
      <c r="E32" s="285"/>
      <c r="F32" s="285"/>
      <c r="G32" s="285"/>
      <c r="H32" s="285"/>
      <c r="I32" s="286"/>
      <c r="J32" s="286"/>
      <c r="K32" s="286"/>
      <c r="L32" s="286"/>
      <c r="M32" s="47">
        <f t="shared" si="27"/>
        <v>0</v>
      </c>
      <c r="N32" s="285"/>
      <c r="O32" s="285" t="s">
        <v>113</v>
      </c>
      <c r="P32" s="212"/>
      <c r="Q32" s="214"/>
      <c r="R32" s="216">
        <f t="shared" si="28"/>
        <v>0</v>
      </c>
      <c r="S32" s="215">
        <f>+IFERROR(IF(S$19=Takstblad!C$3,VLOOKUP($A32,takstblad,3,FALSE)*C32,"fejl i år"),0)</f>
        <v>0</v>
      </c>
      <c r="T32" s="215">
        <f>+IFERROR(IF(T$19=Takstblad!D$3,VLOOKUP($A32,takstblad,4,FALSE)*D32,"fejl i år"),0)</f>
        <v>0</v>
      </c>
      <c r="U32" s="215">
        <f>+IFERROR(IF(U$19=Takstblad!E$3,VLOOKUP($A32,takstblad,5,FALSE)*E32,"fejl i år"),0)</f>
        <v>0</v>
      </c>
      <c r="V32" s="215">
        <f>+IFERROR(IF(V$19=Takstblad!F$3,VLOOKUP($A32,takstblad,6,FALSE)*F32,"fejl i år"),0)</f>
        <v>0</v>
      </c>
      <c r="W32" s="215">
        <f>+IFERROR(IF(W$19=Takstblad!G$3,VLOOKUP($A32,takstblad,7,FALSE)*G32,"fejl i år"),0)</f>
        <v>0</v>
      </c>
      <c r="X32" s="215">
        <f>+IFERROR(IF(X$19=Takstblad!H$3,VLOOKUP($A32,takstblad,8,FALSE)*H32,"fejl i år"),0)</f>
        <v>0</v>
      </c>
      <c r="Y32" s="215">
        <f>+IFERROR(IF(Y$19=Takstblad!I$3,VLOOKUP($A32,takstblad,9,FALSE)*I32,"fejl i år"),0)</f>
        <v>0</v>
      </c>
      <c r="Z32" s="215">
        <f>+IFERROR(IF(Z$19=Takstblad!J$3,VLOOKUP($A32,takstblad,10,FALSE)*J32,"fejl i år"),0)</f>
        <v>0</v>
      </c>
      <c r="AA32" s="215">
        <f>+IFERROR(IF(AA$19=Takstblad!K$3,VLOOKUP($A32,takstblad,11,FALSE)*K32,"fejl i år"),0)</f>
        <v>0</v>
      </c>
      <c r="AB32" s="215">
        <f>+IFERROR(IF(AB$19=Takstblad!L$3,VLOOKUP($A32,takstblad,12,FALSE)*L32,"fejl i år"),0)</f>
        <v>0</v>
      </c>
      <c r="AC32" s="216">
        <f t="shared" si="7"/>
        <v>0</v>
      </c>
      <c r="AD32" s="221"/>
      <c r="AE32" s="217">
        <f t="shared" si="29"/>
        <v>0</v>
      </c>
      <c r="AF32" s="217">
        <f t="shared" si="30"/>
        <v>0</v>
      </c>
      <c r="AG32" s="221"/>
      <c r="AH32" s="217">
        <f t="shared" si="31"/>
        <v>0</v>
      </c>
      <c r="AI32" s="217">
        <f t="shared" si="32"/>
        <v>0</v>
      </c>
      <c r="AJ32" s="221"/>
      <c r="AK32" s="217">
        <f t="shared" si="33"/>
        <v>0</v>
      </c>
      <c r="AL32" s="217">
        <f t="shared" si="34"/>
        <v>0</v>
      </c>
      <c r="AM32" s="221"/>
      <c r="AN32" s="217">
        <f t="shared" si="35"/>
        <v>0</v>
      </c>
      <c r="AO32" s="217">
        <f t="shared" si="36"/>
        <v>0</v>
      </c>
      <c r="AP32" s="221"/>
      <c r="AQ32" s="217">
        <f t="shared" si="37"/>
        <v>0</v>
      </c>
      <c r="AR32" s="217">
        <f t="shared" si="38"/>
        <v>0</v>
      </c>
      <c r="AS32" s="221"/>
      <c r="AT32" s="217">
        <f t="shared" si="39"/>
        <v>0</v>
      </c>
      <c r="AU32" s="217">
        <f t="shared" si="40"/>
        <v>0</v>
      </c>
      <c r="AV32" s="221"/>
      <c r="AW32" s="217">
        <f t="shared" si="41"/>
        <v>0</v>
      </c>
      <c r="AX32" s="217">
        <f t="shared" si="42"/>
        <v>0</v>
      </c>
      <c r="AY32" s="221"/>
      <c r="AZ32" s="217">
        <f t="shared" si="43"/>
        <v>0</v>
      </c>
      <c r="BA32" s="217">
        <f t="shared" si="44"/>
        <v>0</v>
      </c>
      <c r="BB32" s="221"/>
      <c r="BC32" s="217">
        <f t="shared" si="45"/>
        <v>0</v>
      </c>
      <c r="BD32" s="217">
        <f t="shared" si="50"/>
        <v>0</v>
      </c>
      <c r="BE32" s="221"/>
      <c r="BF32" s="217">
        <f t="shared" si="46"/>
        <v>0</v>
      </c>
      <c r="BG32" s="217">
        <f t="shared" si="47"/>
        <v>0</v>
      </c>
      <c r="BH32" s="221"/>
      <c r="BI32" s="217">
        <f t="shared" si="48"/>
        <v>0</v>
      </c>
      <c r="BJ32" s="217">
        <f t="shared" si="49"/>
        <v>0</v>
      </c>
    </row>
    <row r="33" spans="1:62" ht="15.65" hidden="1" customHeight="1" outlineLevel="1">
      <c r="A33" s="7" t="s">
        <v>1238</v>
      </c>
      <c r="B33" s="4" t="str">
        <f>+VLOOKUP(A33,Takstblad!$A$5:$B$30,2,FALSE)</f>
        <v/>
      </c>
      <c r="C33" s="285"/>
      <c r="D33" s="285"/>
      <c r="E33" s="285"/>
      <c r="F33" s="285"/>
      <c r="G33" s="285"/>
      <c r="H33" s="285"/>
      <c r="I33" s="286"/>
      <c r="J33" s="286"/>
      <c r="K33" s="286"/>
      <c r="L33" s="286"/>
      <c r="M33" s="47">
        <f t="shared" si="27"/>
        <v>0</v>
      </c>
      <c r="N33" s="285"/>
      <c r="O33" s="285" t="s">
        <v>113</v>
      </c>
      <c r="Q33" s="16"/>
      <c r="R33" s="21">
        <f t="shared" si="28"/>
        <v>0</v>
      </c>
      <c r="S33" s="25">
        <f>+IFERROR(IF(S$19=Takstblad!C$3,VLOOKUP($A33,takstblad,3,FALSE)*C33,"fejl i år"),0)</f>
        <v>0</v>
      </c>
      <c r="T33" s="25">
        <f>+IFERROR(IF(T$19=Takstblad!D$3,VLOOKUP($A33,takstblad,4,FALSE)*D33,"fejl i år"),0)</f>
        <v>0</v>
      </c>
      <c r="U33" s="25">
        <f>+IFERROR(IF(U$19=Takstblad!E$3,VLOOKUP($A33,takstblad,5,FALSE)*E33,"fejl i år"),0)</f>
        <v>0</v>
      </c>
      <c r="V33" s="25">
        <f>+IFERROR(IF(V$19=Takstblad!F$3,VLOOKUP($A33,takstblad,6,FALSE)*F33,"fejl i år"),0)</f>
        <v>0</v>
      </c>
      <c r="W33" s="25">
        <f>+IFERROR(IF(W$19=Takstblad!G$3,VLOOKUP($A33,takstblad,7,FALSE)*G33,"fejl i år"),0)</f>
        <v>0</v>
      </c>
      <c r="X33" s="25">
        <f>+IFERROR(IF(X$19=Takstblad!H$3,VLOOKUP($A33,takstblad,8,FALSE)*H33,"fejl i år"),0)</f>
        <v>0</v>
      </c>
      <c r="Y33" s="25">
        <f>+IFERROR(IF(Y$19=Takstblad!I$3,VLOOKUP($A33,takstblad,9,FALSE)*I33,"fejl i år"),0)</f>
        <v>0</v>
      </c>
      <c r="Z33" s="25">
        <f>+IFERROR(IF(Z$19=Takstblad!J$3,VLOOKUP($A33,takstblad,10,FALSE)*J33,"fejl i år"),0)</f>
        <v>0</v>
      </c>
      <c r="AA33" s="25">
        <f>+IFERROR(IF(AA$19=Takstblad!K$3,VLOOKUP($A33,takstblad,11,FALSE)*K33,"fejl i år"),0)</f>
        <v>0</v>
      </c>
      <c r="AB33" s="25">
        <f>+IFERROR(IF(AB$19=Takstblad!L$3,VLOOKUP($A33,takstblad,12,FALSE)*L33,"fejl i år"),0)</f>
        <v>0</v>
      </c>
      <c r="AC33" s="21">
        <f t="shared" si="7"/>
        <v>0</v>
      </c>
      <c r="AD33" s="221"/>
      <c r="AE33" s="25">
        <f t="shared" si="29"/>
        <v>0</v>
      </c>
      <c r="AF33" s="25">
        <f t="shared" si="30"/>
        <v>0</v>
      </c>
      <c r="AG33" s="221"/>
      <c r="AH33" s="25">
        <f t="shared" si="31"/>
        <v>0</v>
      </c>
      <c r="AI33" s="25">
        <f t="shared" si="32"/>
        <v>0</v>
      </c>
      <c r="AJ33" s="221"/>
      <c r="AK33" s="25">
        <f t="shared" si="33"/>
        <v>0</v>
      </c>
      <c r="AL33" s="25">
        <f t="shared" si="34"/>
        <v>0</v>
      </c>
      <c r="AM33" s="221"/>
      <c r="AN33" s="25">
        <f t="shared" si="35"/>
        <v>0</v>
      </c>
      <c r="AO33" s="25">
        <f t="shared" si="36"/>
        <v>0</v>
      </c>
      <c r="AP33" s="221"/>
      <c r="AQ33" s="25">
        <f t="shared" si="37"/>
        <v>0</v>
      </c>
      <c r="AR33" s="25">
        <f t="shared" si="38"/>
        <v>0</v>
      </c>
      <c r="AS33" s="221"/>
      <c r="AT33" s="25">
        <f t="shared" si="39"/>
        <v>0</v>
      </c>
      <c r="AU33" s="25">
        <f t="shared" si="40"/>
        <v>0</v>
      </c>
      <c r="AV33" s="221"/>
      <c r="AW33" s="25">
        <f t="shared" si="41"/>
        <v>0</v>
      </c>
      <c r="AX33" s="25">
        <f t="shared" si="42"/>
        <v>0</v>
      </c>
      <c r="AY33" s="221"/>
      <c r="AZ33" s="25">
        <f t="shared" si="43"/>
        <v>0</v>
      </c>
      <c r="BA33" s="25">
        <f t="shared" si="44"/>
        <v>0</v>
      </c>
      <c r="BB33" s="221"/>
      <c r="BC33" s="25">
        <f t="shared" si="45"/>
        <v>0</v>
      </c>
      <c r="BD33" s="25">
        <f t="shared" si="50"/>
        <v>0</v>
      </c>
      <c r="BE33" s="221"/>
      <c r="BF33" s="25">
        <f t="shared" si="46"/>
        <v>0</v>
      </c>
      <c r="BG33" s="25">
        <f t="shared" si="47"/>
        <v>0</v>
      </c>
      <c r="BH33" s="221"/>
      <c r="BI33" s="25">
        <f t="shared" si="48"/>
        <v>0</v>
      </c>
      <c r="BJ33" s="25">
        <f t="shared" si="49"/>
        <v>0</v>
      </c>
    </row>
    <row r="34" spans="1:62" ht="15.65" hidden="1" customHeight="1" outlineLevel="1">
      <c r="A34" s="212" t="s">
        <v>1238</v>
      </c>
      <c r="B34" s="4" t="str">
        <f>+VLOOKUP(A34,Takstblad!$A$5:$B$30,2,FALSE)</f>
        <v/>
      </c>
      <c r="C34" s="285"/>
      <c r="D34" s="285"/>
      <c r="E34" s="285"/>
      <c r="F34" s="285"/>
      <c r="G34" s="285"/>
      <c r="H34" s="285"/>
      <c r="I34" s="286"/>
      <c r="J34" s="286"/>
      <c r="K34" s="286"/>
      <c r="L34" s="286"/>
      <c r="M34" s="47">
        <f>SUM(C34:L34)</f>
        <v>0</v>
      </c>
      <c r="N34" s="285"/>
      <c r="O34" s="285" t="s">
        <v>113</v>
      </c>
      <c r="P34" s="212"/>
      <c r="Q34" s="214"/>
      <c r="R34" s="216">
        <f t="shared" si="28"/>
        <v>0</v>
      </c>
      <c r="S34" s="215">
        <f>+IFERROR(IF(S$19=Takstblad!C$3,VLOOKUP($A34,takstblad,3,FALSE)*C34,"fejl i år"),0)</f>
        <v>0</v>
      </c>
      <c r="T34" s="215">
        <f>+IFERROR(IF(T$19=Takstblad!D$3,VLOOKUP($A34,takstblad,4,FALSE)*D34,"fejl i år"),0)</f>
        <v>0</v>
      </c>
      <c r="U34" s="215">
        <f>+IFERROR(IF(U$19=Takstblad!E$3,VLOOKUP($A34,takstblad,5,FALSE)*E34,"fejl i år"),0)</f>
        <v>0</v>
      </c>
      <c r="V34" s="215">
        <f>+IFERROR(IF(V$19=Takstblad!F$3,VLOOKUP($A34,takstblad,6,FALSE)*F34,"fejl i år"),0)</f>
        <v>0</v>
      </c>
      <c r="W34" s="215">
        <f>+IFERROR(IF(W$19=Takstblad!G$3,VLOOKUP($A34,takstblad,7,FALSE)*G34,"fejl i år"),0)</f>
        <v>0</v>
      </c>
      <c r="X34" s="215">
        <f>+IFERROR(IF(X$19=Takstblad!H$3,VLOOKUP($A34,takstblad,8,FALSE)*H34,"fejl i år"),0)</f>
        <v>0</v>
      </c>
      <c r="Y34" s="215">
        <f>+IFERROR(IF(Y$19=Takstblad!I$3,VLOOKUP($A34,takstblad,9,FALSE)*I34,"fejl i år"),0)</f>
        <v>0</v>
      </c>
      <c r="Z34" s="215">
        <f>+IFERROR(IF(Z$19=Takstblad!J$3,VLOOKUP($A34,takstblad,10,FALSE)*J34,"fejl i år"),0)</f>
        <v>0</v>
      </c>
      <c r="AA34" s="215">
        <f>+IFERROR(IF(AA$19=Takstblad!K$3,VLOOKUP($A34,takstblad,11,FALSE)*K34,"fejl i år"),0)</f>
        <v>0</v>
      </c>
      <c r="AB34" s="215">
        <f>+IFERROR(IF(AB$19=Takstblad!L$3,VLOOKUP($A34,takstblad,12,FALSE)*L34,"fejl i år"),0)</f>
        <v>0</v>
      </c>
      <c r="AC34" s="216">
        <f t="shared" si="7"/>
        <v>0</v>
      </c>
      <c r="AD34" s="221"/>
      <c r="AE34" s="217">
        <f t="shared" si="29"/>
        <v>0</v>
      </c>
      <c r="AF34" s="217">
        <f t="shared" si="30"/>
        <v>0</v>
      </c>
      <c r="AG34" s="221"/>
      <c r="AH34" s="217">
        <f t="shared" si="31"/>
        <v>0</v>
      </c>
      <c r="AI34" s="217">
        <f t="shared" si="32"/>
        <v>0</v>
      </c>
      <c r="AJ34" s="221"/>
      <c r="AK34" s="217">
        <f t="shared" si="33"/>
        <v>0</v>
      </c>
      <c r="AL34" s="217">
        <f t="shared" si="34"/>
        <v>0</v>
      </c>
      <c r="AM34" s="221"/>
      <c r="AN34" s="217">
        <f t="shared" si="35"/>
        <v>0</v>
      </c>
      <c r="AO34" s="217">
        <f t="shared" si="36"/>
        <v>0</v>
      </c>
      <c r="AP34" s="221"/>
      <c r="AQ34" s="217">
        <f t="shared" si="37"/>
        <v>0</v>
      </c>
      <c r="AR34" s="217">
        <f t="shared" si="38"/>
        <v>0</v>
      </c>
      <c r="AS34" s="221"/>
      <c r="AT34" s="217">
        <f t="shared" si="39"/>
        <v>0</v>
      </c>
      <c r="AU34" s="217">
        <f t="shared" si="40"/>
        <v>0</v>
      </c>
      <c r="AV34" s="221"/>
      <c r="AW34" s="217">
        <f t="shared" si="41"/>
        <v>0</v>
      </c>
      <c r="AX34" s="217">
        <f t="shared" si="42"/>
        <v>0</v>
      </c>
      <c r="AY34" s="221"/>
      <c r="AZ34" s="217">
        <f t="shared" si="43"/>
        <v>0</v>
      </c>
      <c r="BA34" s="217">
        <f t="shared" si="44"/>
        <v>0</v>
      </c>
      <c r="BB34" s="221"/>
      <c r="BC34" s="217">
        <f t="shared" si="45"/>
        <v>0</v>
      </c>
      <c r="BD34" s="217">
        <f t="shared" si="50"/>
        <v>0</v>
      </c>
      <c r="BE34" s="221"/>
      <c r="BF34" s="217">
        <f t="shared" si="46"/>
        <v>0</v>
      </c>
      <c r="BG34" s="217">
        <f t="shared" si="47"/>
        <v>0</v>
      </c>
      <c r="BH34" s="221"/>
      <c r="BI34" s="217">
        <f t="shared" si="48"/>
        <v>0</v>
      </c>
      <c r="BJ34" s="217">
        <f t="shared" si="49"/>
        <v>0</v>
      </c>
    </row>
    <row r="35" spans="1:62" ht="15.65" hidden="1" customHeight="1" outlineLevel="1">
      <c r="A35" s="7" t="s">
        <v>1238</v>
      </c>
      <c r="B35" s="4" t="str">
        <f>+VLOOKUP(A35,Takstblad!$A$5:$B$30,2,FALSE)</f>
        <v/>
      </c>
      <c r="C35" s="285"/>
      <c r="D35" s="285"/>
      <c r="E35" s="285"/>
      <c r="F35" s="285"/>
      <c r="G35" s="285"/>
      <c r="H35" s="285"/>
      <c r="I35" s="286"/>
      <c r="J35" s="286"/>
      <c r="K35" s="286"/>
      <c r="L35" s="286"/>
      <c r="M35" s="47">
        <f t="shared" si="27"/>
        <v>0</v>
      </c>
      <c r="N35" s="285"/>
      <c r="O35" s="285" t="s">
        <v>113</v>
      </c>
      <c r="Q35" s="16"/>
      <c r="R35" s="21">
        <f t="shared" si="28"/>
        <v>0</v>
      </c>
      <c r="S35" s="25">
        <f>+IFERROR(IF(S$19=Takstblad!C$3,VLOOKUP($A35,takstblad,3,FALSE)*C35,"fejl i år"),0)</f>
        <v>0</v>
      </c>
      <c r="T35" s="25">
        <f>+IFERROR(IF(T$19=Takstblad!D$3,VLOOKUP($A35,takstblad,4,FALSE)*D35,"fejl i år"),0)</f>
        <v>0</v>
      </c>
      <c r="U35" s="25">
        <f>+IFERROR(IF(U$19=Takstblad!E$3,VLOOKUP($A35,takstblad,5,FALSE)*E35,"fejl i år"),0)</f>
        <v>0</v>
      </c>
      <c r="V35" s="25">
        <f>+IFERROR(IF(V$19=Takstblad!F$3,VLOOKUP($A35,takstblad,6,FALSE)*F35,"fejl i år"),0)</f>
        <v>0</v>
      </c>
      <c r="W35" s="25">
        <f>+IFERROR(IF(W$19=Takstblad!G$3,VLOOKUP($A35,takstblad,7,FALSE)*G35,"fejl i år"),0)</f>
        <v>0</v>
      </c>
      <c r="X35" s="25">
        <f>+IFERROR(IF(X$19=Takstblad!H$3,VLOOKUP($A35,takstblad,8,FALSE)*H35,"fejl i år"),0)</f>
        <v>0</v>
      </c>
      <c r="Y35" s="25">
        <f>+IFERROR(IF(Y$19=Takstblad!I$3,VLOOKUP($A35,takstblad,9,FALSE)*I35,"fejl i år"),0)</f>
        <v>0</v>
      </c>
      <c r="Z35" s="25">
        <f>+IFERROR(IF(Z$19=Takstblad!J$3,VLOOKUP($A35,takstblad,10,FALSE)*J35,"fejl i år"),0)</f>
        <v>0</v>
      </c>
      <c r="AA35" s="25">
        <f>+IFERROR(IF(AA$19=Takstblad!K$3,VLOOKUP($A35,takstblad,11,FALSE)*K35,"fejl i år"),0)</f>
        <v>0</v>
      </c>
      <c r="AB35" s="25">
        <f>+IFERROR(IF(AB$19=Takstblad!L$3,VLOOKUP($A35,takstblad,12,FALSE)*L35,"fejl i år"),0)</f>
        <v>0</v>
      </c>
      <c r="AC35" s="21">
        <f t="shared" si="7"/>
        <v>0</v>
      </c>
      <c r="AD35" s="221"/>
      <c r="AE35" s="25">
        <f t="shared" si="29"/>
        <v>0</v>
      </c>
      <c r="AF35" s="25">
        <f t="shared" si="30"/>
        <v>0</v>
      </c>
      <c r="AG35" s="221"/>
      <c r="AH35" s="25">
        <f t="shared" si="31"/>
        <v>0</v>
      </c>
      <c r="AI35" s="25">
        <f t="shared" si="32"/>
        <v>0</v>
      </c>
      <c r="AJ35" s="221"/>
      <c r="AK35" s="25">
        <f t="shared" si="33"/>
        <v>0</v>
      </c>
      <c r="AL35" s="25">
        <f t="shared" si="34"/>
        <v>0</v>
      </c>
      <c r="AM35" s="221"/>
      <c r="AN35" s="25">
        <f t="shared" si="35"/>
        <v>0</v>
      </c>
      <c r="AO35" s="25">
        <f t="shared" si="36"/>
        <v>0</v>
      </c>
      <c r="AP35" s="221"/>
      <c r="AQ35" s="25">
        <f t="shared" si="37"/>
        <v>0</v>
      </c>
      <c r="AR35" s="25">
        <f t="shared" si="38"/>
        <v>0</v>
      </c>
      <c r="AS35" s="221"/>
      <c r="AT35" s="25">
        <f t="shared" si="39"/>
        <v>0</v>
      </c>
      <c r="AU35" s="25">
        <f t="shared" si="40"/>
        <v>0</v>
      </c>
      <c r="AV35" s="221"/>
      <c r="AW35" s="25">
        <f t="shared" si="41"/>
        <v>0</v>
      </c>
      <c r="AX35" s="25">
        <f t="shared" si="42"/>
        <v>0</v>
      </c>
      <c r="AY35" s="221"/>
      <c r="AZ35" s="25">
        <f t="shared" si="43"/>
        <v>0</v>
      </c>
      <c r="BA35" s="25">
        <f t="shared" si="44"/>
        <v>0</v>
      </c>
      <c r="BB35" s="221"/>
      <c r="BC35" s="25">
        <f t="shared" si="45"/>
        <v>0</v>
      </c>
      <c r="BD35" s="25">
        <f t="shared" si="50"/>
        <v>0</v>
      </c>
      <c r="BE35" s="221"/>
      <c r="BF35" s="25">
        <f t="shared" si="46"/>
        <v>0</v>
      </c>
      <c r="BG35" s="25">
        <f t="shared" si="47"/>
        <v>0</v>
      </c>
      <c r="BH35" s="221"/>
      <c r="BI35" s="25">
        <f t="shared" si="48"/>
        <v>0</v>
      </c>
      <c r="BJ35" s="25">
        <f t="shared" si="49"/>
        <v>0</v>
      </c>
    </row>
    <row r="36" spans="1:62" ht="15.65" hidden="1" customHeight="1" outlineLevel="1">
      <c r="A36" s="212" t="s">
        <v>1238</v>
      </c>
      <c r="B36" s="4" t="str">
        <f>+VLOOKUP(A36,Takstblad!$A$5:$B$30,2,FALSE)</f>
        <v/>
      </c>
      <c r="C36" s="285"/>
      <c r="D36" s="285"/>
      <c r="E36" s="285"/>
      <c r="F36" s="285"/>
      <c r="G36" s="285"/>
      <c r="H36" s="285"/>
      <c r="I36" s="286"/>
      <c r="J36" s="286"/>
      <c r="K36" s="286"/>
      <c r="L36" s="286"/>
      <c r="M36" s="47">
        <f t="shared" si="27"/>
        <v>0</v>
      </c>
      <c r="N36" s="285"/>
      <c r="O36" s="285" t="s">
        <v>113</v>
      </c>
      <c r="P36" s="212"/>
      <c r="Q36" s="214"/>
      <c r="R36" s="216">
        <f t="shared" si="28"/>
        <v>0</v>
      </c>
      <c r="S36" s="215">
        <f>+IFERROR(IF(S$19=Takstblad!C$3,VLOOKUP($A36,takstblad,3,FALSE)*C36,"fejl i år"),0)</f>
        <v>0</v>
      </c>
      <c r="T36" s="215">
        <f>+IFERROR(IF(T$19=Takstblad!D$3,VLOOKUP($A36,takstblad,4,FALSE)*D36,"fejl i år"),0)</f>
        <v>0</v>
      </c>
      <c r="U36" s="215">
        <f>+IFERROR(IF(U$19=Takstblad!E$3,VLOOKUP($A36,takstblad,5,FALSE)*E36,"fejl i år"),0)</f>
        <v>0</v>
      </c>
      <c r="V36" s="215">
        <f>+IFERROR(IF(V$19=Takstblad!F$3,VLOOKUP($A36,takstblad,6,FALSE)*F36,"fejl i år"),0)</f>
        <v>0</v>
      </c>
      <c r="W36" s="215">
        <f>+IFERROR(IF(W$19=Takstblad!G$3,VLOOKUP($A36,takstblad,7,FALSE)*G36,"fejl i år"),0)</f>
        <v>0</v>
      </c>
      <c r="X36" s="215">
        <f>+IFERROR(IF(X$19=Takstblad!H$3,VLOOKUP($A36,takstblad,8,FALSE)*H36,"fejl i år"),0)</f>
        <v>0</v>
      </c>
      <c r="Y36" s="215">
        <f>+IFERROR(IF(Y$19=Takstblad!I$3,VLOOKUP($A36,takstblad,9,FALSE)*I36,"fejl i år"),0)</f>
        <v>0</v>
      </c>
      <c r="Z36" s="215">
        <f>+IFERROR(IF(Z$19=Takstblad!J$3,VLOOKUP($A36,takstblad,10,FALSE)*J36,"fejl i år"),0)</f>
        <v>0</v>
      </c>
      <c r="AA36" s="215">
        <f>+IFERROR(IF(AA$19=Takstblad!K$3,VLOOKUP($A36,takstblad,11,FALSE)*K36,"fejl i år"),0)</f>
        <v>0</v>
      </c>
      <c r="AB36" s="215">
        <f>+IFERROR(IF(AB$19=Takstblad!L$3,VLOOKUP($A36,takstblad,12,FALSE)*L36,"fejl i år"),0)</f>
        <v>0</v>
      </c>
      <c r="AC36" s="216">
        <f t="shared" si="7"/>
        <v>0</v>
      </c>
      <c r="AD36" s="221"/>
      <c r="AE36" s="217">
        <f t="shared" si="29"/>
        <v>0</v>
      </c>
      <c r="AF36" s="217">
        <f t="shared" si="30"/>
        <v>0</v>
      </c>
      <c r="AG36" s="221"/>
      <c r="AH36" s="217">
        <f t="shared" si="31"/>
        <v>0</v>
      </c>
      <c r="AI36" s="217">
        <f t="shared" si="32"/>
        <v>0</v>
      </c>
      <c r="AJ36" s="221"/>
      <c r="AK36" s="217">
        <f t="shared" si="33"/>
        <v>0</v>
      </c>
      <c r="AL36" s="217">
        <f t="shared" si="34"/>
        <v>0</v>
      </c>
      <c r="AM36" s="221"/>
      <c r="AN36" s="217">
        <f t="shared" si="35"/>
        <v>0</v>
      </c>
      <c r="AO36" s="217">
        <f t="shared" si="36"/>
        <v>0</v>
      </c>
      <c r="AP36" s="221"/>
      <c r="AQ36" s="217">
        <f t="shared" si="37"/>
        <v>0</v>
      </c>
      <c r="AR36" s="217">
        <f t="shared" si="38"/>
        <v>0</v>
      </c>
      <c r="AS36" s="221"/>
      <c r="AT36" s="217">
        <f t="shared" si="39"/>
        <v>0</v>
      </c>
      <c r="AU36" s="217">
        <f t="shared" si="40"/>
        <v>0</v>
      </c>
      <c r="AV36" s="221"/>
      <c r="AW36" s="217">
        <f t="shared" si="41"/>
        <v>0</v>
      </c>
      <c r="AX36" s="217">
        <f t="shared" si="42"/>
        <v>0</v>
      </c>
      <c r="AY36" s="221"/>
      <c r="AZ36" s="217">
        <f t="shared" si="43"/>
        <v>0</v>
      </c>
      <c r="BA36" s="217">
        <f t="shared" si="44"/>
        <v>0</v>
      </c>
      <c r="BB36" s="221"/>
      <c r="BC36" s="217">
        <f t="shared" si="45"/>
        <v>0</v>
      </c>
      <c r="BD36" s="217">
        <f t="shared" si="50"/>
        <v>0</v>
      </c>
      <c r="BE36" s="221"/>
      <c r="BF36" s="217">
        <f t="shared" si="46"/>
        <v>0</v>
      </c>
      <c r="BG36" s="217">
        <f t="shared" si="47"/>
        <v>0</v>
      </c>
      <c r="BH36" s="221"/>
      <c r="BI36" s="217">
        <f t="shared" si="48"/>
        <v>0</v>
      </c>
      <c r="BJ36" s="217">
        <f t="shared" si="49"/>
        <v>0</v>
      </c>
    </row>
    <row r="37" spans="1:62" ht="15.65" hidden="1" customHeight="1" outlineLevel="1">
      <c r="A37" s="7" t="s">
        <v>1238</v>
      </c>
      <c r="B37" s="4" t="str">
        <f>+VLOOKUP(A37,Takstblad!$A$5:$B$30,2,FALSE)</f>
        <v/>
      </c>
      <c r="C37" s="285"/>
      <c r="D37" s="285"/>
      <c r="E37" s="285"/>
      <c r="F37" s="285"/>
      <c r="G37" s="285"/>
      <c r="H37" s="285"/>
      <c r="I37" s="286"/>
      <c r="J37" s="286"/>
      <c r="K37" s="286"/>
      <c r="L37" s="286"/>
      <c r="M37" s="47">
        <f t="shared" si="27"/>
        <v>0</v>
      </c>
      <c r="N37" s="285"/>
      <c r="O37" s="285" t="s">
        <v>113</v>
      </c>
      <c r="Q37" s="16"/>
      <c r="R37" s="21">
        <f t="shared" si="28"/>
        <v>0</v>
      </c>
      <c r="S37" s="25">
        <f>+IFERROR(IF(S$19=Takstblad!C$3,VLOOKUP($A37,takstblad,3,FALSE)*C37,"fejl i år"),0)</f>
        <v>0</v>
      </c>
      <c r="T37" s="25">
        <f>+IFERROR(IF(T$19=Takstblad!D$3,VLOOKUP($A37,takstblad,4,FALSE)*D37,"fejl i år"),0)</f>
        <v>0</v>
      </c>
      <c r="U37" s="25">
        <f>+IFERROR(IF(U$19=Takstblad!E$3,VLOOKUP($A37,takstblad,5,FALSE)*E37,"fejl i år"),0)</f>
        <v>0</v>
      </c>
      <c r="V37" s="25">
        <f>+IFERROR(IF(V$19=Takstblad!F$3,VLOOKUP($A37,takstblad,6,FALSE)*F37,"fejl i år"),0)</f>
        <v>0</v>
      </c>
      <c r="W37" s="25">
        <f>+IFERROR(IF(W$19=Takstblad!G$3,VLOOKUP($A37,takstblad,7,FALSE)*G37,"fejl i år"),0)</f>
        <v>0</v>
      </c>
      <c r="X37" s="25">
        <f>+IFERROR(IF(X$19=Takstblad!H$3,VLOOKUP($A37,takstblad,8,FALSE)*H37,"fejl i år"),0)</f>
        <v>0</v>
      </c>
      <c r="Y37" s="25">
        <f>+IFERROR(IF(Y$19=Takstblad!I$3,VLOOKUP($A37,takstblad,9,FALSE)*I37,"fejl i år"),0)</f>
        <v>0</v>
      </c>
      <c r="Z37" s="25">
        <f>+IFERROR(IF(Z$19=Takstblad!J$3,VLOOKUP($A37,takstblad,10,FALSE)*J37,"fejl i år"),0)</f>
        <v>0</v>
      </c>
      <c r="AA37" s="25">
        <f>+IFERROR(IF(AA$19=Takstblad!K$3,VLOOKUP($A37,takstblad,11,FALSE)*K37,"fejl i år"),0)</f>
        <v>0</v>
      </c>
      <c r="AB37" s="25">
        <f>+IFERROR(IF(AB$19=Takstblad!L$3,VLOOKUP($A37,takstblad,12,FALSE)*L37,"fejl i år"),0)</f>
        <v>0</v>
      </c>
      <c r="AC37" s="21">
        <f t="shared" si="7"/>
        <v>0</v>
      </c>
      <c r="AD37" s="221"/>
      <c r="AE37" s="25">
        <f t="shared" si="29"/>
        <v>0</v>
      </c>
      <c r="AF37" s="25">
        <f t="shared" si="30"/>
        <v>0</v>
      </c>
      <c r="AG37" s="221"/>
      <c r="AH37" s="25">
        <f t="shared" si="31"/>
        <v>0</v>
      </c>
      <c r="AI37" s="25">
        <f t="shared" si="32"/>
        <v>0</v>
      </c>
      <c r="AJ37" s="221"/>
      <c r="AK37" s="25">
        <f t="shared" si="33"/>
        <v>0</v>
      </c>
      <c r="AL37" s="25">
        <f t="shared" si="34"/>
        <v>0</v>
      </c>
      <c r="AM37" s="221"/>
      <c r="AN37" s="25">
        <f t="shared" si="35"/>
        <v>0</v>
      </c>
      <c r="AO37" s="25">
        <f t="shared" si="36"/>
        <v>0</v>
      </c>
      <c r="AP37" s="221"/>
      <c r="AQ37" s="25">
        <f t="shared" si="37"/>
        <v>0</v>
      </c>
      <c r="AR37" s="25">
        <f t="shared" si="38"/>
        <v>0</v>
      </c>
      <c r="AS37" s="221"/>
      <c r="AT37" s="25">
        <f t="shared" si="39"/>
        <v>0</v>
      </c>
      <c r="AU37" s="25">
        <f t="shared" si="40"/>
        <v>0</v>
      </c>
      <c r="AV37" s="221"/>
      <c r="AW37" s="25">
        <f t="shared" si="41"/>
        <v>0</v>
      </c>
      <c r="AX37" s="25">
        <f t="shared" si="42"/>
        <v>0</v>
      </c>
      <c r="AY37" s="221"/>
      <c r="AZ37" s="25">
        <f t="shared" si="43"/>
        <v>0</v>
      </c>
      <c r="BA37" s="25">
        <f t="shared" si="44"/>
        <v>0</v>
      </c>
      <c r="BB37" s="221"/>
      <c r="BC37" s="25">
        <f t="shared" si="45"/>
        <v>0</v>
      </c>
      <c r="BD37" s="25">
        <f t="shared" si="50"/>
        <v>0</v>
      </c>
      <c r="BE37" s="221"/>
      <c r="BF37" s="25">
        <f t="shared" si="46"/>
        <v>0</v>
      </c>
      <c r="BG37" s="25">
        <f t="shared" si="47"/>
        <v>0</v>
      </c>
      <c r="BH37" s="221"/>
      <c r="BI37" s="25">
        <f t="shared" si="48"/>
        <v>0</v>
      </c>
      <c r="BJ37" s="25">
        <f t="shared" si="49"/>
        <v>0</v>
      </c>
    </row>
    <row r="38" spans="1:62" ht="15.65" hidden="1" customHeight="1" outlineLevel="1">
      <c r="A38" s="212" t="s">
        <v>1238</v>
      </c>
      <c r="B38" s="4" t="str">
        <f>+VLOOKUP(A38,Takstblad!$A$5:$B$30,2,FALSE)</f>
        <v/>
      </c>
      <c r="C38" s="285"/>
      <c r="D38" s="285"/>
      <c r="E38" s="285"/>
      <c r="F38" s="285"/>
      <c r="G38" s="285"/>
      <c r="H38" s="285"/>
      <c r="I38" s="286"/>
      <c r="J38" s="286"/>
      <c r="K38" s="286"/>
      <c r="L38" s="286"/>
      <c r="M38" s="47">
        <f t="shared" si="27"/>
        <v>0</v>
      </c>
      <c r="N38" s="285"/>
      <c r="O38" s="285" t="s">
        <v>113</v>
      </c>
      <c r="P38" s="212"/>
      <c r="Q38" s="214"/>
      <c r="R38" s="216">
        <f>+AC38</f>
        <v>0</v>
      </c>
      <c r="S38" s="215">
        <f>+IFERROR(IF(S$19=Takstblad!C$3,VLOOKUP($A38,takstblad,3,FALSE)*C38,"fejl i år"),0)</f>
        <v>0</v>
      </c>
      <c r="T38" s="215">
        <f>+IFERROR(IF(T$19=Takstblad!D$3,VLOOKUP($A38,takstblad,4,FALSE)*D38,"fejl i år"),0)</f>
        <v>0</v>
      </c>
      <c r="U38" s="215">
        <f>+IFERROR(IF(U$19=Takstblad!E$3,VLOOKUP($A38,takstblad,5,FALSE)*E38,"fejl i år"),0)</f>
        <v>0</v>
      </c>
      <c r="V38" s="215">
        <f>+IFERROR(IF(V$19=Takstblad!F$3,VLOOKUP($A38,takstblad,6,FALSE)*F38,"fejl i år"),0)</f>
        <v>0</v>
      </c>
      <c r="W38" s="215">
        <f>+IFERROR(IF(W$19=Takstblad!G$3,VLOOKUP($A38,takstblad,7,FALSE)*G38,"fejl i år"),0)</f>
        <v>0</v>
      </c>
      <c r="X38" s="215">
        <f>+IFERROR(IF(X$19=Takstblad!H$3,VLOOKUP($A38,takstblad,8,FALSE)*H38,"fejl i år"),0)</f>
        <v>0</v>
      </c>
      <c r="Y38" s="215">
        <f>+IFERROR(IF(Y$19=Takstblad!I$3,VLOOKUP($A38,takstblad,9,FALSE)*I38,"fejl i år"),0)</f>
        <v>0</v>
      </c>
      <c r="Z38" s="215">
        <f>+IFERROR(IF(Z$19=Takstblad!J$3,VLOOKUP($A38,takstblad,10,FALSE)*J38,"fejl i år"),0)</f>
        <v>0</v>
      </c>
      <c r="AA38" s="215">
        <f>+IFERROR(IF(AA$19=Takstblad!K$3,VLOOKUP($A38,takstblad,11,FALSE)*K38,"fejl i år"),0)</f>
        <v>0</v>
      </c>
      <c r="AB38" s="215">
        <f>+IFERROR(IF(AB$19=Takstblad!L$3,VLOOKUP($A38,takstblad,12,FALSE)*L38,"fejl i år"),0)</f>
        <v>0</v>
      </c>
      <c r="AC38" s="216">
        <f t="shared" si="7"/>
        <v>0</v>
      </c>
      <c r="AD38" s="221"/>
      <c r="AE38" s="217">
        <f t="shared" si="29"/>
        <v>0</v>
      </c>
      <c r="AF38" s="217">
        <f t="shared" si="30"/>
        <v>0</v>
      </c>
      <c r="AG38" s="221"/>
      <c r="AH38" s="217">
        <f t="shared" si="31"/>
        <v>0</v>
      </c>
      <c r="AI38" s="217">
        <f t="shared" si="32"/>
        <v>0</v>
      </c>
      <c r="AJ38" s="221"/>
      <c r="AK38" s="217">
        <f t="shared" si="33"/>
        <v>0</v>
      </c>
      <c r="AL38" s="217">
        <f t="shared" si="34"/>
        <v>0</v>
      </c>
      <c r="AM38" s="221"/>
      <c r="AN38" s="217">
        <f t="shared" si="35"/>
        <v>0</v>
      </c>
      <c r="AO38" s="217">
        <f t="shared" si="36"/>
        <v>0</v>
      </c>
      <c r="AP38" s="221"/>
      <c r="AQ38" s="217">
        <f t="shared" si="37"/>
        <v>0</v>
      </c>
      <c r="AR38" s="217">
        <f t="shared" si="38"/>
        <v>0</v>
      </c>
      <c r="AS38" s="221"/>
      <c r="AT38" s="217">
        <f t="shared" si="39"/>
        <v>0</v>
      </c>
      <c r="AU38" s="217">
        <f t="shared" si="40"/>
        <v>0</v>
      </c>
      <c r="AV38" s="221"/>
      <c r="AW38" s="217">
        <f t="shared" si="41"/>
        <v>0</v>
      </c>
      <c r="AX38" s="217">
        <f t="shared" si="42"/>
        <v>0</v>
      </c>
      <c r="AY38" s="221"/>
      <c r="AZ38" s="217">
        <f t="shared" si="43"/>
        <v>0</v>
      </c>
      <c r="BA38" s="217">
        <f t="shared" si="44"/>
        <v>0</v>
      </c>
      <c r="BB38" s="221"/>
      <c r="BC38" s="217">
        <f t="shared" si="45"/>
        <v>0</v>
      </c>
      <c r="BD38" s="217">
        <f t="shared" si="50"/>
        <v>0</v>
      </c>
      <c r="BE38" s="221"/>
      <c r="BF38" s="217">
        <f t="shared" si="46"/>
        <v>0</v>
      </c>
      <c r="BG38" s="217">
        <f t="shared" si="47"/>
        <v>0</v>
      </c>
      <c r="BH38" s="221"/>
      <c r="BI38" s="217">
        <f t="shared" si="48"/>
        <v>0</v>
      </c>
      <c r="BJ38" s="217">
        <f t="shared" si="49"/>
        <v>0</v>
      </c>
    </row>
    <row r="39" spans="1:62" ht="15.65" hidden="1" customHeight="1" outlineLevel="1" thickBot="1">
      <c r="A39" s="7" t="s">
        <v>1238</v>
      </c>
      <c r="B39" s="4" t="str">
        <f>+VLOOKUP(A39,Takstblad!$A$5:$B$30,2,FALSE)</f>
        <v/>
      </c>
      <c r="C39" s="285"/>
      <c r="D39" s="285"/>
      <c r="E39" s="285"/>
      <c r="F39" s="285"/>
      <c r="G39" s="285"/>
      <c r="H39" s="285"/>
      <c r="I39" s="286"/>
      <c r="J39" s="286"/>
      <c r="K39" s="286"/>
      <c r="L39" s="286"/>
      <c r="M39" s="47">
        <f t="shared" si="27"/>
        <v>0</v>
      </c>
      <c r="N39" s="285"/>
      <c r="O39" s="285" t="s">
        <v>113</v>
      </c>
      <c r="Q39" s="16"/>
      <c r="R39" s="21">
        <f t="shared" si="28"/>
        <v>0</v>
      </c>
      <c r="S39" s="25">
        <f>+IFERROR(IF(S$19=Takstblad!C$3,VLOOKUP($A39,takstblad,3,FALSE)*C39,"fejl i år"),0)</f>
        <v>0</v>
      </c>
      <c r="T39" s="25">
        <f>+IFERROR(IF(T$19=Takstblad!D$3,VLOOKUP($A39,takstblad,4,FALSE)*D39,"fejl i år"),0)</f>
        <v>0</v>
      </c>
      <c r="U39" s="25">
        <f>+IFERROR(IF(U$19=Takstblad!E$3,VLOOKUP($A39,takstblad,5,FALSE)*E39,"fejl i år"),0)</f>
        <v>0</v>
      </c>
      <c r="V39" s="25">
        <f>+IFERROR(IF(V$19=Takstblad!F$3,VLOOKUP($A39,takstblad,6,FALSE)*F39,"fejl i år"),0)</f>
        <v>0</v>
      </c>
      <c r="W39" s="25">
        <f>+IFERROR(IF(W$19=Takstblad!G$3,VLOOKUP($A39,takstblad,7,FALSE)*G39,"fejl i år"),0)</f>
        <v>0</v>
      </c>
      <c r="X39" s="25">
        <f>+IFERROR(IF(X$19=Takstblad!H$3,VLOOKUP($A39,takstblad,8,FALSE)*H39,"fejl i år"),0)</f>
        <v>0</v>
      </c>
      <c r="Y39" s="25">
        <f>+IFERROR(IF(Y$19=Takstblad!I$3,VLOOKUP($A39,takstblad,9,FALSE)*I39,"fejl i år"),0)</f>
        <v>0</v>
      </c>
      <c r="Z39" s="25">
        <f>+IFERROR(IF(Z$19=Takstblad!J$3,VLOOKUP($A39,takstblad,10,FALSE)*J39,"fejl i år"),0)</f>
        <v>0</v>
      </c>
      <c r="AA39" s="25">
        <f>+IFERROR(IF(AA$19=Takstblad!K$3,VLOOKUP($A39,takstblad,11,FALSE)*K39,"fejl i år"),0)</f>
        <v>0</v>
      </c>
      <c r="AB39" s="25">
        <f>+IFERROR(IF(AB$19=Takstblad!L$3,VLOOKUP($A39,takstblad,12,FALSE)*L39,"fejl i år"),0)</f>
        <v>0</v>
      </c>
      <c r="AC39" s="21">
        <f t="shared" si="7"/>
        <v>0</v>
      </c>
      <c r="AD39" s="221"/>
      <c r="AE39" s="25">
        <f t="shared" si="29"/>
        <v>0</v>
      </c>
      <c r="AF39" s="25">
        <f t="shared" si="30"/>
        <v>0</v>
      </c>
      <c r="AG39" s="221"/>
      <c r="AH39" s="25">
        <f t="shared" si="31"/>
        <v>0</v>
      </c>
      <c r="AI39" s="25">
        <f t="shared" si="32"/>
        <v>0</v>
      </c>
      <c r="AJ39" s="221"/>
      <c r="AK39" s="25">
        <f t="shared" si="33"/>
        <v>0</v>
      </c>
      <c r="AL39" s="25">
        <f t="shared" si="34"/>
        <v>0</v>
      </c>
      <c r="AM39" s="221"/>
      <c r="AN39" s="25">
        <f t="shared" si="35"/>
        <v>0</v>
      </c>
      <c r="AO39" s="25">
        <f t="shared" si="36"/>
        <v>0</v>
      </c>
      <c r="AP39" s="221"/>
      <c r="AQ39" s="25">
        <f t="shared" si="37"/>
        <v>0</v>
      </c>
      <c r="AR39" s="25">
        <f t="shared" si="38"/>
        <v>0</v>
      </c>
      <c r="AS39" s="221"/>
      <c r="AT39" s="25">
        <f t="shared" si="39"/>
        <v>0</v>
      </c>
      <c r="AU39" s="25">
        <f t="shared" si="40"/>
        <v>0</v>
      </c>
      <c r="AV39" s="221"/>
      <c r="AW39" s="25">
        <f t="shared" si="41"/>
        <v>0</v>
      </c>
      <c r="AX39" s="25">
        <f t="shared" si="42"/>
        <v>0</v>
      </c>
      <c r="AY39" s="221"/>
      <c r="AZ39" s="25">
        <f t="shared" si="43"/>
        <v>0</v>
      </c>
      <c r="BA39" s="25">
        <f t="shared" si="44"/>
        <v>0</v>
      </c>
      <c r="BB39" s="221"/>
      <c r="BC39" s="25">
        <f t="shared" si="45"/>
        <v>0</v>
      </c>
      <c r="BD39" s="25">
        <f t="shared" si="50"/>
        <v>0</v>
      </c>
      <c r="BE39" s="221"/>
      <c r="BF39" s="25">
        <f t="shared" si="46"/>
        <v>0</v>
      </c>
      <c r="BG39" s="25">
        <f t="shared" si="47"/>
        <v>0</v>
      </c>
      <c r="BH39" s="221"/>
      <c r="BI39" s="25">
        <f t="shared" si="48"/>
        <v>0</v>
      </c>
      <c r="BJ39" s="25">
        <f t="shared" si="49"/>
        <v>0</v>
      </c>
    </row>
    <row r="40" spans="1:62" ht="15.65" customHeight="1" collapsed="1" thickBot="1">
      <c r="A40" s="4" t="s">
        <v>81</v>
      </c>
      <c r="B40" s="4"/>
      <c r="C40" s="49">
        <f t="shared" ref="C40:M40" si="51">SUM(C20:C39)</f>
        <v>0</v>
      </c>
      <c r="D40" s="49">
        <f t="shared" si="51"/>
        <v>0</v>
      </c>
      <c r="E40" s="49">
        <f t="shared" si="51"/>
        <v>0</v>
      </c>
      <c r="F40" s="49">
        <f t="shared" si="51"/>
        <v>0</v>
      </c>
      <c r="G40" s="49">
        <f t="shared" si="51"/>
        <v>0</v>
      </c>
      <c r="H40" s="49">
        <f t="shared" si="51"/>
        <v>0</v>
      </c>
      <c r="I40" s="64">
        <f t="shared" si="51"/>
        <v>0</v>
      </c>
      <c r="J40" s="64">
        <f t="shared" si="51"/>
        <v>0</v>
      </c>
      <c r="K40" s="64">
        <f t="shared" si="51"/>
        <v>0</v>
      </c>
      <c r="L40" s="64">
        <f t="shared" si="51"/>
        <v>0</v>
      </c>
      <c r="M40" s="50">
        <f t="shared" si="51"/>
        <v>0</v>
      </c>
      <c r="N40" s="50"/>
      <c r="O40" s="4"/>
      <c r="P40" s="4"/>
      <c r="Q40" s="23" t="s">
        <v>74</v>
      </c>
      <c r="R40" s="53">
        <f>+AC40</f>
        <v>0</v>
      </c>
      <c r="S40" s="51">
        <f>SUM(S20:S39)</f>
        <v>0</v>
      </c>
      <c r="T40" s="13">
        <f t="shared" ref="T40:AB40" si="52">SUM(T20:T39)</f>
        <v>0</v>
      </c>
      <c r="U40" s="52">
        <f t="shared" si="52"/>
        <v>0</v>
      </c>
      <c r="V40" s="13">
        <f t="shared" si="52"/>
        <v>0</v>
      </c>
      <c r="W40" s="52">
        <f t="shared" si="52"/>
        <v>0</v>
      </c>
      <c r="X40" s="13">
        <f t="shared" si="52"/>
        <v>0</v>
      </c>
      <c r="Y40" s="66">
        <f t="shared" si="52"/>
        <v>0</v>
      </c>
      <c r="Z40" s="66">
        <f t="shared" si="52"/>
        <v>0</v>
      </c>
      <c r="AA40" s="66">
        <f t="shared" si="52"/>
        <v>0</v>
      </c>
      <c r="AB40" s="66">
        <f t="shared" si="52"/>
        <v>0</v>
      </c>
      <c r="AC40" s="53">
        <f>SUM(S40:AB40)</f>
        <v>0</v>
      </c>
      <c r="AD40" s="221"/>
      <c r="AE40" s="13">
        <f>SUM(AE20:AE39)</f>
        <v>0</v>
      </c>
      <c r="AF40" s="10">
        <f>IFERROR(AC40/AE40,0)</f>
        <v>0</v>
      </c>
      <c r="AG40" s="221"/>
      <c r="AH40" s="13">
        <f>SUM(AH20:AH39)</f>
        <v>0</v>
      </c>
      <c r="AI40" s="10">
        <f>IFERROR(S40/AH40,0)</f>
        <v>0</v>
      </c>
      <c r="AJ40" s="222"/>
      <c r="AK40" s="13">
        <f>SUM(AK20:AK39)</f>
        <v>0</v>
      </c>
      <c r="AL40" s="10">
        <f t="shared" si="12"/>
        <v>0</v>
      </c>
      <c r="AM40" s="222"/>
      <c r="AN40" s="13">
        <f>SUM(AN20:AN39)</f>
        <v>0</v>
      </c>
      <c r="AO40" s="10">
        <f t="shared" si="14"/>
        <v>0</v>
      </c>
      <c r="AP40" s="221"/>
      <c r="AQ40" s="13">
        <f>SUM(AQ20:AQ39)</f>
        <v>0</v>
      </c>
      <c r="AR40" s="10">
        <f t="shared" si="16"/>
        <v>0</v>
      </c>
      <c r="AS40" s="221"/>
      <c r="AT40" s="13">
        <f>SUM(AT20:AT39)</f>
        <v>0</v>
      </c>
      <c r="AU40" s="10">
        <f t="shared" si="18"/>
        <v>0</v>
      </c>
      <c r="AV40" s="221"/>
      <c r="AW40" s="13">
        <f>SUM(AW20:AW39)</f>
        <v>0</v>
      </c>
      <c r="AX40" s="10">
        <f>IFERROR(X40/AW40,0)</f>
        <v>0</v>
      </c>
      <c r="AY40" s="221"/>
      <c r="AZ40" s="13">
        <f>SUM(AZ20:AZ39)</f>
        <v>0</v>
      </c>
      <c r="BA40" s="10">
        <f>IFERROR(Z40/AZ40,0)</f>
        <v>0</v>
      </c>
      <c r="BB40" s="221"/>
      <c r="BC40" s="13">
        <f>SUM(BC20:BC39)</f>
        <v>0</v>
      </c>
      <c r="BD40" s="10">
        <f>IFERROR(Z40/BC40,0)</f>
        <v>0</v>
      </c>
      <c r="BE40" s="221"/>
      <c r="BF40" s="13">
        <f>SUM(BF20:BF39)</f>
        <v>0</v>
      </c>
      <c r="BG40" s="10">
        <f>IFERROR(AC40/BF40,0)</f>
        <v>0</v>
      </c>
      <c r="BH40" s="221"/>
      <c r="BI40" s="13">
        <f>SUM(BI20:BI39)</f>
        <v>0</v>
      </c>
      <c r="BJ40" s="10">
        <f>IFERROR(AF40/BI40,0)</f>
        <v>0</v>
      </c>
    </row>
    <row r="41" spans="1:62" ht="15.65" customHeight="1">
      <c r="A41" s="4"/>
      <c r="B41" s="5"/>
      <c r="C41" s="5"/>
      <c r="D41" s="5"/>
      <c r="E41" s="5"/>
      <c r="F41" s="5"/>
      <c r="G41" s="5"/>
      <c r="H41" s="5"/>
      <c r="I41" s="5"/>
      <c r="J41" s="5"/>
      <c r="K41" s="5"/>
      <c r="L41" s="5"/>
      <c r="M41" s="5"/>
      <c r="N41" s="5"/>
      <c r="O41" s="5"/>
      <c r="P41" s="5"/>
      <c r="Q41" s="23"/>
      <c r="R41" s="5"/>
      <c r="S41" s="5"/>
      <c r="T41" s="5"/>
      <c r="U41" s="5"/>
      <c r="V41" s="5"/>
      <c r="W41" s="5"/>
      <c r="X41" s="5"/>
      <c r="Y41" s="5"/>
      <c r="Z41" s="5"/>
      <c r="AA41" s="5"/>
      <c r="AB41" s="5"/>
      <c r="AC41" s="5"/>
      <c r="AD41" s="221"/>
      <c r="AE41" s="5"/>
      <c r="AF41" s="5"/>
      <c r="AG41" s="221"/>
      <c r="AH41" s="5"/>
      <c r="AI41" s="5"/>
      <c r="AJ41" s="221"/>
      <c r="AK41" s="5"/>
      <c r="AL41" s="5"/>
      <c r="AM41" s="221"/>
      <c r="AN41" s="5"/>
      <c r="AO41" s="5"/>
      <c r="AP41" s="221"/>
      <c r="AQ41" s="5"/>
      <c r="AR41" s="5"/>
      <c r="AS41" s="221"/>
      <c r="AT41" s="5"/>
      <c r="AU41" s="5"/>
      <c r="AV41" s="221"/>
      <c r="AW41" s="5"/>
      <c r="AX41" s="5"/>
      <c r="AY41" s="221"/>
      <c r="AZ41" s="5"/>
      <c r="BA41" s="5"/>
      <c r="BB41" s="221"/>
      <c r="BC41" s="5"/>
      <c r="BD41" s="5"/>
      <c r="BE41" s="221"/>
      <c r="BF41" s="5"/>
      <c r="BG41" s="5"/>
      <c r="BH41" s="221"/>
      <c r="BI41" s="5"/>
      <c r="BJ41" s="5"/>
    </row>
    <row r="42" spans="1:62" s="9" customFormat="1" ht="15.65" customHeight="1">
      <c r="A42" s="4" t="s">
        <v>80</v>
      </c>
      <c r="B42" s="8"/>
      <c r="C42" s="8">
        <f t="shared" ref="C42:L42" si="53">+C19</f>
        <v>2026</v>
      </c>
      <c r="D42" s="8">
        <f t="shared" si="53"/>
        <v>2027</v>
      </c>
      <c r="E42" s="8">
        <f t="shared" si="53"/>
        <v>2028</v>
      </c>
      <c r="F42" s="8">
        <f t="shared" si="53"/>
        <v>2029</v>
      </c>
      <c r="G42" s="8">
        <f t="shared" si="53"/>
        <v>2030</v>
      </c>
      <c r="H42" s="8">
        <f t="shared" si="53"/>
        <v>2031</v>
      </c>
      <c r="I42" s="8">
        <f t="shared" si="53"/>
        <v>2032</v>
      </c>
      <c r="J42" s="8">
        <f t="shared" si="53"/>
        <v>2033</v>
      </c>
      <c r="K42" s="8">
        <f t="shared" si="53"/>
        <v>2034</v>
      </c>
      <c r="L42" s="8">
        <f t="shared" si="53"/>
        <v>2035</v>
      </c>
      <c r="M42" s="8" t="s">
        <v>34</v>
      </c>
      <c r="N42" s="8"/>
      <c r="O42" s="8"/>
      <c r="P42" s="8"/>
      <c r="Q42" s="23" t="s">
        <v>82</v>
      </c>
      <c r="R42" s="8" t="s">
        <v>34</v>
      </c>
      <c r="S42" s="8">
        <f t="shared" ref="S42:AB42" si="54">+C19</f>
        <v>2026</v>
      </c>
      <c r="T42" s="8">
        <f t="shared" si="54"/>
        <v>2027</v>
      </c>
      <c r="U42" s="8">
        <f t="shared" si="54"/>
        <v>2028</v>
      </c>
      <c r="V42" s="8">
        <f t="shared" si="54"/>
        <v>2029</v>
      </c>
      <c r="W42" s="8">
        <f t="shared" si="54"/>
        <v>2030</v>
      </c>
      <c r="X42" s="8">
        <f t="shared" si="54"/>
        <v>2031</v>
      </c>
      <c r="Y42" s="8">
        <f t="shared" si="54"/>
        <v>2032</v>
      </c>
      <c r="Z42" s="8">
        <f t="shared" si="54"/>
        <v>2033</v>
      </c>
      <c r="AA42" s="8">
        <f t="shared" si="54"/>
        <v>2034</v>
      </c>
      <c r="AB42" s="8">
        <f t="shared" si="54"/>
        <v>2035</v>
      </c>
      <c r="AC42" s="8" t="s">
        <v>34</v>
      </c>
      <c r="AD42" s="222"/>
      <c r="AE42" s="549" t="s">
        <v>34</v>
      </c>
      <c r="AF42" s="548"/>
      <c r="AG42" s="221"/>
      <c r="AH42" s="547">
        <f>+AH19</f>
        <v>2026</v>
      </c>
      <c r="AI42" s="548"/>
      <c r="AJ42" s="221"/>
      <c r="AK42" s="547">
        <f>+AK19</f>
        <v>2027</v>
      </c>
      <c r="AL42" s="548"/>
      <c r="AM42" s="221"/>
      <c r="AN42" s="547">
        <f>+AN19</f>
        <v>2028</v>
      </c>
      <c r="AO42" s="548"/>
      <c r="AP42" s="221"/>
      <c r="AQ42" s="547">
        <f>+AQ19</f>
        <v>2029</v>
      </c>
      <c r="AR42" s="548"/>
      <c r="AS42" s="221"/>
      <c r="AT42" s="547">
        <f>+AT19</f>
        <v>2030</v>
      </c>
      <c r="AU42" s="548"/>
      <c r="AV42" s="221"/>
      <c r="AW42" s="547">
        <f>+AW19</f>
        <v>2031</v>
      </c>
      <c r="AX42" s="548"/>
      <c r="AY42" s="221"/>
      <c r="AZ42" s="547">
        <f>+AZ19</f>
        <v>2032</v>
      </c>
      <c r="BA42" s="548"/>
      <c r="BB42" s="221"/>
      <c r="BC42" s="547">
        <f>+BC19</f>
        <v>2033</v>
      </c>
      <c r="BD42" s="548"/>
      <c r="BE42" s="221"/>
      <c r="BF42" s="547">
        <f>+BF19</f>
        <v>2034</v>
      </c>
      <c r="BG42" s="548"/>
      <c r="BH42" s="221"/>
      <c r="BI42" s="547">
        <f>+BI19</f>
        <v>2035</v>
      </c>
      <c r="BJ42" s="548"/>
    </row>
    <row r="43" spans="1:62" ht="15.65" customHeight="1">
      <c r="A43" s="212" t="s">
        <v>1238</v>
      </c>
      <c r="B43" s="213" t="str">
        <f>+VLOOKUP(A43,Takstblad!$A$33:$B$54,2,FALSE)</f>
        <v/>
      </c>
      <c r="C43" s="285"/>
      <c r="D43" s="285"/>
      <c r="E43" s="285"/>
      <c r="F43" s="285"/>
      <c r="G43" s="285"/>
      <c r="H43" s="285"/>
      <c r="I43" s="285"/>
      <c r="J43" s="285"/>
      <c r="K43" s="285"/>
      <c r="L43" s="285"/>
      <c r="M43" s="19">
        <f>SUM(C43:L43)</f>
        <v>0</v>
      </c>
      <c r="N43" s="285"/>
      <c r="O43" s="285" t="s">
        <v>113</v>
      </c>
      <c r="P43" s="212"/>
      <c r="Q43" s="218"/>
      <c r="R43" s="216">
        <f t="shared" ref="R43:R56" si="55">+AC43</f>
        <v>0</v>
      </c>
      <c r="S43" s="215">
        <f>+IFERROR(IF(S$19=Takstblad!C$3,VLOOKUP($A43,takstblad,3,FALSE)*C43,"fejl i år"),0)</f>
        <v>0</v>
      </c>
      <c r="T43" s="215">
        <f>+IFERROR(IF(T$19=Takstblad!D$3,VLOOKUP($A43,takstblad,4,FALSE)*D43,"fejl i år"),0)</f>
        <v>0</v>
      </c>
      <c r="U43" s="215">
        <f>+IFERROR(IF(U$19=Takstblad!E$3,VLOOKUP($A43,takstblad,5,FALSE)*E43,"fejl i år"),0)</f>
        <v>0</v>
      </c>
      <c r="V43" s="215">
        <f>+IFERROR(IF(V$19=Takstblad!F$3,VLOOKUP($A43,takstblad,6,FALSE)*F43,"fejl i år"),0)</f>
        <v>0</v>
      </c>
      <c r="W43" s="215">
        <f>+IFERROR(IF(W$19=Takstblad!G$3,VLOOKUP($A43,takstblad,7,FALSE)*G43,"fejl i år"),0)</f>
        <v>0</v>
      </c>
      <c r="X43" s="215">
        <f>+IFERROR(IF(X$19=Takstblad!H$3,VLOOKUP($A43,takstblad,8,FALSE)*H43,"fejl i år"),0)</f>
        <v>0</v>
      </c>
      <c r="Y43" s="215">
        <f>+IFERROR(IF(Y$19=Takstblad!I$3,VLOOKUP($A43,takstblad,9,FALSE)*I43,"fejl i år"),0)</f>
        <v>0</v>
      </c>
      <c r="Z43" s="215">
        <f>+IFERROR(IF(Z$19=Takstblad!J$3,VLOOKUP($A43,takstblad,10,FALSE)*J43,"fejl i år"),0)</f>
        <v>0</v>
      </c>
      <c r="AA43" s="215">
        <f>+IFERROR(IF(AA$19=Takstblad!K$3,VLOOKUP($A43,takstblad,11,FALSE)*K43,"fejl i år"),0)</f>
        <v>0</v>
      </c>
      <c r="AB43" s="215">
        <f>+IFERROR(IF(AB$19=Takstblad!L$3,VLOOKUP($A43,takstblad,12,FALSE)*L43,"fejl i år"),0)</f>
        <v>0</v>
      </c>
      <c r="AC43" s="216">
        <f>SUM(S43:AB43)</f>
        <v>0</v>
      </c>
      <c r="AD43" s="221"/>
      <c r="AE43" s="217">
        <f t="shared" ref="AE43:AE52" si="56">+M43*($C$7/12)</f>
        <v>0</v>
      </c>
      <c r="AF43" s="217">
        <f t="shared" ref="AF43:AF53" si="57">IFERROR(AC43/AE43,0)</f>
        <v>0</v>
      </c>
      <c r="AG43" s="221"/>
      <c r="AH43" s="217">
        <f t="shared" ref="AH43:AH53" si="58">+C43*($C$7/12)</f>
        <v>0</v>
      </c>
      <c r="AI43" s="217">
        <f t="shared" ref="AI43:AI56" si="59">IFERROR(S43/AH43,0)</f>
        <v>0</v>
      </c>
      <c r="AJ43" s="221"/>
      <c r="AK43" s="215">
        <f t="shared" ref="AK43:AK53" si="60">+D43*($C$7/12)</f>
        <v>0</v>
      </c>
      <c r="AL43" s="215">
        <f t="shared" ref="AL43:AL56" si="61">IFERROR(T43/AK43,0)</f>
        <v>0</v>
      </c>
      <c r="AM43" s="221"/>
      <c r="AN43" s="215">
        <f t="shared" ref="AN43:AN53" si="62">+E43*($C$7/12)</f>
        <v>0</v>
      </c>
      <c r="AO43" s="215">
        <f t="shared" ref="AO43:AO56" si="63">IFERROR(U43/AN43,0)</f>
        <v>0</v>
      </c>
      <c r="AP43" s="221"/>
      <c r="AQ43" s="215">
        <f t="shared" ref="AQ43:AQ53" si="64">+F43*($C$7/12)</f>
        <v>0</v>
      </c>
      <c r="AR43" s="215">
        <f t="shared" ref="AR43:AR56" si="65">IFERROR(V43/AQ43,0)</f>
        <v>0</v>
      </c>
      <c r="AS43" s="221"/>
      <c r="AT43" s="215">
        <f t="shared" ref="AT43:AT53" si="66">+G43*($C$7/12)</f>
        <v>0</v>
      </c>
      <c r="AU43" s="215">
        <f t="shared" ref="AU43:AU56" si="67">IFERROR(W43/AT43,0)</f>
        <v>0</v>
      </c>
      <c r="AV43" s="221"/>
      <c r="AW43" s="215">
        <f t="shared" ref="AW43:AW53" si="68">+H43*($C$7/12)</f>
        <v>0</v>
      </c>
      <c r="AX43" s="215">
        <f t="shared" ref="AX43:AX56" si="69">IFERROR(X43/AW43,0)</f>
        <v>0</v>
      </c>
      <c r="AY43" s="221"/>
      <c r="AZ43" s="215">
        <f>+I43*($C$7/12)</f>
        <v>0</v>
      </c>
      <c r="BA43" s="215">
        <f>IFERROR(Y43/AZ43,0)</f>
        <v>0</v>
      </c>
      <c r="BB43" s="221"/>
      <c r="BC43" s="215">
        <f>+J43*($C$7/12)</f>
        <v>0</v>
      </c>
      <c r="BD43" s="215">
        <f>IFERROR(Z43/BC43,0)</f>
        <v>0</v>
      </c>
      <c r="BE43" s="221"/>
      <c r="BF43" s="215">
        <f>+K43*($C$7/12)</f>
        <v>0</v>
      </c>
      <c r="BG43" s="215">
        <f>IFERROR(AB43/BF43,0)</f>
        <v>0</v>
      </c>
      <c r="BH43" s="221"/>
      <c r="BI43" s="215">
        <f>+L43*($C$7/12)</f>
        <v>0</v>
      </c>
      <c r="BJ43" s="215">
        <f>IFERROR(AB43/BI43,0)</f>
        <v>0</v>
      </c>
    </row>
    <row r="44" spans="1:62" ht="15.65" customHeight="1">
      <c r="A44" s="7" t="s">
        <v>1238</v>
      </c>
      <c r="B44" s="4" t="str">
        <f>+VLOOKUP(A44,Takstblad!$A$33:$B$54,2,FALSE)</f>
        <v/>
      </c>
      <c r="C44" s="287"/>
      <c r="D44" s="285"/>
      <c r="E44" s="285"/>
      <c r="F44" s="285"/>
      <c r="G44" s="285"/>
      <c r="H44" s="285"/>
      <c r="I44" s="285"/>
      <c r="J44" s="285"/>
      <c r="K44" s="285"/>
      <c r="L44" s="285"/>
      <c r="M44" s="19">
        <f t="shared" ref="M44:M56" si="70">SUM(C44:L44)</f>
        <v>0</v>
      </c>
      <c r="N44" s="285"/>
      <c r="O44" s="285" t="s">
        <v>113</v>
      </c>
      <c r="Q44" s="26"/>
      <c r="R44" s="21">
        <f>+AC44</f>
        <v>0</v>
      </c>
      <c r="S44" s="25">
        <f>+IFERROR(IF(S$19=Takstblad!C$3,VLOOKUP($A44,takstblad,3,FALSE)*C44,"fejl i år"),0)</f>
        <v>0</v>
      </c>
      <c r="T44" s="25">
        <f>+IFERROR(IF(T$19=Takstblad!D$3,VLOOKUP($A44,takstblad,4,FALSE)*D44,"fejl i år"),0)</f>
        <v>0</v>
      </c>
      <c r="U44" s="25">
        <f>+IFERROR(IF(U$19=Takstblad!E$3,VLOOKUP($A44,takstblad,5,FALSE)*E44,"fejl i år"),0)</f>
        <v>0</v>
      </c>
      <c r="V44" s="25">
        <f>+IFERROR(IF(V$19=Takstblad!F$3,VLOOKUP($A44,takstblad,6,FALSE)*F44,"fejl i år"),0)</f>
        <v>0</v>
      </c>
      <c r="W44" s="25">
        <f>+IFERROR(IF(W$19=Takstblad!G$3,VLOOKUP($A44,takstblad,7,FALSE)*G44,"fejl i år"),0)</f>
        <v>0</v>
      </c>
      <c r="X44" s="25">
        <f>+IFERROR(IF(X$19=Takstblad!H$3,VLOOKUP($A44,takstblad,8,FALSE)*H44,"fejl i år"),0)</f>
        <v>0</v>
      </c>
      <c r="Y44" s="25">
        <f>+IFERROR(IF(Y$19=Takstblad!I$3,VLOOKUP($A44,takstblad,9,FALSE)*I44,"fejl i år"),0)</f>
        <v>0</v>
      </c>
      <c r="Z44" s="25">
        <f>+IFERROR(IF(Z$19=Takstblad!J$3,VLOOKUP($A44,takstblad,10,FALSE)*J44,"fejl i år"),0)</f>
        <v>0</v>
      </c>
      <c r="AA44" s="25">
        <f>+IFERROR(IF(AA$19=Takstblad!K$3,VLOOKUP($A44,takstblad,11,FALSE)*K44,"fejl i år"),0)</f>
        <v>0</v>
      </c>
      <c r="AB44" s="25">
        <f>+IFERROR(IF(AB$19=Takstblad!L$3,VLOOKUP($A44,takstblad,12,FALSE)*L44,"fejl i år"),0)</f>
        <v>0</v>
      </c>
      <c r="AC44" s="21">
        <f t="shared" ref="AC44:AC56" si="71">SUM(S44:AB44)</f>
        <v>0</v>
      </c>
      <c r="AD44" s="221"/>
      <c r="AE44" s="25">
        <f t="shared" si="56"/>
        <v>0</v>
      </c>
      <c r="AF44" s="25">
        <f t="shared" si="57"/>
        <v>0</v>
      </c>
      <c r="AG44" s="221"/>
      <c r="AH44" s="25">
        <f t="shared" si="58"/>
        <v>0</v>
      </c>
      <c r="AI44" s="25">
        <f t="shared" si="59"/>
        <v>0</v>
      </c>
      <c r="AJ44" s="221"/>
      <c r="AK44" s="25">
        <f t="shared" si="60"/>
        <v>0</v>
      </c>
      <c r="AL44" s="25">
        <f t="shared" si="61"/>
        <v>0</v>
      </c>
      <c r="AM44" s="221"/>
      <c r="AN44" s="25">
        <f t="shared" si="62"/>
        <v>0</v>
      </c>
      <c r="AO44" s="25">
        <f t="shared" si="63"/>
        <v>0</v>
      </c>
      <c r="AP44" s="221"/>
      <c r="AQ44" s="25">
        <f t="shared" si="64"/>
        <v>0</v>
      </c>
      <c r="AR44" s="25">
        <f t="shared" si="65"/>
        <v>0</v>
      </c>
      <c r="AS44" s="221"/>
      <c r="AT44" s="25">
        <f>+G44*($C$7/12)</f>
        <v>0</v>
      </c>
      <c r="AU44" s="25">
        <f>IFERROR(W44/AT44,0)</f>
        <v>0</v>
      </c>
      <c r="AV44" s="221"/>
      <c r="AW44" s="25">
        <f t="shared" si="68"/>
        <v>0</v>
      </c>
      <c r="AX44" s="25">
        <f t="shared" si="69"/>
        <v>0</v>
      </c>
      <c r="AY44" s="221"/>
      <c r="AZ44" s="25">
        <f t="shared" ref="AZ44:AZ53" si="72">+I44*($C$7/12)</f>
        <v>0</v>
      </c>
      <c r="BA44" s="25">
        <f t="shared" ref="BA44:BA56" si="73">IFERROR(Y44/AZ44,0)</f>
        <v>0</v>
      </c>
      <c r="BB44" s="221"/>
      <c r="BC44" s="25">
        <f t="shared" ref="BC44:BC53" si="74">+J44*($C$7/12)</f>
        <v>0</v>
      </c>
      <c r="BD44" s="25">
        <f t="shared" ref="BD44:BD56" si="75">IFERROR(Z44/BC44,0)</f>
        <v>0</v>
      </c>
      <c r="BE44" s="221"/>
      <c r="BF44" s="25">
        <f t="shared" ref="BF44:BF55" si="76">+K44*($C$7/12)</f>
        <v>0</v>
      </c>
      <c r="BG44" s="25">
        <f t="shared" ref="BG44:BG55" si="77">IFERROR(AB44/BF44,0)</f>
        <v>0</v>
      </c>
      <c r="BH44" s="221"/>
      <c r="BI44" s="25">
        <f t="shared" ref="BI44:BI55" si="78">+L44*($C$7/12)</f>
        <v>0</v>
      </c>
      <c r="BJ44" s="25">
        <f t="shared" ref="BJ44:BJ55" si="79">IFERROR(AB44/BI44,0)</f>
        <v>0</v>
      </c>
    </row>
    <row r="45" spans="1:62" ht="15.65" customHeight="1">
      <c r="A45" s="212" t="s">
        <v>1238</v>
      </c>
      <c r="B45" s="213" t="str">
        <f>+VLOOKUP(A45,Takstblad!$A$33:$B$54,2,FALSE)</f>
        <v/>
      </c>
      <c r="C45" s="285"/>
      <c r="D45" s="285"/>
      <c r="E45" s="285"/>
      <c r="F45" s="285"/>
      <c r="G45" s="285"/>
      <c r="H45" s="285"/>
      <c r="I45" s="285"/>
      <c r="J45" s="285"/>
      <c r="K45" s="285"/>
      <c r="L45" s="285"/>
      <c r="M45" s="19">
        <f t="shared" si="70"/>
        <v>0</v>
      </c>
      <c r="N45" s="285"/>
      <c r="O45" s="285" t="s">
        <v>113</v>
      </c>
      <c r="P45" s="212"/>
      <c r="Q45" s="218"/>
      <c r="R45" s="216">
        <f>+AC45</f>
        <v>0</v>
      </c>
      <c r="S45" s="215">
        <f>+IFERROR(IF(S$19=Takstblad!C$3,VLOOKUP($A45,takstblad,3,FALSE)*C45,"fejl i år"),0)</f>
        <v>0</v>
      </c>
      <c r="T45" s="215">
        <f>+IFERROR(IF(T$19=Takstblad!D$3,VLOOKUP($A45,takstblad,4,FALSE)*D45,"fejl i år"),0)</f>
        <v>0</v>
      </c>
      <c r="U45" s="215">
        <f>+IFERROR(IF(U$19=Takstblad!E$3,VLOOKUP($A45,takstblad,5,FALSE)*E45,"fejl i år"),0)</f>
        <v>0</v>
      </c>
      <c r="V45" s="215">
        <f>+IFERROR(IF(V$19=Takstblad!F$3,VLOOKUP($A45,takstblad,6,FALSE)*F45,"fejl i år"),0)</f>
        <v>0</v>
      </c>
      <c r="W45" s="215">
        <f>+IFERROR(IF(W$19=Takstblad!G$3,VLOOKUP($A45,takstblad,7,FALSE)*G45,"fejl i år"),0)</f>
        <v>0</v>
      </c>
      <c r="X45" s="215">
        <f>+IFERROR(IF(X$19=Takstblad!H$3,VLOOKUP($A45,takstblad,8,FALSE)*H45,"fejl i år"),0)</f>
        <v>0</v>
      </c>
      <c r="Y45" s="215">
        <f>+IFERROR(IF(Y$19=Takstblad!I$3,VLOOKUP($A45,takstblad,9,FALSE)*I45,"fejl i år"),0)</f>
        <v>0</v>
      </c>
      <c r="Z45" s="215">
        <f>+IFERROR(IF(Z$19=Takstblad!J$3,VLOOKUP($A45,takstblad,10,FALSE)*J45,"fejl i år"),0)</f>
        <v>0</v>
      </c>
      <c r="AA45" s="215">
        <f>+IFERROR(IF(AA$19=Takstblad!K$3,VLOOKUP($A45,takstblad,11,FALSE)*K45,"fejl i år"),0)</f>
        <v>0</v>
      </c>
      <c r="AB45" s="215">
        <f>+IFERROR(IF(AB$19=Takstblad!L$3,VLOOKUP($A45,takstblad,12,FALSE)*L45,"fejl i år"),0)</f>
        <v>0</v>
      </c>
      <c r="AC45" s="216">
        <f t="shared" si="71"/>
        <v>0</v>
      </c>
      <c r="AD45" s="221"/>
      <c r="AE45" s="217">
        <f t="shared" si="56"/>
        <v>0</v>
      </c>
      <c r="AF45" s="217">
        <f t="shared" si="57"/>
        <v>0</v>
      </c>
      <c r="AG45" s="221"/>
      <c r="AH45" s="217">
        <f t="shared" si="58"/>
        <v>0</v>
      </c>
      <c r="AI45" s="217">
        <f t="shared" si="59"/>
        <v>0</v>
      </c>
      <c r="AJ45" s="221"/>
      <c r="AK45" s="215">
        <f t="shared" si="60"/>
        <v>0</v>
      </c>
      <c r="AL45" s="215">
        <f t="shared" si="61"/>
        <v>0</v>
      </c>
      <c r="AM45" s="221"/>
      <c r="AN45" s="215">
        <f t="shared" si="62"/>
        <v>0</v>
      </c>
      <c r="AO45" s="215">
        <f t="shared" si="63"/>
        <v>0</v>
      </c>
      <c r="AP45" s="221"/>
      <c r="AQ45" s="215">
        <f t="shared" si="64"/>
        <v>0</v>
      </c>
      <c r="AR45" s="215">
        <f t="shared" si="65"/>
        <v>0</v>
      </c>
      <c r="AS45" s="221"/>
      <c r="AT45" s="215">
        <f t="shared" si="66"/>
        <v>0</v>
      </c>
      <c r="AU45" s="215">
        <f t="shared" si="67"/>
        <v>0</v>
      </c>
      <c r="AV45" s="221"/>
      <c r="AW45" s="215">
        <f t="shared" si="68"/>
        <v>0</v>
      </c>
      <c r="AX45" s="215">
        <f t="shared" si="69"/>
        <v>0</v>
      </c>
      <c r="AY45" s="221"/>
      <c r="AZ45" s="215">
        <f t="shared" si="72"/>
        <v>0</v>
      </c>
      <c r="BA45" s="215">
        <f t="shared" si="73"/>
        <v>0</v>
      </c>
      <c r="BB45" s="221"/>
      <c r="BC45" s="215">
        <f t="shared" si="74"/>
        <v>0</v>
      </c>
      <c r="BD45" s="215">
        <f t="shared" si="75"/>
        <v>0</v>
      </c>
      <c r="BE45" s="221"/>
      <c r="BF45" s="215">
        <f t="shared" si="76"/>
        <v>0</v>
      </c>
      <c r="BG45" s="215">
        <f t="shared" si="77"/>
        <v>0</v>
      </c>
      <c r="BH45" s="221"/>
      <c r="BI45" s="215">
        <f t="shared" si="78"/>
        <v>0</v>
      </c>
      <c r="BJ45" s="215">
        <f t="shared" si="79"/>
        <v>0</v>
      </c>
    </row>
    <row r="46" spans="1:62" ht="15.65" customHeight="1">
      <c r="A46" s="7" t="s">
        <v>1238</v>
      </c>
      <c r="B46" s="4" t="str">
        <f>+VLOOKUP(A46,Takstblad!$A$33:$B$54,2,FALSE)</f>
        <v/>
      </c>
      <c r="C46" s="285"/>
      <c r="D46" s="285"/>
      <c r="E46" s="285"/>
      <c r="F46" s="285"/>
      <c r="G46" s="285"/>
      <c r="H46" s="285"/>
      <c r="I46" s="285"/>
      <c r="J46" s="285"/>
      <c r="K46" s="285"/>
      <c r="L46" s="285"/>
      <c r="M46" s="19">
        <f t="shared" si="70"/>
        <v>0</v>
      </c>
      <c r="N46" s="285"/>
      <c r="O46" s="285" t="s">
        <v>113</v>
      </c>
      <c r="Q46" s="26"/>
      <c r="R46" s="21">
        <f t="shared" si="55"/>
        <v>0</v>
      </c>
      <c r="S46" s="25">
        <f>+IFERROR(IF(S$19=Takstblad!C$3,VLOOKUP($A46,takstblad,3,FALSE)*C46,"fejl i år"),0)</f>
        <v>0</v>
      </c>
      <c r="T46" s="25">
        <f>+IFERROR(IF(T$19=Takstblad!D$3,VLOOKUP($A46,takstblad,4,FALSE)*D46,"fejl i år"),0)</f>
        <v>0</v>
      </c>
      <c r="U46" s="25">
        <f>+IFERROR(IF(U$19=Takstblad!E$3,VLOOKUP($A46,takstblad,5,FALSE)*E46,"fejl i år"),0)</f>
        <v>0</v>
      </c>
      <c r="V46" s="25">
        <f>+IFERROR(IF(V$19=Takstblad!F$3,VLOOKUP($A46,takstblad,6,FALSE)*F46,"fejl i år"),0)</f>
        <v>0</v>
      </c>
      <c r="W46" s="25">
        <f>+IFERROR(IF(W$19=Takstblad!G$3,VLOOKUP($A46,takstblad,7,FALSE)*G46,"fejl i år"),0)</f>
        <v>0</v>
      </c>
      <c r="X46" s="25">
        <f>+IFERROR(IF(X$19=Takstblad!H$3,VLOOKUP($A46,takstblad,8,FALSE)*H46,"fejl i år"),0)</f>
        <v>0</v>
      </c>
      <c r="Y46" s="25">
        <f>+IFERROR(IF(Y$19=Takstblad!I$3,VLOOKUP($A46,takstblad,9,FALSE)*I46,"fejl i år"),0)</f>
        <v>0</v>
      </c>
      <c r="Z46" s="25">
        <f>+IFERROR(IF(Z$19=Takstblad!J$3,VLOOKUP($A46,takstblad,10,FALSE)*J46,"fejl i år"),0)</f>
        <v>0</v>
      </c>
      <c r="AA46" s="25">
        <f>+IFERROR(IF(AA$19=Takstblad!K$3,VLOOKUP($A46,takstblad,11,FALSE)*K46,"fejl i år"),0)</f>
        <v>0</v>
      </c>
      <c r="AB46" s="25">
        <f>+IFERROR(IF(AB$19=Takstblad!L$3,VLOOKUP($A46,takstblad,12,FALSE)*L46,"fejl i år"),0)</f>
        <v>0</v>
      </c>
      <c r="AC46" s="21">
        <f t="shared" si="71"/>
        <v>0</v>
      </c>
      <c r="AD46" s="221"/>
      <c r="AE46" s="25">
        <f t="shared" si="56"/>
        <v>0</v>
      </c>
      <c r="AF46" s="25">
        <f t="shared" si="57"/>
        <v>0</v>
      </c>
      <c r="AG46" s="221"/>
      <c r="AH46" s="25">
        <f t="shared" si="58"/>
        <v>0</v>
      </c>
      <c r="AI46" s="25">
        <f t="shared" si="59"/>
        <v>0</v>
      </c>
      <c r="AJ46" s="221"/>
      <c r="AK46" s="25">
        <f t="shared" si="60"/>
        <v>0</v>
      </c>
      <c r="AL46" s="25">
        <f t="shared" si="61"/>
        <v>0</v>
      </c>
      <c r="AM46" s="221"/>
      <c r="AN46" s="25">
        <f t="shared" si="62"/>
        <v>0</v>
      </c>
      <c r="AO46" s="25">
        <f t="shared" si="63"/>
        <v>0</v>
      </c>
      <c r="AP46" s="221"/>
      <c r="AQ46" s="25">
        <f t="shared" si="64"/>
        <v>0</v>
      </c>
      <c r="AR46" s="25">
        <f t="shared" si="65"/>
        <v>0</v>
      </c>
      <c r="AS46" s="221"/>
      <c r="AT46" s="25">
        <f t="shared" si="66"/>
        <v>0</v>
      </c>
      <c r="AU46" s="25">
        <f t="shared" si="67"/>
        <v>0</v>
      </c>
      <c r="AV46" s="221"/>
      <c r="AW46" s="25">
        <f t="shared" si="68"/>
        <v>0</v>
      </c>
      <c r="AX46" s="25">
        <f t="shared" si="69"/>
        <v>0</v>
      </c>
      <c r="AY46" s="221"/>
      <c r="AZ46" s="25">
        <f t="shared" si="72"/>
        <v>0</v>
      </c>
      <c r="BA46" s="25">
        <f t="shared" si="73"/>
        <v>0</v>
      </c>
      <c r="BB46" s="221"/>
      <c r="BC46" s="25">
        <f t="shared" si="74"/>
        <v>0</v>
      </c>
      <c r="BD46" s="25">
        <f t="shared" si="75"/>
        <v>0</v>
      </c>
      <c r="BE46" s="221"/>
      <c r="BF46" s="25">
        <f t="shared" si="76"/>
        <v>0</v>
      </c>
      <c r="BG46" s="25">
        <f t="shared" si="77"/>
        <v>0</v>
      </c>
      <c r="BH46" s="221"/>
      <c r="BI46" s="25">
        <f t="shared" si="78"/>
        <v>0</v>
      </c>
      <c r="BJ46" s="25">
        <f t="shared" si="79"/>
        <v>0</v>
      </c>
    </row>
    <row r="47" spans="1:62" ht="15.65" customHeight="1">
      <c r="A47" s="212" t="s">
        <v>1238</v>
      </c>
      <c r="B47" s="213" t="str">
        <f>+VLOOKUP(A47,Takstblad!$A$33:$B$54,2,FALSE)</f>
        <v/>
      </c>
      <c r="C47" s="285"/>
      <c r="D47" s="285"/>
      <c r="E47" s="285"/>
      <c r="F47" s="285"/>
      <c r="G47" s="285"/>
      <c r="H47" s="285"/>
      <c r="I47" s="285"/>
      <c r="J47" s="285"/>
      <c r="K47" s="285"/>
      <c r="L47" s="285"/>
      <c r="M47" s="19">
        <f t="shared" si="70"/>
        <v>0</v>
      </c>
      <c r="N47" s="285"/>
      <c r="O47" s="285" t="s">
        <v>113</v>
      </c>
      <c r="P47" s="212"/>
      <c r="Q47" s="218"/>
      <c r="R47" s="216">
        <f t="shared" si="55"/>
        <v>0</v>
      </c>
      <c r="S47" s="215">
        <f>+IFERROR(IF(S$19=Takstblad!C$3,VLOOKUP($A47,takstblad,3,FALSE)*C47,"fejl i år"),0)</f>
        <v>0</v>
      </c>
      <c r="T47" s="215">
        <f>+IFERROR(IF(T$19=Takstblad!D$3,VLOOKUP($A47,takstblad,4,FALSE)*D47,"fejl i år"),0)</f>
        <v>0</v>
      </c>
      <c r="U47" s="215">
        <f>+IFERROR(IF(U$19=Takstblad!E$3,VLOOKUP($A47,takstblad,5,FALSE)*E47,"fejl i år"),0)</f>
        <v>0</v>
      </c>
      <c r="V47" s="215">
        <f>+IFERROR(IF(V$19=Takstblad!F$3,VLOOKUP($A47,takstblad,6,FALSE)*F47,"fejl i år"),0)</f>
        <v>0</v>
      </c>
      <c r="W47" s="215">
        <f>+IFERROR(IF(W$19=Takstblad!G$3,VLOOKUP($A47,takstblad,7,FALSE)*G47,"fejl i år"),0)</f>
        <v>0</v>
      </c>
      <c r="X47" s="215">
        <f>+IFERROR(IF(X$19=Takstblad!H$3,VLOOKUP($A47,takstblad,8,FALSE)*H47,"fejl i år"),0)</f>
        <v>0</v>
      </c>
      <c r="Y47" s="215">
        <f>+IFERROR(IF(Y$19=Takstblad!I$3,VLOOKUP($A47,takstblad,9,FALSE)*I47,"fejl i år"),0)</f>
        <v>0</v>
      </c>
      <c r="Z47" s="215">
        <f>+IFERROR(IF(Z$19=Takstblad!J$3,VLOOKUP($A47,takstblad,10,FALSE)*J47,"fejl i år"),0)</f>
        <v>0</v>
      </c>
      <c r="AA47" s="215">
        <f>+IFERROR(IF(AA$19=Takstblad!K$3,VLOOKUP($A47,takstblad,11,FALSE)*K47,"fejl i år"),0)</f>
        <v>0</v>
      </c>
      <c r="AB47" s="215">
        <f>+IFERROR(IF(AB$19=Takstblad!L$3,VLOOKUP($A47,takstblad,12,FALSE)*L47,"fejl i år"),0)</f>
        <v>0</v>
      </c>
      <c r="AC47" s="216">
        <f t="shared" si="71"/>
        <v>0</v>
      </c>
      <c r="AD47" s="221"/>
      <c r="AE47" s="217">
        <f t="shared" si="56"/>
        <v>0</v>
      </c>
      <c r="AF47" s="217">
        <f t="shared" si="57"/>
        <v>0</v>
      </c>
      <c r="AG47" s="221"/>
      <c r="AH47" s="217">
        <f t="shared" si="58"/>
        <v>0</v>
      </c>
      <c r="AI47" s="217">
        <f t="shared" si="59"/>
        <v>0</v>
      </c>
      <c r="AJ47" s="221"/>
      <c r="AK47" s="215">
        <f t="shared" si="60"/>
        <v>0</v>
      </c>
      <c r="AL47" s="215">
        <f t="shared" si="61"/>
        <v>0</v>
      </c>
      <c r="AM47" s="221"/>
      <c r="AN47" s="215">
        <f t="shared" si="62"/>
        <v>0</v>
      </c>
      <c r="AO47" s="215">
        <f t="shared" si="63"/>
        <v>0</v>
      </c>
      <c r="AP47" s="221"/>
      <c r="AQ47" s="215">
        <f t="shared" si="64"/>
        <v>0</v>
      </c>
      <c r="AR47" s="215">
        <f t="shared" si="65"/>
        <v>0</v>
      </c>
      <c r="AS47" s="221"/>
      <c r="AT47" s="215">
        <f t="shared" si="66"/>
        <v>0</v>
      </c>
      <c r="AU47" s="215">
        <f t="shared" si="67"/>
        <v>0</v>
      </c>
      <c r="AV47" s="221"/>
      <c r="AW47" s="215">
        <f t="shared" si="68"/>
        <v>0</v>
      </c>
      <c r="AX47" s="215">
        <f t="shared" si="69"/>
        <v>0</v>
      </c>
      <c r="AY47" s="221"/>
      <c r="AZ47" s="215">
        <f t="shared" si="72"/>
        <v>0</v>
      </c>
      <c r="BA47" s="215">
        <f t="shared" si="73"/>
        <v>0</v>
      </c>
      <c r="BB47" s="221"/>
      <c r="BC47" s="215">
        <f t="shared" si="74"/>
        <v>0</v>
      </c>
      <c r="BD47" s="215">
        <f t="shared" si="75"/>
        <v>0</v>
      </c>
      <c r="BE47" s="221"/>
      <c r="BF47" s="215">
        <f t="shared" si="76"/>
        <v>0</v>
      </c>
      <c r="BG47" s="215">
        <f t="shared" si="77"/>
        <v>0</v>
      </c>
      <c r="BH47" s="221"/>
      <c r="BI47" s="215">
        <f t="shared" si="78"/>
        <v>0</v>
      </c>
      <c r="BJ47" s="215">
        <f t="shared" si="79"/>
        <v>0</v>
      </c>
    </row>
    <row r="48" spans="1:62" ht="15.65" customHeight="1">
      <c r="A48" s="7" t="s">
        <v>1238</v>
      </c>
      <c r="B48" s="4" t="str">
        <f>+VLOOKUP(A48,Takstblad!$A$33:$B$54,2,FALSE)</f>
        <v/>
      </c>
      <c r="C48" s="285"/>
      <c r="D48" s="285"/>
      <c r="E48" s="285"/>
      <c r="F48" s="285"/>
      <c r="G48" s="285"/>
      <c r="H48" s="285"/>
      <c r="I48" s="285"/>
      <c r="J48" s="285"/>
      <c r="K48" s="285"/>
      <c r="L48" s="285"/>
      <c r="M48" s="19">
        <f t="shared" si="70"/>
        <v>0</v>
      </c>
      <c r="N48" s="285"/>
      <c r="O48" s="285" t="s">
        <v>113</v>
      </c>
      <c r="Q48" s="26"/>
      <c r="R48" s="21">
        <f t="shared" si="55"/>
        <v>0</v>
      </c>
      <c r="S48" s="25">
        <f>+IFERROR(IF(S$19=Takstblad!C$3,VLOOKUP($A48,takstblad,3,FALSE)*C48,"fejl i år"),0)</f>
        <v>0</v>
      </c>
      <c r="T48" s="25">
        <f>+IFERROR(IF(T$19=Takstblad!D$3,VLOOKUP($A48,takstblad,4,FALSE)*D48,"fejl i år"),0)</f>
        <v>0</v>
      </c>
      <c r="U48" s="25">
        <f>+IFERROR(IF(U$19=Takstblad!E$3,VLOOKUP($A48,takstblad,5,FALSE)*E48,"fejl i år"),0)</f>
        <v>0</v>
      </c>
      <c r="V48" s="25">
        <f>+IFERROR(IF(V$19=Takstblad!F$3,VLOOKUP($A48,takstblad,6,FALSE)*F48,"fejl i år"),0)</f>
        <v>0</v>
      </c>
      <c r="W48" s="25">
        <f>+IFERROR(IF(W$19=Takstblad!G$3,VLOOKUP($A48,takstblad,7,FALSE)*G48,"fejl i år"),0)</f>
        <v>0</v>
      </c>
      <c r="X48" s="25">
        <f>+IFERROR(IF(X$19=Takstblad!H$3,VLOOKUP($A48,takstblad,8,FALSE)*H48,"fejl i år"),0)</f>
        <v>0</v>
      </c>
      <c r="Y48" s="25">
        <f>+IFERROR(IF(Y$19=Takstblad!I$3,VLOOKUP($A48,takstblad,9,FALSE)*I48,"fejl i år"),0)</f>
        <v>0</v>
      </c>
      <c r="Z48" s="25">
        <f>+IFERROR(IF(Z$19=Takstblad!J$3,VLOOKUP($A48,takstblad,10,FALSE)*J48,"fejl i år"),0)</f>
        <v>0</v>
      </c>
      <c r="AA48" s="25">
        <f>+IFERROR(IF(AA$19=Takstblad!K$3,VLOOKUP($A48,takstblad,11,FALSE)*K48,"fejl i år"),0)</f>
        <v>0</v>
      </c>
      <c r="AB48" s="25">
        <f>+IFERROR(IF(AB$19=Takstblad!L$3,VLOOKUP($A48,takstblad,12,FALSE)*L48,"fejl i år"),0)</f>
        <v>0</v>
      </c>
      <c r="AC48" s="21">
        <f t="shared" si="71"/>
        <v>0</v>
      </c>
      <c r="AD48" s="221"/>
      <c r="AE48" s="25">
        <f t="shared" si="56"/>
        <v>0</v>
      </c>
      <c r="AF48" s="25">
        <f t="shared" si="57"/>
        <v>0</v>
      </c>
      <c r="AG48" s="221"/>
      <c r="AH48" s="25">
        <f t="shared" si="58"/>
        <v>0</v>
      </c>
      <c r="AI48" s="25">
        <f t="shared" si="59"/>
        <v>0</v>
      </c>
      <c r="AJ48" s="221"/>
      <c r="AK48" s="25">
        <f t="shared" si="60"/>
        <v>0</v>
      </c>
      <c r="AL48" s="25">
        <f t="shared" si="61"/>
        <v>0</v>
      </c>
      <c r="AM48" s="221"/>
      <c r="AN48" s="25">
        <f t="shared" si="62"/>
        <v>0</v>
      </c>
      <c r="AO48" s="25">
        <f t="shared" si="63"/>
        <v>0</v>
      </c>
      <c r="AP48" s="221"/>
      <c r="AQ48" s="25">
        <f t="shared" si="64"/>
        <v>0</v>
      </c>
      <c r="AR48" s="25">
        <f t="shared" si="65"/>
        <v>0</v>
      </c>
      <c r="AS48" s="221"/>
      <c r="AT48" s="25">
        <f t="shared" si="66"/>
        <v>0</v>
      </c>
      <c r="AU48" s="25">
        <f t="shared" si="67"/>
        <v>0</v>
      </c>
      <c r="AV48" s="221"/>
      <c r="AW48" s="25">
        <f t="shared" si="68"/>
        <v>0</v>
      </c>
      <c r="AX48" s="25">
        <f t="shared" si="69"/>
        <v>0</v>
      </c>
      <c r="AY48" s="221"/>
      <c r="AZ48" s="25">
        <f t="shared" si="72"/>
        <v>0</v>
      </c>
      <c r="BA48" s="25">
        <f t="shared" si="73"/>
        <v>0</v>
      </c>
      <c r="BB48" s="221"/>
      <c r="BC48" s="25">
        <f t="shared" si="74"/>
        <v>0</v>
      </c>
      <c r="BD48" s="25">
        <f t="shared" si="75"/>
        <v>0</v>
      </c>
      <c r="BE48" s="221"/>
      <c r="BF48" s="25">
        <f t="shared" si="76"/>
        <v>0</v>
      </c>
      <c r="BG48" s="25">
        <f t="shared" si="77"/>
        <v>0</v>
      </c>
      <c r="BH48" s="221"/>
      <c r="BI48" s="25">
        <f t="shared" si="78"/>
        <v>0</v>
      </c>
      <c r="BJ48" s="25">
        <f t="shared" si="79"/>
        <v>0</v>
      </c>
    </row>
    <row r="49" spans="1:66" ht="15.65" customHeight="1">
      <c r="A49" s="212" t="s">
        <v>1238</v>
      </c>
      <c r="B49" s="213" t="str">
        <f>+VLOOKUP(A49,Takstblad!$A$33:$B$54,2,FALSE)</f>
        <v/>
      </c>
      <c r="C49" s="285"/>
      <c r="D49" s="285"/>
      <c r="E49" s="285"/>
      <c r="F49" s="285"/>
      <c r="G49" s="285"/>
      <c r="H49" s="285"/>
      <c r="I49" s="285"/>
      <c r="J49" s="285"/>
      <c r="K49" s="285"/>
      <c r="L49" s="285"/>
      <c r="M49" s="19">
        <f t="shared" si="70"/>
        <v>0</v>
      </c>
      <c r="N49" s="285"/>
      <c r="O49" s="285" t="s">
        <v>113</v>
      </c>
      <c r="P49" s="212"/>
      <c r="Q49" s="218"/>
      <c r="R49" s="216">
        <f t="shared" si="55"/>
        <v>0</v>
      </c>
      <c r="S49" s="215">
        <f>+IFERROR(IF(S$19=Takstblad!C$3,VLOOKUP($A49,takstblad,3,FALSE)*C49,"fejl i år"),0)</f>
        <v>0</v>
      </c>
      <c r="T49" s="215">
        <f>+IFERROR(IF(T$19=Takstblad!D$3,VLOOKUP($A49,takstblad,4,FALSE)*D49,"fejl i år"),0)</f>
        <v>0</v>
      </c>
      <c r="U49" s="215">
        <f>+IFERROR(IF(U$19=Takstblad!E$3,VLOOKUP($A49,takstblad,5,FALSE)*E49,"fejl i år"),0)</f>
        <v>0</v>
      </c>
      <c r="V49" s="215">
        <f>+IFERROR(IF(V$19=Takstblad!F$3,VLOOKUP($A49,takstblad,6,FALSE)*F49,"fejl i år"),0)</f>
        <v>0</v>
      </c>
      <c r="W49" s="215">
        <f>+IFERROR(IF(W$19=Takstblad!G$3,VLOOKUP($A49,takstblad,7,FALSE)*G49,"fejl i år"),0)</f>
        <v>0</v>
      </c>
      <c r="X49" s="215">
        <f>+IFERROR(IF(X$19=Takstblad!H$3,VLOOKUP($A49,takstblad,8,FALSE)*H49,"fejl i år"),0)</f>
        <v>0</v>
      </c>
      <c r="Y49" s="215">
        <f>+IFERROR(IF(Y$19=Takstblad!I$3,VLOOKUP($A49,takstblad,9,FALSE)*I49,"fejl i år"),0)</f>
        <v>0</v>
      </c>
      <c r="Z49" s="215">
        <f>+IFERROR(IF(Z$19=Takstblad!J$3,VLOOKUP($A49,takstblad,10,FALSE)*J49,"fejl i år"),0)</f>
        <v>0</v>
      </c>
      <c r="AA49" s="215">
        <f>+IFERROR(IF(AA$19=Takstblad!K$3,VLOOKUP($A49,takstblad,11,FALSE)*K49,"fejl i år"),0)</f>
        <v>0</v>
      </c>
      <c r="AB49" s="215">
        <f>+IFERROR(IF(AB$19=Takstblad!L$3,VLOOKUP($A49,takstblad,12,FALSE)*L49,"fejl i år"),0)</f>
        <v>0</v>
      </c>
      <c r="AC49" s="216">
        <f t="shared" si="71"/>
        <v>0</v>
      </c>
      <c r="AD49" s="221"/>
      <c r="AE49" s="217">
        <f t="shared" si="56"/>
        <v>0</v>
      </c>
      <c r="AF49" s="217">
        <f t="shared" si="57"/>
        <v>0</v>
      </c>
      <c r="AG49" s="221"/>
      <c r="AH49" s="217">
        <f t="shared" si="58"/>
        <v>0</v>
      </c>
      <c r="AI49" s="217">
        <f t="shared" si="59"/>
        <v>0</v>
      </c>
      <c r="AJ49" s="221"/>
      <c r="AK49" s="215">
        <f t="shared" si="60"/>
        <v>0</v>
      </c>
      <c r="AL49" s="215">
        <f t="shared" si="61"/>
        <v>0</v>
      </c>
      <c r="AM49" s="221"/>
      <c r="AN49" s="215">
        <f t="shared" si="62"/>
        <v>0</v>
      </c>
      <c r="AO49" s="215">
        <f t="shared" si="63"/>
        <v>0</v>
      </c>
      <c r="AP49" s="221"/>
      <c r="AQ49" s="215">
        <f t="shared" si="64"/>
        <v>0</v>
      </c>
      <c r="AR49" s="215">
        <f t="shared" si="65"/>
        <v>0</v>
      </c>
      <c r="AS49" s="221"/>
      <c r="AT49" s="215">
        <f t="shared" si="66"/>
        <v>0</v>
      </c>
      <c r="AU49" s="215">
        <f t="shared" si="67"/>
        <v>0</v>
      </c>
      <c r="AV49" s="221"/>
      <c r="AW49" s="215">
        <f t="shared" si="68"/>
        <v>0</v>
      </c>
      <c r="AX49" s="215">
        <f t="shared" si="69"/>
        <v>0</v>
      </c>
      <c r="AY49" s="221"/>
      <c r="AZ49" s="215">
        <f t="shared" si="72"/>
        <v>0</v>
      </c>
      <c r="BA49" s="215">
        <f t="shared" si="73"/>
        <v>0</v>
      </c>
      <c r="BB49" s="221"/>
      <c r="BC49" s="215">
        <f t="shared" si="74"/>
        <v>0</v>
      </c>
      <c r="BD49" s="215">
        <f t="shared" si="75"/>
        <v>0</v>
      </c>
      <c r="BE49" s="221"/>
      <c r="BF49" s="215">
        <f t="shared" si="76"/>
        <v>0</v>
      </c>
      <c r="BG49" s="215">
        <f t="shared" si="77"/>
        <v>0</v>
      </c>
      <c r="BH49" s="221"/>
      <c r="BI49" s="215">
        <f t="shared" si="78"/>
        <v>0</v>
      </c>
      <c r="BJ49" s="215">
        <f t="shared" si="79"/>
        <v>0</v>
      </c>
    </row>
    <row r="50" spans="1:66" ht="15.65" customHeight="1">
      <c r="A50" s="7" t="s">
        <v>1238</v>
      </c>
      <c r="B50" s="4" t="str">
        <f>+VLOOKUP(A50,Takstblad!$A$33:$B$54,2,FALSE)</f>
        <v/>
      </c>
      <c r="C50" s="285"/>
      <c r="D50" s="285"/>
      <c r="E50" s="285"/>
      <c r="F50" s="285"/>
      <c r="G50" s="285"/>
      <c r="H50" s="285"/>
      <c r="I50" s="285"/>
      <c r="J50" s="285"/>
      <c r="K50" s="285"/>
      <c r="L50" s="285"/>
      <c r="M50" s="19">
        <f t="shared" si="70"/>
        <v>0</v>
      </c>
      <c r="N50" s="285"/>
      <c r="O50" s="285" t="s">
        <v>113</v>
      </c>
      <c r="Q50" s="26"/>
      <c r="R50" s="21">
        <f t="shared" si="55"/>
        <v>0</v>
      </c>
      <c r="S50" s="25">
        <f>+IFERROR(IF(S$19=Takstblad!C$3,VLOOKUP($A50,takstblad,3,FALSE)*C50,"fejl i år"),0)</f>
        <v>0</v>
      </c>
      <c r="T50" s="25">
        <f>+IFERROR(IF(T$19=Takstblad!D$3,VLOOKUP($A50,takstblad,4,FALSE)*D50,"fejl i år"),0)</f>
        <v>0</v>
      </c>
      <c r="U50" s="25">
        <f>+IFERROR(IF(U$19=Takstblad!E$3,VLOOKUP($A50,takstblad,5,FALSE)*E50,"fejl i år"),0)</f>
        <v>0</v>
      </c>
      <c r="V50" s="25">
        <f>+IFERROR(IF(V$19=Takstblad!F$3,VLOOKUP($A50,takstblad,6,FALSE)*F50,"fejl i år"),0)</f>
        <v>0</v>
      </c>
      <c r="W50" s="25">
        <f>+IFERROR(IF(W$19=Takstblad!G$3,VLOOKUP($A50,takstblad,7,FALSE)*G50,"fejl i år"),0)</f>
        <v>0</v>
      </c>
      <c r="X50" s="25">
        <f>+IFERROR(IF(X$19=Takstblad!H$3,VLOOKUP($A50,takstblad,8,FALSE)*H50,"fejl i år"),0)</f>
        <v>0</v>
      </c>
      <c r="Y50" s="25">
        <f>+IFERROR(IF(Y$19=Takstblad!I$3,VLOOKUP($A50,takstblad,9,FALSE)*I50,"fejl i år"),0)</f>
        <v>0</v>
      </c>
      <c r="Z50" s="25">
        <f>+IFERROR(IF(Z$19=Takstblad!J$3,VLOOKUP($A50,takstblad,10,FALSE)*J50,"fejl i år"),0)</f>
        <v>0</v>
      </c>
      <c r="AA50" s="25">
        <f>+IFERROR(IF(AA$19=Takstblad!K$3,VLOOKUP($A50,takstblad,11,FALSE)*K50,"fejl i år"),0)</f>
        <v>0</v>
      </c>
      <c r="AB50" s="25">
        <f>+IFERROR(IF(AB$19=Takstblad!L$3,VLOOKUP($A50,takstblad,12,FALSE)*L50,"fejl i år"),0)</f>
        <v>0</v>
      </c>
      <c r="AC50" s="21">
        <f t="shared" si="71"/>
        <v>0</v>
      </c>
      <c r="AD50" s="221"/>
      <c r="AE50" s="25">
        <f t="shared" si="56"/>
        <v>0</v>
      </c>
      <c r="AF50" s="25">
        <f t="shared" si="57"/>
        <v>0</v>
      </c>
      <c r="AG50" s="221"/>
      <c r="AH50" s="25">
        <f t="shared" si="58"/>
        <v>0</v>
      </c>
      <c r="AI50" s="25">
        <f t="shared" si="59"/>
        <v>0</v>
      </c>
      <c r="AJ50" s="221"/>
      <c r="AK50" s="25">
        <f t="shared" si="60"/>
        <v>0</v>
      </c>
      <c r="AL50" s="25">
        <f t="shared" si="61"/>
        <v>0</v>
      </c>
      <c r="AM50" s="221"/>
      <c r="AN50" s="25">
        <f t="shared" si="62"/>
        <v>0</v>
      </c>
      <c r="AO50" s="25">
        <f t="shared" si="63"/>
        <v>0</v>
      </c>
      <c r="AP50" s="221"/>
      <c r="AQ50" s="25">
        <f t="shared" si="64"/>
        <v>0</v>
      </c>
      <c r="AR50" s="25">
        <f t="shared" si="65"/>
        <v>0</v>
      </c>
      <c r="AS50" s="221"/>
      <c r="AT50" s="25">
        <f t="shared" si="66"/>
        <v>0</v>
      </c>
      <c r="AU50" s="25">
        <f t="shared" si="67"/>
        <v>0</v>
      </c>
      <c r="AV50" s="221"/>
      <c r="AW50" s="25">
        <f t="shared" si="68"/>
        <v>0</v>
      </c>
      <c r="AX50" s="25">
        <f t="shared" si="69"/>
        <v>0</v>
      </c>
      <c r="AY50" s="221"/>
      <c r="AZ50" s="25">
        <f t="shared" si="72"/>
        <v>0</v>
      </c>
      <c r="BA50" s="25">
        <f t="shared" si="73"/>
        <v>0</v>
      </c>
      <c r="BB50" s="221"/>
      <c r="BC50" s="25">
        <f t="shared" si="74"/>
        <v>0</v>
      </c>
      <c r="BD50" s="25">
        <f t="shared" si="75"/>
        <v>0</v>
      </c>
      <c r="BE50" s="221"/>
      <c r="BF50" s="25">
        <f t="shared" si="76"/>
        <v>0</v>
      </c>
      <c r="BG50" s="25">
        <f t="shared" si="77"/>
        <v>0</v>
      </c>
      <c r="BH50" s="221"/>
      <c r="BI50" s="25">
        <f t="shared" si="78"/>
        <v>0</v>
      </c>
      <c r="BJ50" s="25">
        <f t="shared" si="79"/>
        <v>0</v>
      </c>
    </row>
    <row r="51" spans="1:66" ht="15.65" customHeight="1">
      <c r="A51" s="212" t="s">
        <v>1238</v>
      </c>
      <c r="B51" s="213" t="str">
        <f>+VLOOKUP(A51,Takstblad!$A$33:$B$54,2,FALSE)</f>
        <v/>
      </c>
      <c r="C51" s="285"/>
      <c r="D51" s="285"/>
      <c r="E51" s="285"/>
      <c r="F51" s="285"/>
      <c r="G51" s="285"/>
      <c r="H51" s="285"/>
      <c r="I51" s="285"/>
      <c r="J51" s="285"/>
      <c r="K51" s="285"/>
      <c r="L51" s="285"/>
      <c r="M51" s="19">
        <f t="shared" si="70"/>
        <v>0</v>
      </c>
      <c r="N51" s="285"/>
      <c r="O51" s="285" t="s">
        <v>113</v>
      </c>
      <c r="P51" s="212"/>
      <c r="Q51" s="218"/>
      <c r="R51" s="216">
        <f t="shared" si="55"/>
        <v>0</v>
      </c>
      <c r="S51" s="215">
        <f>+IFERROR(IF(S$19=Takstblad!C$3,VLOOKUP($A51,takstblad,3,FALSE)*C51,"fejl i år"),0)</f>
        <v>0</v>
      </c>
      <c r="T51" s="215">
        <f>+IFERROR(IF(T$19=Takstblad!D$3,VLOOKUP($A51,takstblad,4,FALSE)*D51,"fejl i år"),0)</f>
        <v>0</v>
      </c>
      <c r="U51" s="215">
        <f>+IFERROR(IF(U$19=Takstblad!E$3,VLOOKUP($A51,takstblad,5,FALSE)*E51,"fejl i år"),0)</f>
        <v>0</v>
      </c>
      <c r="V51" s="215">
        <f>+IFERROR(IF(V$19=Takstblad!F$3,VLOOKUP($A51,takstblad,6,FALSE)*F51,"fejl i år"),0)</f>
        <v>0</v>
      </c>
      <c r="W51" s="215">
        <f>+IFERROR(IF(W$19=Takstblad!G$3,VLOOKUP($A51,takstblad,7,FALSE)*G51,"fejl i år"),0)</f>
        <v>0</v>
      </c>
      <c r="X51" s="215">
        <f>+IFERROR(IF(X$19=Takstblad!H$3,VLOOKUP($A51,takstblad,8,FALSE)*H51,"fejl i år"),0)</f>
        <v>0</v>
      </c>
      <c r="Y51" s="215">
        <f>+IFERROR(IF(Y$19=Takstblad!I$3,VLOOKUP($A51,takstblad,9,FALSE)*I51,"fejl i år"),0)</f>
        <v>0</v>
      </c>
      <c r="Z51" s="215">
        <f>+IFERROR(IF(Z$19=Takstblad!J$3,VLOOKUP($A51,takstblad,10,FALSE)*J51,"fejl i år"),0)</f>
        <v>0</v>
      </c>
      <c r="AA51" s="215">
        <f>+IFERROR(IF(AA$19=Takstblad!K$3,VLOOKUP($A51,takstblad,11,FALSE)*K51,"fejl i år"),0)</f>
        <v>0</v>
      </c>
      <c r="AB51" s="215">
        <f>+IFERROR(IF(AB$19=Takstblad!L$3,VLOOKUP($A51,takstblad,12,FALSE)*L51,"fejl i år"),0)</f>
        <v>0</v>
      </c>
      <c r="AC51" s="216">
        <f t="shared" si="71"/>
        <v>0</v>
      </c>
      <c r="AD51" s="221"/>
      <c r="AE51" s="217">
        <f t="shared" si="56"/>
        <v>0</v>
      </c>
      <c r="AF51" s="217">
        <f t="shared" si="57"/>
        <v>0</v>
      </c>
      <c r="AG51" s="221"/>
      <c r="AH51" s="217">
        <f t="shared" si="58"/>
        <v>0</v>
      </c>
      <c r="AI51" s="217">
        <f t="shared" si="59"/>
        <v>0</v>
      </c>
      <c r="AJ51" s="221"/>
      <c r="AK51" s="215">
        <f t="shared" si="60"/>
        <v>0</v>
      </c>
      <c r="AL51" s="215">
        <f t="shared" si="61"/>
        <v>0</v>
      </c>
      <c r="AM51" s="221"/>
      <c r="AN51" s="215">
        <f t="shared" si="62"/>
        <v>0</v>
      </c>
      <c r="AO51" s="215">
        <f t="shared" si="63"/>
        <v>0</v>
      </c>
      <c r="AP51" s="221"/>
      <c r="AQ51" s="215">
        <f t="shared" si="64"/>
        <v>0</v>
      </c>
      <c r="AR51" s="215">
        <f t="shared" si="65"/>
        <v>0</v>
      </c>
      <c r="AS51" s="221"/>
      <c r="AT51" s="215">
        <f t="shared" si="66"/>
        <v>0</v>
      </c>
      <c r="AU51" s="215">
        <f t="shared" si="67"/>
        <v>0</v>
      </c>
      <c r="AV51" s="221"/>
      <c r="AW51" s="215">
        <f t="shared" si="68"/>
        <v>0</v>
      </c>
      <c r="AX51" s="215">
        <f t="shared" si="69"/>
        <v>0</v>
      </c>
      <c r="AY51" s="221"/>
      <c r="AZ51" s="215">
        <f t="shared" si="72"/>
        <v>0</v>
      </c>
      <c r="BA51" s="215">
        <f t="shared" si="73"/>
        <v>0</v>
      </c>
      <c r="BB51" s="221"/>
      <c r="BC51" s="215">
        <f t="shared" si="74"/>
        <v>0</v>
      </c>
      <c r="BD51" s="215">
        <f t="shared" si="75"/>
        <v>0</v>
      </c>
      <c r="BE51" s="221"/>
      <c r="BF51" s="215">
        <f t="shared" si="76"/>
        <v>0</v>
      </c>
      <c r="BG51" s="215">
        <f t="shared" si="77"/>
        <v>0</v>
      </c>
      <c r="BH51" s="221"/>
      <c r="BI51" s="215">
        <f t="shared" si="78"/>
        <v>0</v>
      </c>
      <c r="BJ51" s="215">
        <f t="shared" si="79"/>
        <v>0</v>
      </c>
    </row>
    <row r="52" spans="1:66" ht="15.65" customHeight="1">
      <c r="A52" s="7" t="s">
        <v>1238</v>
      </c>
      <c r="B52" s="4" t="str">
        <f>+VLOOKUP(A52,Takstblad!$A$33:$B$54,2,FALSE)</f>
        <v/>
      </c>
      <c r="C52" s="285"/>
      <c r="D52" s="285"/>
      <c r="E52" s="285"/>
      <c r="F52" s="285"/>
      <c r="G52" s="285"/>
      <c r="H52" s="285"/>
      <c r="I52" s="285"/>
      <c r="J52" s="285"/>
      <c r="K52" s="285"/>
      <c r="L52" s="285"/>
      <c r="M52" s="19">
        <f t="shared" si="70"/>
        <v>0</v>
      </c>
      <c r="N52" s="285"/>
      <c r="O52" s="285" t="s">
        <v>113</v>
      </c>
      <c r="Q52" s="23"/>
      <c r="R52" s="21">
        <f t="shared" si="55"/>
        <v>0</v>
      </c>
      <c r="S52" s="25">
        <f>+IFERROR(IF(S$19=Takstblad!C$3,VLOOKUP($A52,takstblad,3,FALSE)*C52,"fejl i år"),0)</f>
        <v>0</v>
      </c>
      <c r="T52" s="25">
        <f>+IFERROR(IF(T$19=Takstblad!D$3,VLOOKUP($A52,takstblad,4,FALSE)*D52,"fejl i år"),0)</f>
        <v>0</v>
      </c>
      <c r="U52" s="25">
        <f>+IFERROR(IF(U$19=Takstblad!E$3,VLOOKUP($A52,takstblad,5,FALSE)*E52,"fejl i år"),0)</f>
        <v>0</v>
      </c>
      <c r="V52" s="25">
        <f>+IFERROR(IF(V$19=Takstblad!F$3,VLOOKUP($A52,takstblad,6,FALSE)*F52,"fejl i år"),0)</f>
        <v>0</v>
      </c>
      <c r="W52" s="25">
        <f>+IFERROR(IF(W$19=Takstblad!G$3,VLOOKUP($A52,takstblad,7,FALSE)*G52,"fejl i år"),0)</f>
        <v>0</v>
      </c>
      <c r="X52" s="25">
        <f>+IFERROR(IF(X$19=Takstblad!H$3,VLOOKUP($A52,takstblad,8,FALSE)*H52,"fejl i år"),0)</f>
        <v>0</v>
      </c>
      <c r="Y52" s="25">
        <f>+IFERROR(IF(Y$19=Takstblad!I$3,VLOOKUP($A52,takstblad,9,FALSE)*I52,"fejl i år"),0)</f>
        <v>0</v>
      </c>
      <c r="Z52" s="25">
        <f>+IFERROR(IF(Z$19=Takstblad!J$3,VLOOKUP($A52,takstblad,10,FALSE)*J52,"fejl i år"),0)</f>
        <v>0</v>
      </c>
      <c r="AA52" s="25">
        <f>+IFERROR(IF(AA$19=Takstblad!K$3,VLOOKUP($A52,takstblad,11,FALSE)*K52,"fejl i år"),0)</f>
        <v>0</v>
      </c>
      <c r="AB52" s="25">
        <f>+IFERROR(IF(AB$19=Takstblad!L$3,VLOOKUP($A52,takstblad,12,FALSE)*L52,"fejl i år"),0)</f>
        <v>0</v>
      </c>
      <c r="AC52" s="21">
        <f t="shared" si="71"/>
        <v>0</v>
      </c>
      <c r="AD52" s="221"/>
      <c r="AE52" s="25">
        <f t="shared" si="56"/>
        <v>0</v>
      </c>
      <c r="AF52" s="25">
        <f t="shared" si="57"/>
        <v>0</v>
      </c>
      <c r="AG52" s="221"/>
      <c r="AH52" s="25">
        <f t="shared" si="58"/>
        <v>0</v>
      </c>
      <c r="AI52" s="25">
        <f t="shared" si="59"/>
        <v>0</v>
      </c>
      <c r="AJ52" s="221"/>
      <c r="AK52" s="25">
        <f t="shared" si="60"/>
        <v>0</v>
      </c>
      <c r="AL52" s="25">
        <f t="shared" si="61"/>
        <v>0</v>
      </c>
      <c r="AM52" s="221"/>
      <c r="AN52" s="25">
        <f t="shared" si="62"/>
        <v>0</v>
      </c>
      <c r="AO52" s="25">
        <f t="shared" si="63"/>
        <v>0</v>
      </c>
      <c r="AP52" s="221"/>
      <c r="AQ52" s="25">
        <f t="shared" si="64"/>
        <v>0</v>
      </c>
      <c r="AR52" s="25">
        <f t="shared" si="65"/>
        <v>0</v>
      </c>
      <c r="AS52" s="221"/>
      <c r="AT52" s="25">
        <f t="shared" si="66"/>
        <v>0</v>
      </c>
      <c r="AU52" s="25">
        <f t="shared" si="67"/>
        <v>0</v>
      </c>
      <c r="AV52" s="221"/>
      <c r="AW52" s="25">
        <f t="shared" si="68"/>
        <v>0</v>
      </c>
      <c r="AX52" s="25">
        <f t="shared" si="69"/>
        <v>0</v>
      </c>
      <c r="AY52" s="221"/>
      <c r="AZ52" s="25">
        <f t="shared" si="72"/>
        <v>0</v>
      </c>
      <c r="BA52" s="25">
        <f t="shared" si="73"/>
        <v>0</v>
      </c>
      <c r="BB52" s="221"/>
      <c r="BC52" s="25">
        <f t="shared" si="74"/>
        <v>0</v>
      </c>
      <c r="BD52" s="25">
        <f t="shared" si="75"/>
        <v>0</v>
      </c>
      <c r="BE52" s="221"/>
      <c r="BF52" s="25">
        <f t="shared" si="76"/>
        <v>0</v>
      </c>
      <c r="BG52" s="25">
        <f t="shared" si="77"/>
        <v>0</v>
      </c>
      <c r="BH52" s="221"/>
      <c r="BI52" s="25">
        <f t="shared" si="78"/>
        <v>0</v>
      </c>
      <c r="BJ52" s="25">
        <f t="shared" si="79"/>
        <v>0</v>
      </c>
    </row>
    <row r="53" spans="1:66" s="11" customFormat="1" ht="15.65" customHeight="1">
      <c r="A53" s="5" t="s">
        <v>231</v>
      </c>
      <c r="B53" s="4"/>
      <c r="C53" s="157">
        <f>IF($C$12=2,0,IF(OR($G$7="Salary and operations",$G$7="Salary"),S53/Takstblad!C57,0))</f>
        <v>0</v>
      </c>
      <c r="D53" s="157">
        <f>IF($C$12=2,0,IF(OR($G$7="Salary and operations",$G$7="Salary"),T53/Takstblad!D57,0))</f>
        <v>0</v>
      </c>
      <c r="E53" s="157">
        <f>IF($C$12=2,0,IF(OR($G$7="Salary and operations",$G$7="Salary"),U53/Takstblad!E57,0))</f>
        <v>0</v>
      </c>
      <c r="F53" s="157">
        <f>IF($C$12=2,0,IF(OR($G$7="Salary and operations",$G$7="Salary"),V53/Takstblad!F57,0))</f>
        <v>0</v>
      </c>
      <c r="G53" s="157">
        <f>IF($C$12=2,0,IF(OR($G$7="Salary and operations",$G$7="Salary"),W53/Takstblad!G57,0))</f>
        <v>0</v>
      </c>
      <c r="H53" s="157">
        <f>IF($C$12=2,0,IF(OR($G$7="Salary and operations",$G$7="Salary"),X53/Takstblad!H57,0))</f>
        <v>0</v>
      </c>
      <c r="I53" s="157">
        <f>IF($C$12=2,0,IF(OR($G$7="Salary and operations",$G$7="Salary"),Y53/Takstblad!I57,0))</f>
        <v>0</v>
      </c>
      <c r="J53" s="157">
        <f>IF($C$12=2,0,IF(OR($G$7="Salary and operations",$G$7="Salary"),Z53/Takstblad!J57,0))</f>
        <v>0</v>
      </c>
      <c r="K53" s="157">
        <f>IF($C$12=2,0,IF(OR($G$7="Salary and operations",$G$7="Salary"),AA53/Takstblad!K57,0))</f>
        <v>0</v>
      </c>
      <c r="L53" s="157">
        <f>IF($C$12=2,0,IF(OR($G$7="Salary and operations",$G$7="Salary"),AB53/Takstblad!L57,0))</f>
        <v>0</v>
      </c>
      <c r="M53" s="65">
        <f t="shared" si="70"/>
        <v>0</v>
      </c>
      <c r="N53" s="20"/>
      <c r="O53" s="159" t="s">
        <v>152</v>
      </c>
      <c r="Q53" s="27"/>
      <c r="R53" s="21">
        <f>+AC53</f>
        <v>0</v>
      </c>
      <c r="S53" s="25">
        <f>IFERROR(IF($C$12=2,0,IF(OR($G$7="Salary and operations",$G$7="Salary"),VLOOKUP($C$2,Takstblad!$B$58:$L$70,2,FALSE)*C$58,0)),0)</f>
        <v>0</v>
      </c>
      <c r="T53" s="25">
        <f>IFERROR(IF($C$12=2,0,IF(OR($G$7="Salary and operations",$G$7="Salary"),VLOOKUP($C$2,Takstblad!$B$58:$L$70,3,FALSE)*D$58,0)),0)</f>
        <v>0</v>
      </c>
      <c r="U53" s="25">
        <f>IFERROR(IF($C$12=2,0,IF(OR($G$7="Salary and operations",$G$7="Salary"),VLOOKUP($C$2,Takstblad!$B$58:$L$70,4,FALSE)*E$58,0)),0)</f>
        <v>0</v>
      </c>
      <c r="V53" s="25">
        <f>IFERROR(IF($C$12=2,0,IF(OR($G$7="Salary and operations",$G$7="Salary"),VLOOKUP($C$2,Takstblad!$B$58:$L$70,5,FALSE)*F$58,0)),0)</f>
        <v>0</v>
      </c>
      <c r="W53" s="25">
        <f>IFERROR(IF($C$12=2,0,IF(OR($G$7="Salary and operations",$G$7="Salary"),VLOOKUP($C$2,Takstblad!$B$58:$L$70,6,FALSE)*G$58,0)),0)</f>
        <v>0</v>
      </c>
      <c r="X53" s="25">
        <f>IFERROR(IF($C$12=2,0,IF(OR($G$7="Salary and operations",$G$7="Salary"),VLOOKUP($C$2,Takstblad!$B$58:$L$70,7,FALSE)*H$58,0)),0)</f>
        <v>0</v>
      </c>
      <c r="Y53" s="25">
        <f>IFERROR(IF($C$12=2,0,IF(OR($G$7="salary and operations",$G$7="Salary"),VLOOKUP($C$2,Takstblad!$B$58:$L$70,8,FALSE)*I$58,0)),0)</f>
        <v>0</v>
      </c>
      <c r="Z53" s="25">
        <f>IFERROR(IF($C$12=2,0,IF(OR($G$7="salary and operations",$G$7="Salary"),VLOOKUP($C$2,Takstblad!$B$58:$L$70,9,FALSE)*J$58,0)),0)</f>
        <v>0</v>
      </c>
      <c r="AA53" s="25">
        <f>IFERROR(IF($C$12=2,0,IF(OR($G$7="salary and operations",$G$7="Salary"),VLOOKUP($C$2,Takstblad!$B$58:$L$70,10,FALSE)*K$58,0)),0)</f>
        <v>0</v>
      </c>
      <c r="AB53" s="25">
        <f>IFERROR(IF($C$12=2,0,IF(OR($G$7="salary and operations",$G$7="Salary"),VLOOKUP($C$2,Takstblad!$B$58:$L$70,11,FALSE)*L$58,0)),0)</f>
        <v>0</v>
      </c>
      <c r="AC53" s="21">
        <f t="shared" si="71"/>
        <v>0</v>
      </c>
      <c r="AD53" s="221"/>
      <c r="AE53" s="25">
        <f>+M53*($C$7/12)</f>
        <v>0</v>
      </c>
      <c r="AF53" s="25">
        <f t="shared" si="57"/>
        <v>0</v>
      </c>
      <c r="AG53" s="7"/>
      <c r="AH53" s="25">
        <f t="shared" si="58"/>
        <v>0</v>
      </c>
      <c r="AI53" s="25">
        <f t="shared" si="59"/>
        <v>0</v>
      </c>
      <c r="AJ53" s="7"/>
      <c r="AK53" s="25">
        <f t="shared" si="60"/>
        <v>0</v>
      </c>
      <c r="AL53" s="25">
        <f t="shared" si="61"/>
        <v>0</v>
      </c>
      <c r="AM53" s="221"/>
      <c r="AN53" s="25">
        <f t="shared" si="62"/>
        <v>0</v>
      </c>
      <c r="AO53" s="25">
        <f t="shared" si="63"/>
        <v>0</v>
      </c>
      <c r="AP53" s="221"/>
      <c r="AQ53" s="25">
        <f t="shared" si="64"/>
        <v>0</v>
      </c>
      <c r="AR53" s="25">
        <f t="shared" si="65"/>
        <v>0</v>
      </c>
      <c r="AS53" s="221"/>
      <c r="AT53" s="25">
        <f t="shared" si="66"/>
        <v>0</v>
      </c>
      <c r="AU53" s="25">
        <f t="shared" si="67"/>
        <v>0</v>
      </c>
      <c r="AV53" s="221"/>
      <c r="AW53" s="25">
        <f t="shared" si="68"/>
        <v>0</v>
      </c>
      <c r="AX53" s="25">
        <f t="shared" si="69"/>
        <v>0</v>
      </c>
      <c r="AY53" s="7"/>
      <c r="AZ53" s="25">
        <f t="shared" si="72"/>
        <v>0</v>
      </c>
      <c r="BA53" s="25">
        <f t="shared" si="73"/>
        <v>0</v>
      </c>
      <c r="BB53" s="7"/>
      <c r="BC53" s="25">
        <f t="shared" si="74"/>
        <v>0</v>
      </c>
      <c r="BD53" s="25">
        <f t="shared" si="75"/>
        <v>0</v>
      </c>
      <c r="BE53" s="7"/>
      <c r="BF53" s="25">
        <f t="shared" si="76"/>
        <v>0</v>
      </c>
      <c r="BG53" s="25">
        <f t="shared" si="77"/>
        <v>0</v>
      </c>
      <c r="BH53" s="7"/>
      <c r="BI53" s="25">
        <f t="shared" si="78"/>
        <v>0</v>
      </c>
      <c r="BJ53" s="25">
        <f t="shared" si="79"/>
        <v>0</v>
      </c>
      <c r="BK53" s="7"/>
      <c r="BL53" s="7"/>
      <c r="BM53" s="7"/>
      <c r="BN53" s="7"/>
    </row>
    <row r="54" spans="1:66" s="11" customFormat="1" ht="15.65" customHeight="1">
      <c r="A54" s="5" t="s">
        <v>232</v>
      </c>
      <c r="B54" s="4"/>
      <c r="C54" s="157">
        <f>IF($C$12=2,0,IF(OR($G$7="Salary and operations",$G$7="Salary"),S54/Takstblad!C57,0))</f>
        <v>0</v>
      </c>
      <c r="D54" s="157">
        <f>IF($C$12=2,0,IF(OR($G$7="Salary and operations",$G$7="Salary"),T54/Takstblad!D57,0))</f>
        <v>0</v>
      </c>
      <c r="E54" s="157">
        <f>IF($C$12=2,0,IF(OR($G$7="Salary and operations",$G$7="Salary"),U54/Takstblad!E57,0))</f>
        <v>0</v>
      </c>
      <c r="F54" s="157">
        <f>IF($C$12=2,0,IF(OR($G$7="Salary and operations",$G$7="Salary"),V54/Takstblad!F57,0))</f>
        <v>0</v>
      </c>
      <c r="G54" s="157">
        <f>IF($C$12=2,0,IF(OR($G$7="Salary and operations",$G$7="Salary"),W54/Takstblad!G57,0))</f>
        <v>0</v>
      </c>
      <c r="H54" s="157">
        <f>IF($C$12=2,0,IF(OR($G$7="Salary and operations",$G$7="Salary"),X54/Takstblad!H57,0))</f>
        <v>0</v>
      </c>
      <c r="I54" s="157">
        <f>IF($C$12=2,0,IF(OR($G$7="Salary and operations",$G$7="Salary"),Y54/Takstblad!I57,0))</f>
        <v>0</v>
      </c>
      <c r="J54" s="157">
        <f>IF($C$12=2,0,IF(OR($G$7="Salary and operations",$G$7="Salary"),Z54/Takstblad!J57,0))</f>
        <v>0</v>
      </c>
      <c r="K54" s="157">
        <f>IF($C$12=2,0,IF(OR($G$7="Salary and operations",$G$7="Salary"),AA54/Takstblad!K57,0))</f>
        <v>0</v>
      </c>
      <c r="L54" s="157">
        <f>IF($C$12=2,0,IF(OR($G$7="Salary and operations",$G$7="Salary"),AB54/Takstblad!L57,0))</f>
        <v>0</v>
      </c>
      <c r="M54" s="65">
        <f t="shared" si="70"/>
        <v>0</v>
      </c>
      <c r="N54" s="94"/>
      <c r="O54" s="159" t="s">
        <v>112</v>
      </c>
      <c r="Q54" s="27"/>
      <c r="R54" s="21">
        <f t="shared" si="55"/>
        <v>0</v>
      </c>
      <c r="S54" s="25">
        <f>IFERROR(IF($C$12=2,0,IF(OR($G$7="Salary and operations",$G$7="Salary"),VLOOKUP($C$2,Takstblad!$B$58:$L$70,2,FALSE)*C$59,0)),0)</f>
        <v>0</v>
      </c>
      <c r="T54" s="25">
        <f>IFERROR(IF($C$12=2,0,IF(OR($G$7="Salary and operations",$G$7="Salary"),VLOOKUP($C$2,Takstblad!$B$58:$L$70,3,FALSE)*D$59,0)),0)</f>
        <v>0</v>
      </c>
      <c r="U54" s="25">
        <f>IFERROR(IF($C$12=2,0,IF(OR($G$7="Salary and operations",$G$7="Salary"),VLOOKUP($C$2,Takstblad!$B$58:$L$70,4,FALSE)*E$59,0)),0)</f>
        <v>0</v>
      </c>
      <c r="V54" s="25">
        <f>IFERROR(IF($C$12=2,0,IF(OR($G$7="Salary and operations",$G$7="Salary"),VLOOKUP($C$2,Takstblad!$B$58:$L$70,5,FALSE)*F$59,0)),0)</f>
        <v>0</v>
      </c>
      <c r="W54" s="25">
        <f>IFERROR(IF($C$12=2,0,IF(OR($G$7="Salary and operations",$G$7="Salary"),VLOOKUP($C$2,Takstblad!$B$58:$L$70,6,FALSE)*G$59,0)),0)</f>
        <v>0</v>
      </c>
      <c r="X54" s="25">
        <f>IFERROR(IF($C$12=2,0,IF(OR($G$7="Salary and operations",$G$7="Salary"),VLOOKUP($C$2,Takstblad!$B$58:$L$70,7,FALSE)*H$59,0)),0)</f>
        <v>0</v>
      </c>
      <c r="Y54" s="25">
        <f>IFERROR(IF($C$12=2,0,IF(OR($G$7="salary and operations",$G$7="Salary"),VLOOKUP($C$2,Takstblad!$B$58:$L$70,8,FALSE)*I$59,0)),0)</f>
        <v>0</v>
      </c>
      <c r="Z54" s="25">
        <f>IFERROR(IF($C$12=2,0,IF(OR($G$7="salary and operations",$G$7="Salary"),VLOOKUP($C$2,Takstblad!$B$58:$L$70,9,FALSE)*J$59,0)),0)</f>
        <v>0</v>
      </c>
      <c r="AA54" s="25">
        <f>IFERROR(IF($C$12=2,0,IF(OR($G$7="salary and operations",$G$7="Salary"),VLOOKUP($C$2,Takstblad!$B$58:$L$70,10,FALSE)*K$59,0)),0)</f>
        <v>0</v>
      </c>
      <c r="AB54" s="25">
        <f>IFERROR(IF($C$12=2,0,IF(OR($G$7="salary and operations",$G$7="Salary"),VLOOKUP($C$2,Takstblad!$B$58:$L$70,11,FALSE)*L$59,0)),0)</f>
        <v>0</v>
      </c>
      <c r="AC54" s="21">
        <f t="shared" si="71"/>
        <v>0</v>
      </c>
      <c r="AD54" s="7"/>
      <c r="AE54" s="25">
        <f>+M54*($C$7/12)</f>
        <v>0</v>
      </c>
      <c r="AF54" s="25">
        <f>IFERROR(AC54/AE54,0)</f>
        <v>0</v>
      </c>
      <c r="AG54" s="7"/>
      <c r="AH54" s="25">
        <f>+C54*($C$7/12)</f>
        <v>0</v>
      </c>
      <c r="AI54" s="25">
        <f>IFERROR(S54/AH54,0)</f>
        <v>0</v>
      </c>
      <c r="AJ54" s="7"/>
      <c r="AK54" s="25">
        <f>+D54*($C$7/12)</f>
        <v>0</v>
      </c>
      <c r="AL54" s="25">
        <f>IFERROR(T54/AK54,0)</f>
        <v>0</v>
      </c>
      <c r="AM54" s="7"/>
      <c r="AN54" s="25">
        <f>+E54*($C$7/12)</f>
        <v>0</v>
      </c>
      <c r="AO54" s="25">
        <f>IFERROR(U54/AN54,0)</f>
        <v>0</v>
      </c>
      <c r="AP54" s="221"/>
      <c r="AQ54" s="25">
        <f>+F54*($C$7/12)</f>
        <v>0</v>
      </c>
      <c r="AR54" s="25">
        <f>IFERROR(V54/AQ54,0)</f>
        <v>0</v>
      </c>
      <c r="AS54" s="7"/>
      <c r="AT54" s="25">
        <f>+G54*($C$7/12)</f>
        <v>0</v>
      </c>
      <c r="AU54" s="25">
        <f>IFERROR(W54/AT54,0)</f>
        <v>0</v>
      </c>
      <c r="AV54" s="7"/>
      <c r="AW54" s="25">
        <f>+H54*($C$7/12)</f>
        <v>0</v>
      </c>
      <c r="AX54" s="25">
        <f>IFERROR(X54/AW54,0)</f>
        <v>0</v>
      </c>
      <c r="AY54" s="7"/>
      <c r="AZ54" s="25">
        <f>+I54*($C$7/12)</f>
        <v>0</v>
      </c>
      <c r="BA54" s="25">
        <f>IFERROR(Y54/AZ54,0)</f>
        <v>0</v>
      </c>
      <c r="BB54" s="7"/>
      <c r="BC54" s="25">
        <f>+J54*($C$7/12)</f>
        <v>0</v>
      </c>
      <c r="BD54" s="25">
        <f>IFERROR(Z54/BC54,0)</f>
        <v>0</v>
      </c>
      <c r="BE54" s="7"/>
      <c r="BF54" s="25">
        <f t="shared" si="76"/>
        <v>0</v>
      </c>
      <c r="BG54" s="25">
        <f t="shared" si="77"/>
        <v>0</v>
      </c>
      <c r="BH54" s="7"/>
      <c r="BI54" s="25">
        <f t="shared" si="78"/>
        <v>0</v>
      </c>
      <c r="BJ54" s="25">
        <f t="shared" si="79"/>
        <v>0</v>
      </c>
      <c r="BK54" s="7"/>
      <c r="BL54" s="7"/>
      <c r="BM54" s="7"/>
      <c r="BN54" s="7"/>
    </row>
    <row r="55" spans="1:66" ht="15.65" customHeight="1" thickBot="1">
      <c r="A55" s="5" t="s">
        <v>719</v>
      </c>
      <c r="B55" s="4"/>
      <c r="C55" s="160">
        <f>IF($C$10="Yes",((SUMIFS(C$20:C$29,$O$20:$O$29,Lister!$D$29,$A$20:$A$29,Takstblad!$A$18)+SUMIFS(C$20:C$29,$O$20:$O$29,Lister!$D$29,$A$20:$A$29,Takstblad!$A$19)+SUMIFS(C$20:C$29,$O$20:$O$29,Lister!$D$29,$A$20:$A$29,Takstblad!$A$20)+SUMIFS(C$20:C$29,$O$20:$O$29,Lister!$D$29,$A$20:$A$29,Takstblad!$A$21)+SUMIFS(C$20:C$29,$O$20:$O$29,Lister!$D$29,$A$20:$A$29,Takstblad!$A$22)+SUMIFS(C$20:C$29,$O$20:$O$29,Lister!$D$29,$A$20:$A$29,Takstblad!$A$23)+SUMIFS(C$20:C$29,$O$20:$O$29,Lister!$D$30,$A$20:$A$29,Takstblad!$A$18)+SUMIFS(C$20:C$29,$O$20:$O$29,Lister!$D$30,$A$20:$A$29,Takstblad!$A$19)+SUMIFS(C$20:C$29,$O$20:$O$29,Lister!$D$30,$A$20:$A$29,Takstblad!$A$20)+SUMIFS(C$20:C$29,$O$20:$O$29,Lister!$D$30,$A$20:$A$29,Takstblad!$A$21)+SUMIFS(C$20:C$29,$O$20:$O$29,Lister!$D$30,$A$20:$A$29,Takstblad!$A$22)+SUMIFS(C$20:C$29,$O$20:$O$29,Lister!$D$30,$A$20:$A$29,Takstblad!$A$23))/12)*0.5+((+SUMIF($O$43:$O$52,Lister!$D$29,C$43:C$52)-SUMIFS(C$43:C$52,$O$43:$O$52,Lister!$D$29,$A$43:$A$52,Takstblad!$A$34)-SUMIFS(C$43:C$52,$O$43:$O$52,Lister!$D$29,$A$43:$A$52,Takstblad!$A$36)-SUMIFS(C$43:C$52,$O$43:$O$52,Lister!$D$29,$A$43:$A$52,Takstblad!$A$43)-SUMIFS(C$43:C$52,$O$43:$O$52,Lister!$D$29,$A$43:$A$52,Takstblad!$A$44)+SUMIF($O$43:$O$52,Lister!$D$30,C$43:C$52)-SUMIFS(C$43:C$52,$O$43:$O$52,Lister!$D$30,$A$43:$A$52,Takstblad!$A$34)-SUMIFS(C$43:C$52,$O$43:$O$52,Lister!$D$30,$A$43:$A$52,Takstblad!$A$36)-SUMIFS(C$43:C$52,$O$43:$O$52,Lister!$D$30,$A$43:$A$52,Takstblad!$A$43)-SUMIFS(C$43:C$52,$O$43:$O$52,Lister!$D$30,$A$43:$A$52,Takstblad!$A$44))*0.3),0)</f>
        <v>0</v>
      </c>
      <c r="D55" s="160">
        <f>IF($C$10="Yes",((SUMIFS(D$20:D$29,$O$20:$O$29,Lister!$D$29,$A$20:$A$29,Takstblad!$A$18)+SUMIFS(D$20:D$29,$O$20:$O$29,Lister!$D$29,$A$20:$A$29,Takstblad!$A$19)+SUMIFS(D$20:D$29,$O$20:$O$29,Lister!$D$29,$A$20:$A$29,Takstblad!$A$20)+SUMIFS(D$20:D$29,$O$20:$O$29,Lister!$D$29,$A$20:$A$29,Takstblad!$A$21)+SUMIFS(D$20:D$29,$O$20:$O$29,Lister!$D$29,$A$20:$A$29,Takstblad!$A$22)+SUMIFS(D$20:D$29,$O$20:$O$29,Lister!$D$29,$A$20:$A$29,Takstblad!$A$23)+SUMIFS(D$20:D$29,$O$20:$O$29,Lister!$D$30,$A$20:$A$29,Takstblad!$A$18)+SUMIFS(D$20:D$29,$O$20:$O$29,Lister!$D$30,$A$20:$A$29,Takstblad!$A$19)+SUMIFS(D$20:D$29,$O$20:$O$29,Lister!$D$30,$A$20:$A$29,Takstblad!$A$20)+SUMIFS(D$20:D$29,$O$20:$O$29,Lister!$D$30,$A$20:$A$29,Takstblad!$A$21)+SUMIFS(D$20:D$29,$O$20:$O$29,Lister!$D$30,$A$20:$A$29,Takstblad!$A$22)+SUMIFS(D$20:D$29,$O$20:$O$29,Lister!$D$30,$A$20:$A$29,Takstblad!$A$23))/12)*0.5+((+SUMIF($O$43:$O$52,Lister!$D$29,D$43:D$52)-SUMIFS(D$43:D$52,$O$43:$O$52,Lister!$D$29,$A$43:$A$52,Takstblad!$A$34)-SUMIFS(D$43:D$52,$O$43:$O$52,Lister!$D$29,$A$43:$A$52,Takstblad!$A$36)-SUMIFS(D$43:D$52,$O$43:$O$52,Lister!$D$29,$A$43:$A$52,Takstblad!$A$43)-SUMIFS(D$43:D$52,$O$43:$O$52,Lister!$D$29,$A$43:$A$52,Takstblad!$A$44)+SUMIF($O$43:$O$52,Lister!$D$30,D$43:D$52)-SUMIFS(D$43:D$52,$O$43:$O$52,Lister!$D$30,$A$43:$A$52,Takstblad!$A$34)-SUMIFS(D$43:D$52,$O$43:$O$52,Lister!$D$30,$A$43:$A$52,Takstblad!$A$36)-SUMIFS(D$43:D$52,$O$43:$O$52,Lister!$D$30,$A$43:$A$52,Takstblad!$A$43)-SUMIFS(D$43:D$52,$O$43:$O$52,Lister!$D$30,$A$43:$A$52,Takstblad!$A$44))*0.3),0)</f>
        <v>0</v>
      </c>
      <c r="E55" s="160">
        <f>IF($C$10="Yes",((SUMIFS(E$20:E$29,$O$20:$O$29,Lister!$D$29,$A$20:$A$29,Takstblad!$A$18)+SUMIFS(E$20:E$29,$O$20:$O$29,Lister!$D$29,$A$20:$A$29,Takstblad!$A$19)+SUMIFS(E$20:E$29,$O$20:$O$29,Lister!$D$29,$A$20:$A$29,Takstblad!$A$20)+SUMIFS(E$20:E$29,$O$20:$O$29,Lister!$D$29,$A$20:$A$29,Takstblad!$A$21)+SUMIFS(E$20:E$29,$O$20:$O$29,Lister!$D$29,$A$20:$A$29,Takstblad!$A$22)+SUMIFS(E$20:E$29,$O$20:$O$29,Lister!$D$29,$A$20:$A$29,Takstblad!$A$23)+SUMIFS(E$20:E$29,$O$20:$O$29,Lister!$D$30,$A$20:$A$29,Takstblad!$A$18)+SUMIFS(E$20:E$29,$O$20:$O$29,Lister!$D$30,$A$20:$A$29,Takstblad!$A$19)+SUMIFS(E$20:E$29,$O$20:$O$29,Lister!$D$30,$A$20:$A$29,Takstblad!$A$20)+SUMIFS(E$20:E$29,$O$20:$O$29,Lister!$D$30,$A$20:$A$29,Takstblad!$A$21)+SUMIFS(E$20:E$29,$O$20:$O$29,Lister!$D$30,$A$20:$A$29,Takstblad!$A$22)+SUMIFS(E$20:E$29,$O$20:$O$29,Lister!$D$30,$A$20:$A$29,Takstblad!$A$23))/12)*0.5+((+SUMIF($O$43:$O$52,Lister!$D$29,E$43:E$52)-SUMIFS(E$43:E$52,$O$43:$O$52,Lister!$D$29,$A$43:$A$52,Takstblad!$A$34)-SUMIFS(E$43:E$52,$O$43:$O$52,Lister!$D$29,$A$43:$A$52,Takstblad!$A$36)-SUMIFS(E$43:E$52,$O$43:$O$52,Lister!$D$29,$A$43:$A$52,Takstblad!$A$43)-SUMIFS(E$43:E$52,$O$43:$O$52,Lister!$D$29,$A$43:$A$52,Takstblad!$A$44)+SUMIF($O$43:$O$52,Lister!$D$30,E$43:E$52)-SUMIFS(E$43:E$52,$O$43:$O$52,Lister!$D$30,$A$43:$A$52,Takstblad!$A$34)-SUMIFS(E$43:E$52,$O$43:$O$52,Lister!$D$30,$A$43:$A$52,Takstblad!$A$36)-SUMIFS(E$43:E$52,$O$43:$O$52,Lister!$D$30,$A$43:$A$52,Takstblad!$A$43)-SUMIFS(E$43:E$52,$O$43:$O$52,Lister!$D$30,$A$43:$A$52,Takstblad!$A$44))*0.3),0)</f>
        <v>0</v>
      </c>
      <c r="F55" s="160">
        <f>IF($C$10="Yes",((SUMIFS(F$20:F$29,$O$20:$O$29,Lister!$D$29,$A$20:$A$29,Takstblad!$A$18)+SUMIFS(F$20:F$29,$O$20:$O$29,Lister!$D$29,$A$20:$A$29,Takstblad!$A$19)+SUMIFS(F$20:F$29,$O$20:$O$29,Lister!$D$29,$A$20:$A$29,Takstblad!$A$20)+SUMIFS(F$20:F$29,$O$20:$O$29,Lister!$D$29,$A$20:$A$29,Takstblad!$A$21)+SUMIFS(F$20:F$29,$O$20:$O$29,Lister!$D$29,$A$20:$A$29,Takstblad!$A$22)+SUMIFS(F$20:F$29,$O$20:$O$29,Lister!$D$29,$A$20:$A$29,Takstblad!$A$23)+SUMIFS(F$20:F$29,$O$20:$O$29,Lister!$D$30,$A$20:$A$29,Takstblad!$A$18)+SUMIFS(F$20:F$29,$O$20:$O$29,Lister!$D$30,$A$20:$A$29,Takstblad!$A$19)+SUMIFS(F$20:F$29,$O$20:$O$29,Lister!$D$30,$A$20:$A$29,Takstblad!$A$20)+SUMIFS(F$20:F$29,$O$20:$O$29,Lister!$D$30,$A$20:$A$29,Takstblad!$A$21)+SUMIFS(F$20:F$29,$O$20:$O$29,Lister!$D$30,$A$20:$A$29,Takstblad!$A$22)+SUMIFS(F$20:F$29,$O$20:$O$29,Lister!$D$30,$A$20:$A$29,Takstblad!$A$23))/12)*0.5+((+SUMIF($O$43:$O$52,Lister!$D$29,F$43:F$52)-SUMIFS(F$43:F$52,$O$43:$O$52,Lister!$D$29,$A$43:$A$52,Takstblad!$A$34)-SUMIFS(F$43:F$52,$O$43:$O$52,Lister!$D$29,$A$43:$A$52,Takstblad!$A$36)-SUMIFS(F$43:F$52,$O$43:$O$52,Lister!$D$29,$A$43:$A$52,Takstblad!$A$43)-SUMIFS(F$43:F$52,$O$43:$O$52,Lister!$D$29,$A$43:$A$52,Takstblad!$A$44)+SUMIF($O$43:$O$52,Lister!$D$30,F$43:F$52)-SUMIFS(F$43:F$52,$O$43:$O$52,Lister!$D$30,$A$43:$A$52,Takstblad!$A$34)-SUMIFS(F$43:F$52,$O$43:$O$52,Lister!$D$30,$A$43:$A$52,Takstblad!$A$36)-SUMIFS(F$43:F$52,$O$43:$O$52,Lister!$D$30,$A$43:$A$52,Takstblad!$A$43)-SUMIFS(F$43:F$52,$O$43:$O$52,Lister!$D$30,$A$43:$A$52,Takstblad!$A$44))*0.3),0)</f>
        <v>0</v>
      </c>
      <c r="G55" s="160">
        <f>IF($C$10="Yes",((SUMIFS(G$20:G$29,$O$20:$O$29,Lister!$D$29,$A$20:$A$29,Takstblad!$A$18)+SUMIFS(G$20:G$29,$O$20:$O$29,Lister!$D$29,$A$20:$A$29,Takstblad!$A$19)+SUMIFS(G$20:G$29,$O$20:$O$29,Lister!$D$29,$A$20:$A$29,Takstblad!$A$20)+SUMIFS(G$20:G$29,$O$20:$O$29,Lister!$D$29,$A$20:$A$29,Takstblad!$A$21)+SUMIFS(G$20:G$29,$O$20:$O$29,Lister!$D$29,$A$20:$A$29,Takstblad!$A$22)+SUMIFS(G$20:G$29,$O$20:$O$29,Lister!$D$29,$A$20:$A$29,Takstblad!$A$23)+SUMIFS(G$20:G$29,$O$20:$O$29,Lister!$D$30,$A$20:$A$29,Takstblad!$A$18)+SUMIFS(G$20:G$29,$O$20:$O$29,Lister!$D$30,$A$20:$A$29,Takstblad!$A$19)+SUMIFS(G$20:G$29,$O$20:$O$29,Lister!$D$30,$A$20:$A$29,Takstblad!$A$20)+SUMIFS(G$20:G$29,$O$20:$O$29,Lister!$D$30,$A$20:$A$29,Takstblad!$A$21)+SUMIFS(G$20:G$29,$O$20:$O$29,Lister!$D$30,$A$20:$A$29,Takstblad!$A$22)+SUMIFS(G$20:G$29,$O$20:$O$29,Lister!$D$30,$A$20:$A$29,Takstblad!$A$23))/12)*0.5+((+SUMIF($O$43:$O$52,Lister!$D$29,G$43:G$52)-SUMIFS(G$43:G$52,$O$43:$O$52,Lister!$D$29,$A$43:$A$52,Takstblad!$A$34)-SUMIFS(G$43:G$52,$O$43:$O$52,Lister!$D$29,$A$43:$A$52,Takstblad!$A$36)-SUMIFS(G$43:G$52,$O$43:$O$52,Lister!$D$29,$A$43:$A$52,Takstblad!$A$43)-SUMIFS(G$43:G$52,$O$43:$O$52,Lister!$D$29,$A$43:$A$52,Takstblad!$A$44)+SUMIF($O$43:$O$52,Lister!$D$30,G$43:G$52)-SUMIFS(G$43:G$52,$O$43:$O$52,Lister!$D$30,$A$43:$A$52,Takstblad!$A$34)-SUMIFS(G$43:G$52,$O$43:$O$52,Lister!$D$30,$A$43:$A$52,Takstblad!$A$36)-SUMIFS(G$43:G$52,$O$43:$O$52,Lister!$D$30,$A$43:$A$52,Takstblad!$A$43)-SUMIFS(G$43:G$52,$O$43:$O$52,Lister!$D$30,$A$43:$A$52,Takstblad!$A$44))*0.3),0)</f>
        <v>0</v>
      </c>
      <c r="H55" s="160">
        <f>IF($C$10="Yes",((SUMIFS(H$20:H$29,$O$20:$O$29,Lister!$D$29,$A$20:$A$29,Takstblad!$A$18)+SUMIFS(H$20:H$29,$O$20:$O$29,Lister!$D$29,$A$20:$A$29,Takstblad!$A$19)+SUMIFS(H$20:H$29,$O$20:$O$29,Lister!$D$29,$A$20:$A$29,Takstblad!$A$20)+SUMIFS(H$20:H$29,$O$20:$O$29,Lister!$D$29,$A$20:$A$29,Takstblad!$A$21)+SUMIFS(H$20:H$29,$O$20:$O$29,Lister!$D$29,$A$20:$A$29,Takstblad!$A$22)+SUMIFS(H$20:H$29,$O$20:$O$29,Lister!$D$29,$A$20:$A$29,Takstblad!$A$23)+SUMIFS(H$20:H$29,$O$20:$O$29,Lister!$D$30,$A$20:$A$29,Takstblad!$A$18)+SUMIFS(H$20:H$29,$O$20:$O$29,Lister!$D$30,$A$20:$A$29,Takstblad!$A$19)+SUMIFS(H$20:H$29,$O$20:$O$29,Lister!$D$30,$A$20:$A$29,Takstblad!$A$20)+SUMIFS(H$20:H$29,$O$20:$O$29,Lister!$D$30,$A$20:$A$29,Takstblad!$A$21)+SUMIFS(H$20:H$29,$O$20:$O$29,Lister!$D$30,$A$20:$A$29,Takstblad!$A$22)+SUMIFS(H$20:H$29,$O$20:$O$29,Lister!$D$30,$A$20:$A$29,Takstblad!$A$23))/12)*0.5+((+SUMIF($O$43:$O$52,Lister!$D$29,H$43:H$52)-SUMIFS(H$43:H$52,$O$43:$O$52,Lister!$D$29,$A$43:$A$52,Takstblad!$A$34)-SUMIFS(H$43:H$52,$O$43:$O$52,Lister!$D$29,$A$43:$A$52,Takstblad!$A$36)-SUMIFS(H$43:H$52,$O$43:$O$52,Lister!$D$29,$A$43:$A$52,Takstblad!$A$43)-SUMIFS(H$43:H$52,$O$43:$O$52,Lister!$D$29,$A$43:$A$52,Takstblad!$A$44)+SUMIF($O$43:$O$52,Lister!$D$30,H$43:H$52)-SUMIFS(H$43:H$52,$O$43:$O$52,Lister!$D$30,$A$43:$A$52,Takstblad!$A$34)-SUMIFS(H$43:H$52,$O$43:$O$52,Lister!$D$30,$A$43:$A$52,Takstblad!$A$36)-SUMIFS(H$43:H$52,$O$43:$O$52,Lister!$D$30,$A$43:$A$52,Takstblad!$A$43)-SUMIFS(H$43:H$52,$O$43:$O$52,Lister!$D$30,$A$43:$A$52,Takstblad!$A$44))*0.3),0)</f>
        <v>0</v>
      </c>
      <c r="I55" s="161">
        <f>IF($C$10="Yes",((SUMIFS(I$20:I$29,$O$20:$O$29,Lister!$D$29,$A$20:$A$29,Takstblad!$A$18)+SUMIFS(I$20:I$29,$O$20:$O$29,Lister!$D$29,$A$20:$A$29,Takstblad!$A$19)+SUMIFS(I$20:I$29,$O$20:$O$29,Lister!$D$29,$A$20:$A$29,Takstblad!$A$20)+SUMIFS(I$20:I$29,$O$20:$O$29,Lister!$D$29,$A$20:$A$29,Takstblad!$A$21)+SUMIFS(I$20:I$29,$O$20:$O$29,Lister!$D$29,$A$20:$A$29,Takstblad!$A$22)+SUMIFS(I$20:I$29,$O$20:$O$29,Lister!$D$29,$A$20:$A$29,Takstblad!$A$23)+SUMIFS(I$20:I$29,$O$20:$O$29,Lister!$D$30,$A$20:$A$29,Takstblad!$A$18)+SUMIFS(I$20:I$29,$O$20:$O$29,Lister!$D$30,$A$20:$A$29,Takstblad!$A$19)+SUMIFS(I$20:I$29,$O$20:$O$29,Lister!$D$30,$A$20:$A$29,Takstblad!$A$20)+SUMIFS(I$20:I$29,$O$20:$O$29,Lister!$D$30,$A$20:$A$29,Takstblad!$A$21)+SUMIFS(I$20:I$29,$O$20:$O$29,Lister!$D$30,$A$20:$A$29,Takstblad!$A$22)+SUMIFS(I$20:I$29,$O$20:$O$29,Lister!$D$30,$A$20:$A$29,Takstblad!$A$23))/12)*0.5+((+SUMIF($O$43:$O$52,Lister!$D$29,I$43:I$52)-SUMIFS(I$43:I$52,$O$43:$O$52,Lister!$D$29,$A$43:$A$52,Takstblad!$A$34)-SUMIFS(I$43:I$52,$O$43:$O$52,Lister!$D$29,$A$43:$A$52,Takstblad!$A$36)-SUMIFS(I$43:I$52,$O$43:$O$52,Lister!$D$29,$A$43:$A$52,Takstblad!$A$43)-SUMIFS(I$43:I$52,$O$43:$O$52,Lister!$D$29,$A$43:$A$52,Takstblad!$A$44)+SUMIF($O$43:$O$52,Lister!$D$30,I$43:I$52)-SUMIFS(I$43:I$52,$O$43:$O$52,Lister!$D$30,$A$43:$A$52,Takstblad!$A$34)-SUMIFS(I$43:I$52,$O$43:$O$52,Lister!$D$30,$A$43:$A$52,Takstblad!$A$36)-SUMIFS(I$43:I$52,$O$43:$O$52,Lister!$D$30,$A$43:$A$52,Takstblad!$A$43)-SUMIFS(I$43:I$52,$O$43:$O$52,Lister!$D$30,$A$43:$A$52,Takstblad!$A$44))*0.3),0)</f>
        <v>0</v>
      </c>
      <c r="J55" s="161">
        <f>IF($C$10="Yes",((SUMIFS(J$20:J$29,$O$20:$O$29,Lister!$D$29,$A$20:$A$29,Takstblad!$A$18)+SUMIFS(J$20:J$29,$O$20:$O$29,Lister!$D$29,$A$20:$A$29,Takstblad!$A$19)+SUMIFS(J$20:J$29,$O$20:$O$29,Lister!$D$29,$A$20:$A$29,Takstblad!$A$20)+SUMIFS(J$20:J$29,$O$20:$O$29,Lister!$D$29,$A$20:$A$29,Takstblad!$A$21)+SUMIFS(J$20:J$29,$O$20:$O$29,Lister!$D$29,$A$20:$A$29,Takstblad!$A$22)+SUMIFS(J$20:J$29,$O$20:$O$29,Lister!$D$29,$A$20:$A$29,Takstblad!$A$23)+SUMIFS(J$20:J$29,$O$20:$O$29,Lister!$D$30,$A$20:$A$29,Takstblad!$A$18)+SUMIFS(J$20:J$29,$O$20:$O$29,Lister!$D$30,$A$20:$A$29,Takstblad!$A$19)+SUMIFS(J$20:J$29,$O$20:$O$29,Lister!$D$30,$A$20:$A$29,Takstblad!$A$20)+SUMIFS(J$20:J$29,$O$20:$O$29,Lister!$D$30,$A$20:$A$29,Takstblad!$A$21)+SUMIFS(J$20:J$29,$O$20:$O$29,Lister!$D$30,$A$20:$A$29,Takstblad!$A$22)+SUMIFS(J$20:J$29,$O$20:$O$29,Lister!$D$30,$A$20:$A$29,Takstblad!$A$23))/12)*0.5+((+SUMIF($O$43:$O$52,Lister!$D$29,J$43:J$52)-SUMIFS(J$43:J$52,$O$43:$O$52,Lister!$D$29,$A$43:$A$52,Takstblad!$A$34)-SUMIFS(J$43:J$52,$O$43:$O$52,Lister!$D$29,$A$43:$A$52,Takstblad!$A$36)-SUMIFS(J$43:J$52,$O$43:$O$52,Lister!$D$29,$A$43:$A$52,Takstblad!$A$43)-SUMIFS(J$43:J$52,$O$43:$O$52,Lister!$D$29,$A$43:$A$52,Takstblad!$A$44)+SUMIF($O$43:$O$52,Lister!$D$30,J$43:J$52)-SUMIFS(J$43:J$52,$O$43:$O$52,Lister!$D$30,$A$43:$A$52,Takstblad!$A$34)-SUMIFS(J$43:J$52,$O$43:$O$52,Lister!$D$30,$A$43:$A$52,Takstblad!$A$36)-SUMIFS(J$43:J$52,$O$43:$O$52,Lister!$D$30,$A$43:$A$52,Takstblad!$A$43)-SUMIFS(J$43:J$52,$O$43:$O$52,Lister!$D$30,$A$43:$A$52,Takstblad!$A$44))*0.3),0)</f>
        <v>0</v>
      </c>
      <c r="K55" s="161">
        <f>IF($C$10="Yes",((SUMIFS(K$20:K$29,$O$20:$O$29,Lister!$D$29,$A$20:$A$29,Takstblad!$A$18)+SUMIFS(K$20:K$29,$O$20:$O$29,Lister!$D$29,$A$20:$A$29,Takstblad!$A$19)+SUMIFS(K$20:K$29,$O$20:$O$29,Lister!$D$29,$A$20:$A$29,Takstblad!$A$20)+SUMIFS(K$20:K$29,$O$20:$O$29,Lister!$D$29,$A$20:$A$29,Takstblad!$A$21)+SUMIFS(K$20:K$29,$O$20:$O$29,Lister!$D$29,$A$20:$A$29,Takstblad!$A$22)+SUMIFS(K$20:K$29,$O$20:$O$29,Lister!$D$29,$A$20:$A$29,Takstblad!$A$23)+SUMIFS(K$20:K$29,$O$20:$O$29,Lister!$D$30,$A$20:$A$29,Takstblad!$A$18)+SUMIFS(K$20:K$29,$O$20:$O$29,Lister!$D$30,$A$20:$A$29,Takstblad!$A$19)+SUMIFS(K$20:K$29,$O$20:$O$29,Lister!$D$30,$A$20:$A$29,Takstblad!$A$20)+SUMIFS(K$20:K$29,$O$20:$O$29,Lister!$D$30,$A$20:$A$29,Takstblad!$A$21)+SUMIFS(K$20:K$29,$O$20:$O$29,Lister!$D$30,$A$20:$A$29,Takstblad!$A$22)+SUMIFS(K$20:K$29,$O$20:$O$29,Lister!$D$30,$A$20:$A$29,Takstblad!$A$23))/12)*0.5+((+SUMIF($O$43:$O$52,Lister!$D$29,K$43:K$52)-SUMIFS(K$43:K$52,$O$43:$O$52,Lister!$D$29,$A$43:$A$52,Takstblad!$A$34)-SUMIFS(K$43:K$52,$O$43:$O$52,Lister!$D$29,$A$43:$A$52,Takstblad!$A$36)-SUMIFS(K$43:K$52,$O$43:$O$52,Lister!$D$29,$A$43:$A$52,Takstblad!$A$43)-SUMIFS(K$43:K$52,$O$43:$O$52,Lister!$D$29,$A$43:$A$52,Takstblad!$A$44)+SUMIF($O$43:$O$52,Lister!$D$30,K$43:K$52)-SUMIFS(K$43:K$52,$O$43:$O$52,Lister!$D$30,$A$43:$A$52,Takstblad!$A$34)-SUMIFS(K$43:K$52,$O$43:$O$52,Lister!$D$30,$A$43:$A$52,Takstblad!$A$36)-SUMIFS(K$43:K$52,$O$43:$O$52,Lister!$D$30,$A$43:$A$52,Takstblad!$A$43)-SUMIFS(K$43:K$52,$O$43:$O$52,Lister!$D$30,$A$43:$A$52,Takstblad!$A$44))*0.3),0)</f>
        <v>0</v>
      </c>
      <c r="L55" s="161">
        <f>IF($C$10="Yes",((SUMIFS(L$20:L$29,$O$20:$O$29,Lister!$D$29,$A$20:$A$29,Takstblad!$A$18)+SUMIFS(L$20:L$29,$O$20:$O$29,Lister!$D$29,$A$20:$A$29,Takstblad!$A$19)+SUMIFS(L$20:L$29,$O$20:$O$29,Lister!$D$29,$A$20:$A$29,Takstblad!$A$20)+SUMIFS(L$20:L$29,$O$20:$O$29,Lister!$D$29,$A$20:$A$29,Takstblad!$A$21)+SUMIFS(L$20:L$29,$O$20:$O$29,Lister!$D$29,$A$20:$A$29,Takstblad!$A$22)+SUMIFS(L$20:L$29,$O$20:$O$29,Lister!$D$29,$A$20:$A$29,Takstblad!$A$23)+SUMIFS(L$20:L$29,$O$20:$O$29,Lister!$D$30,$A$20:$A$29,Takstblad!$A$18)+SUMIFS(L$20:L$29,$O$20:$O$29,Lister!$D$30,$A$20:$A$29,Takstblad!$A$19)+SUMIFS(L$20:L$29,$O$20:$O$29,Lister!$D$30,$A$20:$A$29,Takstblad!$A$20)+SUMIFS(L$20:L$29,$O$20:$O$29,Lister!$D$30,$A$20:$A$29,Takstblad!$A$21)+SUMIFS(L$20:L$29,$O$20:$O$29,Lister!$D$30,$A$20:$A$29,Takstblad!$A$22)+SUMIFS(L$20:L$29,$O$20:$O$29,Lister!$D$30,$A$20:$A$29,Takstblad!$A$23))/12)*0.5+((+SUMIF($O$43:$O$52,Lister!$D$29,L$43:L$52)-SUMIFS(L$43:L$52,$O$43:$O$52,Lister!$D$29,$A$43:$A$52,Takstblad!$A$34)-SUMIFS(L$43:L$52,$O$43:$O$52,Lister!$D$29,$A$43:$A$52,Takstblad!$A$36)-SUMIFS(L$43:L$52,$O$43:$O$52,Lister!$D$29,$A$43:$A$52,Takstblad!$A$43)-SUMIFS(L$43:L$52,$O$43:$O$52,Lister!$D$29,$A$43:$A$52,Takstblad!$A$44)+SUMIF($O$43:$O$52,Lister!$D$30,L$43:L$52)-SUMIFS(L$43:L$52,$O$43:$O$52,Lister!$D$30,$A$43:$A$52,Takstblad!$A$34)-SUMIFS(L$43:L$52,$O$43:$O$52,Lister!$D$30,$A$43:$A$52,Takstblad!$A$36)-SUMIFS(L$43:L$52,$O$43:$O$52,Lister!$D$30,$A$43:$A$52,Takstblad!$A$43)-SUMIFS(L$43:L$52,$O$43:$O$52,Lister!$D$30,$A$43:$A$52,Takstblad!$A$44))*0.3),0)</f>
        <v>0</v>
      </c>
      <c r="M55" s="65">
        <f t="shared" si="70"/>
        <v>0</v>
      </c>
      <c r="N55" s="162"/>
      <c r="O55" s="159" t="s">
        <v>152</v>
      </c>
      <c r="P55" s="11"/>
      <c r="Q55" s="27"/>
      <c r="R55" s="202">
        <f t="shared" si="55"/>
        <v>0</v>
      </c>
      <c r="S55" s="25">
        <f>+C55*Takstblad!C39</f>
        <v>0</v>
      </c>
      <c r="T55" s="25">
        <f>+D55*Takstblad!D39</f>
        <v>0</v>
      </c>
      <c r="U55" s="25">
        <f>+E55*Takstblad!E39</f>
        <v>0</v>
      </c>
      <c r="V55" s="25">
        <f>+F55*Takstblad!F39</f>
        <v>0</v>
      </c>
      <c r="W55" s="25">
        <f>+G55*Takstblad!G39</f>
        <v>0</v>
      </c>
      <c r="X55" s="25">
        <f>+H55*Takstblad!H39</f>
        <v>0</v>
      </c>
      <c r="Y55" s="25">
        <f>+I55*Takstblad!I39</f>
        <v>0</v>
      </c>
      <c r="Z55" s="25">
        <f>+J55*Takstblad!J39</f>
        <v>0</v>
      </c>
      <c r="AA55" s="25">
        <f>+K55*Takstblad!K39</f>
        <v>0</v>
      </c>
      <c r="AB55" s="25">
        <f>+L55*Takstblad!L39</f>
        <v>0</v>
      </c>
      <c r="AC55" s="25">
        <f t="shared" si="71"/>
        <v>0</v>
      </c>
      <c r="AE55" s="25">
        <f>+M55*($C$7/12)</f>
        <v>0</v>
      </c>
      <c r="AF55" s="25">
        <f>IFERROR(AC55/AE55,0)</f>
        <v>0</v>
      </c>
      <c r="AH55" s="25">
        <f>+C55*($C$7/12)</f>
        <v>0</v>
      </c>
      <c r="AI55" s="25">
        <f>IFERROR(S55/AH55,0)</f>
        <v>0</v>
      </c>
      <c r="AK55" s="25">
        <f>+D55*($C$7/12)</f>
        <v>0</v>
      </c>
      <c r="AL55" s="25">
        <f>IFERROR(T55/AK55,0)</f>
        <v>0</v>
      </c>
      <c r="AN55" s="25">
        <f>+E55*($C$7/12)</f>
        <v>0</v>
      </c>
      <c r="AO55" s="25">
        <f>IFERROR(U55/AN55,0)</f>
        <v>0</v>
      </c>
      <c r="AQ55" s="25">
        <f>+F55*($C$7/12)</f>
        <v>0</v>
      </c>
      <c r="AR55" s="25">
        <f>IFERROR(V55/AQ55,0)</f>
        <v>0</v>
      </c>
      <c r="AT55" s="25">
        <f>+G55*($C$7/12)</f>
        <v>0</v>
      </c>
      <c r="AU55" s="25">
        <f>IFERROR(W55/AT55,0)</f>
        <v>0</v>
      </c>
      <c r="AW55" s="25">
        <f>+H55*($C$7/12)</f>
        <v>0</v>
      </c>
      <c r="AX55" s="25">
        <f>IFERROR(X55/AW55,0)</f>
        <v>0</v>
      </c>
      <c r="AZ55" s="25">
        <f>+I55*($C$7/12)</f>
        <v>0</v>
      </c>
      <c r="BA55" s="25">
        <f>IFERROR(Y55/AZ55,0)</f>
        <v>0</v>
      </c>
      <c r="BC55" s="25">
        <f>+J55*($C$7/12)</f>
        <v>0</v>
      </c>
      <c r="BD55" s="25">
        <f>IFERROR(Z55/BC55,0)</f>
        <v>0</v>
      </c>
      <c r="BF55" s="25">
        <f t="shared" si="76"/>
        <v>0</v>
      </c>
      <c r="BG55" s="25">
        <f t="shared" si="77"/>
        <v>0</v>
      </c>
      <c r="BI55" s="25">
        <f t="shared" si="78"/>
        <v>0</v>
      </c>
      <c r="BJ55" s="25">
        <f t="shared" si="79"/>
        <v>0</v>
      </c>
    </row>
    <row r="56" spans="1:66" ht="15.65" customHeight="1" thickBot="1">
      <c r="A56" s="4" t="s">
        <v>71</v>
      </c>
      <c r="B56" s="4"/>
      <c r="C56" s="12">
        <f t="shared" ref="C56:J56" si="80">SUM(C43:C55)</f>
        <v>0</v>
      </c>
      <c r="D56" s="12">
        <f t="shared" si="80"/>
        <v>0</v>
      </c>
      <c r="E56" s="12">
        <f t="shared" si="80"/>
        <v>0</v>
      </c>
      <c r="F56" s="12">
        <f t="shared" si="80"/>
        <v>0</v>
      </c>
      <c r="G56" s="12">
        <f t="shared" si="80"/>
        <v>0</v>
      </c>
      <c r="H56" s="12">
        <f t="shared" si="80"/>
        <v>0</v>
      </c>
      <c r="I56" s="12">
        <f t="shared" si="80"/>
        <v>0</v>
      </c>
      <c r="J56" s="12">
        <f t="shared" si="80"/>
        <v>0</v>
      </c>
      <c r="K56" s="12">
        <f>SUM(K43:K55)</f>
        <v>0</v>
      </c>
      <c r="L56" s="12">
        <f>SUM(L43:L55)</f>
        <v>0</v>
      </c>
      <c r="M56" s="12">
        <f t="shared" si="70"/>
        <v>0</v>
      </c>
      <c r="N56" s="12"/>
      <c r="O56" s="48"/>
      <c r="P56" s="48"/>
      <c r="Q56" s="23" t="s">
        <v>75</v>
      </c>
      <c r="R56" s="46">
        <f t="shared" si="55"/>
        <v>0</v>
      </c>
      <c r="S56" s="22">
        <f t="shared" ref="S56:Z56" si="81">SUM(S43:S55)</f>
        <v>0</v>
      </c>
      <c r="T56" s="22">
        <f t="shared" si="81"/>
        <v>0</v>
      </c>
      <c r="U56" s="22">
        <f t="shared" si="81"/>
        <v>0</v>
      </c>
      <c r="V56" s="22">
        <f t="shared" si="81"/>
        <v>0</v>
      </c>
      <c r="W56" s="22">
        <f t="shared" si="81"/>
        <v>0</v>
      </c>
      <c r="X56" s="22">
        <f t="shared" si="81"/>
        <v>0</v>
      </c>
      <c r="Y56" s="51">
        <f t="shared" si="81"/>
        <v>0</v>
      </c>
      <c r="Z56" s="51">
        <f t="shared" si="81"/>
        <v>0</v>
      </c>
      <c r="AA56" s="51">
        <f>SUM(AA43:AA55)</f>
        <v>0</v>
      </c>
      <c r="AB56" s="51">
        <f>SUM(AB43:AB55)</f>
        <v>0</v>
      </c>
      <c r="AC56" s="46">
        <f t="shared" si="71"/>
        <v>0</v>
      </c>
      <c r="AE56" s="22">
        <f>SUM(AE43:AE55)</f>
        <v>0</v>
      </c>
      <c r="AF56" s="13">
        <f>IFERROR(AC56/AE56,0)</f>
        <v>0</v>
      </c>
      <c r="AH56" s="22">
        <f>SUM(AH43:AH55)</f>
        <v>0</v>
      </c>
      <c r="AI56" s="13">
        <f t="shared" si="59"/>
        <v>0</v>
      </c>
      <c r="AK56" s="22">
        <f>SUM(AK43:AK55)</f>
        <v>0</v>
      </c>
      <c r="AL56" s="13">
        <f t="shared" si="61"/>
        <v>0</v>
      </c>
      <c r="AN56" s="22">
        <f>SUM(AN43:AN55)</f>
        <v>0</v>
      </c>
      <c r="AO56" s="13">
        <f t="shared" si="63"/>
        <v>0</v>
      </c>
      <c r="AQ56" s="22">
        <f>SUM(AQ43:AQ55)</f>
        <v>0</v>
      </c>
      <c r="AR56" s="13">
        <f t="shared" si="65"/>
        <v>0</v>
      </c>
      <c r="AT56" s="22">
        <f>SUM(AT43:AT55)</f>
        <v>0</v>
      </c>
      <c r="AU56" s="13">
        <f t="shared" si="67"/>
        <v>0</v>
      </c>
      <c r="AW56" s="22">
        <f>SUM(AW43:AW55)</f>
        <v>0</v>
      </c>
      <c r="AX56" s="13">
        <f t="shared" si="69"/>
        <v>0</v>
      </c>
      <c r="AZ56" s="22">
        <f>SUM(AZ43:AZ55)</f>
        <v>0</v>
      </c>
      <c r="BA56" s="13">
        <f t="shared" si="73"/>
        <v>0</v>
      </c>
      <c r="BC56" s="22">
        <f>SUM(BC43:BC55)</f>
        <v>0</v>
      </c>
      <c r="BD56" s="13">
        <f t="shared" si="75"/>
        <v>0</v>
      </c>
      <c r="BF56" s="22">
        <f>SUM(BF43:BF55)</f>
        <v>0</v>
      </c>
      <c r="BG56" s="13">
        <f>IFERROR(AC56/BF56,0)</f>
        <v>0</v>
      </c>
      <c r="BI56" s="22">
        <f>SUM(BI43:BI55)</f>
        <v>0</v>
      </c>
      <c r="BJ56" s="13">
        <f>IFERROR(AF56/BI56,0)</f>
        <v>0</v>
      </c>
      <c r="BK56" s="70"/>
      <c r="BL56" s="70"/>
      <c r="BM56" s="70"/>
    </row>
    <row r="57" spans="1:66" ht="15.65" customHeight="1">
      <c r="A57" s="9"/>
      <c r="B57" s="48"/>
      <c r="C57" s="48"/>
      <c r="D57" s="48"/>
      <c r="E57" s="48"/>
      <c r="F57" s="48"/>
      <c r="G57" s="48"/>
      <c r="H57" s="48"/>
      <c r="I57" s="48"/>
      <c r="J57" s="48"/>
      <c r="K57" s="48"/>
      <c r="L57" s="48"/>
      <c r="M57" s="48"/>
      <c r="N57" s="48"/>
      <c r="O57" s="48"/>
      <c r="P57" s="48"/>
      <c r="Q57" s="23"/>
      <c r="R57" s="5"/>
      <c r="S57" s="4"/>
      <c r="T57" s="4"/>
      <c r="U57" s="4"/>
      <c r="V57" s="4"/>
      <c r="W57" s="4"/>
      <c r="X57" s="4"/>
      <c r="Y57" s="4"/>
      <c r="Z57" s="4"/>
      <c r="AA57" s="4"/>
      <c r="AB57" s="4"/>
      <c r="AC57" s="5"/>
      <c r="AD57" s="70"/>
      <c r="AE57" s="76"/>
      <c r="AF57" s="76"/>
      <c r="AG57" s="70"/>
      <c r="AH57" s="77"/>
      <c r="AI57" s="70"/>
      <c r="AJ57" s="70"/>
      <c r="AK57" s="70"/>
      <c r="AL57" s="70"/>
      <c r="AM57" s="70"/>
      <c r="AN57" s="70"/>
      <c r="AO57" s="70"/>
      <c r="AP57" s="70"/>
      <c r="AQ57" s="70"/>
      <c r="AR57" s="70"/>
      <c r="AS57" s="70"/>
      <c r="AT57" s="70"/>
      <c r="AU57" s="70"/>
      <c r="AV57" s="70"/>
      <c r="AW57" s="70"/>
      <c r="AX57" s="70"/>
      <c r="AY57" s="70"/>
      <c r="AZ57" s="70"/>
      <c r="BA57" s="70"/>
      <c r="BB57" s="70"/>
      <c r="BC57" s="70"/>
      <c r="BD57" s="70"/>
      <c r="BE57" s="70"/>
      <c r="BF57" s="70"/>
      <c r="BG57" s="70"/>
      <c r="BH57" s="70"/>
      <c r="BI57" s="70"/>
      <c r="BJ57" s="70"/>
      <c r="BK57" s="70"/>
      <c r="BL57" s="70"/>
      <c r="BM57" s="70"/>
    </row>
    <row r="58" spans="1:66" ht="15.65" hidden="1" customHeight="1">
      <c r="A58" s="9" t="s">
        <v>185</v>
      </c>
      <c r="B58" s="48"/>
      <c r="C58" s="100">
        <f>+SUMIF($O$20:$O$29,Lister!$D$30,C20:C29)-SUMIFS(C20:C29,$O$20:$O$29,Lister!$D$30,$B$20:$B$29,Lister!$B$20)-+SUMIFS(C43:C52,$O$43:$O$52,Lister!$D$30,$B$43:$B$52,Lister!$A$24)+SUMIF($O$20:$O$29,Lister!$D$29,C20:C29)-SUMIFS(C20:C29,$O$20:$O$29,Lister!$D$29,$B$20:$B$29,Lister!$B$20)+SUMIFS(C43:C52,$O$43:$O$52,Lister!$D$29,$B$43:$B$52,Lister!$A$24)</f>
        <v>0</v>
      </c>
      <c r="D58" s="100">
        <f>+SUMIF($O$20:$O$29,Lister!$D$30,D20:D29)-SUMIFS(D20:D29,$O$20:$O$29,Lister!$D$30,$B$20:$B$29,Lister!$B$20)-+SUMIFS(D43:D52,$O$43:$O$52,Lister!$D$30,$B$43:$B$52,Lister!$A$24)+SUMIF($O$20:$O$29,Lister!$D$29,D20:D29)-SUMIFS(D20:D29,$O$20:$O$29,Lister!$D$29,$B$20:$B$29,Lister!$B$20)+SUMIFS(D43:D52,$O$43:$O$52,Lister!$D$29,$B$43:$B$52,Lister!$A$24)</f>
        <v>0</v>
      </c>
      <c r="E58" s="100">
        <f>+SUMIF($O$20:$O$39,Lister!$D$30,E20:E39)-SUMIFS(E20:E39,$O$20:$O$39,Lister!$D$30,$B$20:$B$39,Lister!$B$20)+SUMIFS(E43:E52,$O$43:$O$52,Lister!$D$30,$B$43:$B$52,Lister!$A$24)+SUMIF($O$20:$O$39,Lister!$D$29,E20:E39)-SUMIFS(E20:E39,$O$20:$O$39,Lister!$D$29,$B$20:$B$39,Lister!$B$20)+SUMIFS(E43:E52,$O$43:$O$52,Lister!$D$29,$B$43:$B$52,Lister!$A$24)</f>
        <v>0</v>
      </c>
      <c r="F58" s="100">
        <f>+SUMIF($O$20:$O$29,Lister!$D$30,F20:F29)-SUMIFS(F20:F29,$O$20:$O$29,Lister!$D$30,$B$20:$B$29,Lister!$B$20)-+SUMIFS(F43:F52,$O$43:$O$52,Lister!$D$30,$B$43:$B$52,Lister!$A$24)+SUMIF($O$20:$O$29,Lister!$D$29,F20:F29)-SUMIFS(F20:F29,$O$20:$O$29,Lister!$D$29,$B$20:$B$29,Lister!$B$20)+SUMIFS(F43:F52,$O$43:$O$52,Lister!$D$29,$B$43:$B$52,Lister!$A$24)</f>
        <v>0</v>
      </c>
      <c r="G58" s="100">
        <f>+SUMIF($O$20:$O$39,Lister!$D$30,G20:G39)-SUMIFS(G20:G39,$O$20:$O$39,Lister!$D$30,$B$20:$B$39,Lister!$B$20)+SUMIFS(G43:G52,$O$43:$O$52,Lister!$D$30,$B$43:$B$52,Lister!$A$24)+SUMIF($O$20:$O$39,Lister!$D$29,G20:G39)-SUMIFS(G20:G39,$O$20:$O$39,Lister!$D$29,$B$20:$B$39,Lister!$B$20)+SUMIFS(G43:G52,$O$43:$O$52,Lister!$D$29,$B$43:$B$52,Lister!$A$24)</f>
        <v>0</v>
      </c>
      <c r="H58" s="100">
        <f>+SUMIF($O$20:$O$39,Lister!$D$30,H20:H39)-SUMIFS(H20:H39,$O$20:$O$39,Lister!$D$30,$B$20:$B$39,Lister!$B$20)+SUMIFS(H43:H52,$O$43:$O$52,Lister!$D$30,$B$43:$B$52,Lister!$A$24)+SUMIF($O$20:$O$39,Lister!$D$29,H20:H39)-SUMIFS(H20:H39,$O$20:$O$39,Lister!$D$29,$B$20:$B$39,Lister!$B$20)+SUMIFS(H43:H52,$O$43:$O$52,Lister!$D$29,$B$43:$B$52,Lister!$A$24)</f>
        <v>0</v>
      </c>
      <c r="I58" s="100">
        <f>+SUMIF($O$20:$O$29,Lister!$D$30,I20:I29)-SUMIFS(I20:I29,$O$20:$O$29,Lister!$D$30,$B$20:$B$29,Lister!$B$20)-+SUMIFS(I43:I52,$O$43:$O$52,Lister!$D$30,$B$43:$B$52,Lister!$A$24)+SUMIF($O$20:$O$29,Lister!$D$29,I20:I29)-SUMIFS(I20:I29,$O$20:$O$29,Lister!$D$29,$B$20:$B$29,Lister!$B$20)+SUMIFS(I43:I52,$O$43:$O$52,Lister!$D$29,$B$43:$B$52,Lister!$A$24)</f>
        <v>0</v>
      </c>
      <c r="J58" s="100">
        <f>+SUMIF($O$20:$O$29,Lister!$D$30,J20:J29)-SUMIFS(J20:J29,$O$20:$O$29,Lister!$D$30,$B$20:$B$29,Lister!$B$20)-+SUMIFS(J43:J52,$O$43:$O$52,Lister!$D$30,$B$43:$B$52,Lister!$A$24)+SUMIF($O$20:$O$29,Lister!$D$29,J20:J29)-SUMIFS(J20:J29,$O$20:$O$29,Lister!$D$29,$B$20:$B$29,Lister!$B$20)+SUMIFS(J43:J52,$O$43:$O$52,Lister!$D$29,$B$43:$B$52,Lister!$A$24)</f>
        <v>0</v>
      </c>
      <c r="K58" s="100">
        <f>+SUMIF($O$20:$O$29,Lister!$D$30,K20:K29)-SUMIFS(K20:K29,$O$20:$O$29,Lister!$D$30,$B$20:$B$29,Lister!$B$20)-+SUMIFS(K43:K52,$O$43:$O$52,Lister!$D$30,$B$43:$B$52,Lister!$A$24)+SUMIF($O$20:$O$29,Lister!$D$29,K20:K29)-SUMIFS(K20:K29,$O$20:$O$29,Lister!$D$29,$B$20:$B$29,Lister!$B$20)+SUMIFS(K43:K52,$O$43:$O$52,Lister!$D$29,$B$43:$B$52,Lister!$A$24)</f>
        <v>0</v>
      </c>
      <c r="L58" s="100">
        <f>+SUMIF($O$20:$O$29,Lister!$D$30,L20:L29)-SUMIFS(L20:L29,$O$20:$O$29,Lister!$D$30,$B$20:$B$29,Lister!$B$20)-+SUMIFS(L43:L52,$O$43:$O$52,Lister!$D$30,$B$43:$B$52,Lister!$A$24)+SUMIF($O$20:$O$29,Lister!$D$29,L20:L29)-SUMIFS(L20:L29,$O$20:$O$29,Lister!$D$29,$B$20:$B$29,Lister!$B$20)+SUMIFS(L43:L52,$O$43:$O$52,Lister!$D$29,$B$43:$B$52,Lister!$A$24)</f>
        <v>0</v>
      </c>
      <c r="M58" s="48"/>
      <c r="N58" s="48"/>
      <c r="O58" s="48"/>
      <c r="P58" s="48"/>
      <c r="Q58" s="23"/>
      <c r="R58" s="5"/>
      <c r="S58" s="4"/>
      <c r="T58" s="4"/>
      <c r="U58" s="4"/>
      <c r="V58" s="4"/>
      <c r="W58" s="4"/>
      <c r="X58" s="4"/>
      <c r="Y58" s="4"/>
      <c r="Z58" s="4"/>
      <c r="AA58" s="4"/>
      <c r="AB58" s="4"/>
      <c r="AC58" s="5"/>
      <c r="AD58" s="70"/>
      <c r="AE58" s="76"/>
      <c r="AF58" s="76"/>
      <c r="AG58" s="70"/>
      <c r="AH58" s="77"/>
      <c r="AI58" s="70"/>
      <c r="AJ58" s="70"/>
      <c r="AK58" s="70"/>
      <c r="AL58" s="70"/>
      <c r="AM58" s="70"/>
      <c r="AN58" s="70"/>
      <c r="AO58" s="70"/>
      <c r="AP58" s="70"/>
      <c r="AQ58" s="70"/>
      <c r="AR58" s="70"/>
      <c r="AS58" s="70"/>
      <c r="AT58" s="70"/>
      <c r="AU58" s="70"/>
      <c r="AV58" s="70"/>
      <c r="AW58" s="70"/>
      <c r="AX58" s="70"/>
      <c r="AY58" s="70"/>
      <c r="AZ58" s="70"/>
      <c r="BA58" s="70"/>
      <c r="BB58" s="70"/>
      <c r="BC58" s="70"/>
      <c r="BD58" s="70"/>
      <c r="BE58" s="70"/>
      <c r="BF58" s="70"/>
      <c r="BG58" s="70"/>
      <c r="BH58" s="70"/>
      <c r="BI58" s="70"/>
      <c r="BJ58" s="70"/>
      <c r="BK58" s="70"/>
      <c r="BL58" s="70"/>
      <c r="BM58" s="70"/>
    </row>
    <row r="59" spans="1:66" ht="15.65" hidden="1" customHeight="1">
      <c r="A59" s="9" t="s">
        <v>186</v>
      </c>
      <c r="B59" s="48"/>
      <c r="C59" s="100">
        <f>+SUMIF($O$20:$O$39,Lister!$D$31,C20:C39)-SUMIFS(C20:C39,$O$20:$O$39,Lister!$D$31,$B$20:$B$39,Lister!$B$20)+SUMIFS(C43:C52,$O$43:$O$52,Lister!$D$31,$B$43:$B$52,Lister!$A$24)</f>
        <v>0</v>
      </c>
      <c r="D59" s="100">
        <f>+SUMIF($O$20:$O$39,Lister!$D$31,D20:D39)-SUMIFS(D20:D39,$O$20:$O$39,Lister!$D$31,$B$20:$B$39,Lister!$B$20)+SUMIFS(D43:D52,$O$43:$O$52,Lister!$D$31,$B$43:$B$52,Lister!$A$24)</f>
        <v>0</v>
      </c>
      <c r="E59" s="100">
        <f>+SUMIF($O$20:$O$39,Lister!$D$31,E20:E39)-SUMIFS(E20:E39,$O$20:$O$39,Lister!$D$31,$B$20:$B$39,Lister!$B$20)+SUMIFS(E43:E52,$O$43:$O$52,Lister!$D$31,$B$43:$B$52,Lister!$A$24)</f>
        <v>0</v>
      </c>
      <c r="F59" s="100">
        <f>+SUMIF($O$20:$O$39,Lister!$D$31,F20:F39)-SUMIFS(F20:F39,$O$20:$O$39,Lister!$D$31,$B$20:$B$39,Lister!$B$20)+SUMIFS(F43:F52,$O$43:$O$52,Lister!$D$31,$B$43:$B$52,Lister!$A$24)</f>
        <v>0</v>
      </c>
      <c r="G59" s="100">
        <f>+SUMIF($O$20:$O$39,Lister!$D$31,G20:G39)-SUMIFS(G20:G39,$O$20:$O$39,Lister!$D$31,$B$20:$B$39,Lister!$B$20)+SUMIFS(G43:G52,$O$43:$O$52,Lister!$D$31,$B$43:$B$52,Lister!$A$24)</f>
        <v>0</v>
      </c>
      <c r="H59" s="100">
        <f>+SUMIF($O$20:$O$39,Lister!$D$31,H20:H39)-SUMIFS(H20:H39,$O$20:$O$39,Lister!$D$31,$B$20:$B$39,Lister!$B$20)+SUMIFS(H43:H52,$O$43:$O$52,Lister!$D$31,$B$43:$B$52,Lister!$A$24)</f>
        <v>0</v>
      </c>
      <c r="I59" s="100">
        <f>+SUMIF($O$20:$O$39,Lister!$D$31,I20:I39)-SUMIFS(I20:I39,$O$20:$O$39,Lister!$D$31,$B$20:$B$39,Lister!$B$20)+SUMIFS(I43:I52,$O$43:$O$52,Lister!$D$31,$B$43:$B$52,Lister!$A$24)</f>
        <v>0</v>
      </c>
      <c r="J59" s="100">
        <f>+SUMIF($O$20:$O$39,Lister!$D$31,J20:J39)-SUMIFS(J20:J39,$O$20:$O$39,Lister!$D$31,$B$20:$B$39,Lister!$B$20)+SUMIFS(J43:J52,$O$43:$O$52,Lister!$D$31,$B$43:$B$52,Lister!$A$24)</f>
        <v>0</v>
      </c>
      <c r="K59" s="100">
        <f>+SUMIF($O$20:$O$39,Lister!$D$31,K20:K39)-SUMIFS(K20:K39,$O$20:$O$39,Lister!$D$31,$B$20:$B$39,Lister!$B$20)+SUMIFS(K43:K52,$O$43:$O$52,Lister!$D$31,$B$43:$B$52,Lister!$A$24)</f>
        <v>0</v>
      </c>
      <c r="L59" s="100">
        <f>+SUMIF($O$20:$O$39,Lister!$D$31,L20:L39)-SUMIFS(L20:L39,$O$20:$O$39,Lister!$D$31,$B$20:$B$39,Lister!$B$20)+SUMIFS(L43:L52,$O$43:$O$52,Lister!$D$31,$B$43:$B$52,Lister!$A$24)</f>
        <v>0</v>
      </c>
      <c r="M59" s="48"/>
      <c r="N59" s="48"/>
      <c r="O59" s="48"/>
      <c r="P59" s="48"/>
      <c r="Q59" s="23"/>
      <c r="R59" s="5"/>
      <c r="S59" s="4"/>
      <c r="T59" s="4"/>
      <c r="U59" s="4"/>
      <c r="V59" s="4"/>
      <c r="W59" s="4"/>
      <c r="X59" s="4"/>
      <c r="Y59" s="4"/>
      <c r="Z59" s="4"/>
      <c r="AA59" s="4"/>
      <c r="AB59" s="4"/>
      <c r="AC59" s="5"/>
      <c r="AD59" s="70"/>
      <c r="AE59" s="76"/>
      <c r="AF59" s="76"/>
      <c r="AG59" s="70"/>
      <c r="AH59" s="77"/>
      <c r="AI59" s="70"/>
      <c r="AJ59" s="70"/>
      <c r="AK59" s="70"/>
      <c r="AL59" s="70"/>
      <c r="AM59" s="70"/>
      <c r="AN59" s="70"/>
      <c r="AO59" s="70"/>
      <c r="AP59" s="70"/>
      <c r="AQ59" s="70"/>
      <c r="AR59" s="70"/>
      <c r="AS59" s="70"/>
      <c r="AT59" s="70"/>
      <c r="AU59" s="70"/>
      <c r="AV59" s="70"/>
      <c r="AW59" s="70"/>
      <c r="AX59" s="70"/>
      <c r="AY59" s="70"/>
      <c r="AZ59" s="70"/>
      <c r="BA59" s="70"/>
      <c r="BB59" s="70"/>
      <c r="BC59" s="70"/>
      <c r="BD59" s="70"/>
      <c r="BE59" s="70"/>
      <c r="BF59" s="70"/>
      <c r="BG59" s="70"/>
      <c r="BH59" s="70"/>
      <c r="BI59" s="70"/>
      <c r="BJ59" s="70"/>
      <c r="BK59" s="70"/>
      <c r="BL59" s="70"/>
      <c r="BM59" s="70"/>
    </row>
    <row r="60" spans="1:66" ht="15.65" customHeight="1">
      <c r="A60" s="9"/>
      <c r="B60" s="48"/>
      <c r="C60" s="48"/>
      <c r="D60" s="48"/>
      <c r="E60" s="48"/>
      <c r="F60" s="48"/>
      <c r="G60" s="48"/>
      <c r="H60" s="48"/>
      <c r="I60" s="48"/>
      <c r="J60" s="48"/>
      <c r="K60" s="48"/>
      <c r="L60" s="48"/>
      <c r="M60" s="48"/>
      <c r="N60" s="48"/>
      <c r="O60" s="48"/>
      <c r="P60" s="48"/>
      <c r="Q60" s="70"/>
      <c r="R60" s="70"/>
      <c r="S60" s="77"/>
      <c r="T60" s="70"/>
      <c r="U60" s="70"/>
      <c r="V60" s="70"/>
      <c r="W60" s="70"/>
      <c r="X60" s="70"/>
      <c r="Y60" s="70"/>
      <c r="Z60" s="70"/>
      <c r="AA60" s="70"/>
      <c r="AB60" s="70"/>
      <c r="AC60" s="70"/>
      <c r="AD60" s="70"/>
      <c r="AE60" s="70"/>
      <c r="AF60" s="70"/>
      <c r="AG60" s="70"/>
      <c r="AH60" s="70"/>
      <c r="AI60" s="70"/>
      <c r="AJ60" s="70"/>
      <c r="AK60" s="70"/>
      <c r="AL60" s="70"/>
      <c r="AM60" s="70"/>
      <c r="AN60" s="70"/>
      <c r="AO60" s="70"/>
      <c r="AP60" s="70"/>
      <c r="AQ60" s="70"/>
      <c r="AR60" s="70"/>
      <c r="AS60" s="70"/>
      <c r="AT60" s="70"/>
      <c r="AU60" s="70"/>
      <c r="AV60" s="70"/>
      <c r="AW60" s="70"/>
      <c r="AX60" s="70"/>
      <c r="AY60" s="70"/>
      <c r="AZ60" s="70"/>
    </row>
    <row r="61" spans="1:66" ht="15.65" customHeight="1" thickBot="1">
      <c r="A61" s="4" t="s">
        <v>91</v>
      </c>
      <c r="B61" s="8"/>
      <c r="C61" s="8">
        <f t="shared" ref="C61:L61" si="82">+C19</f>
        <v>2026</v>
      </c>
      <c r="D61" s="8">
        <f t="shared" si="82"/>
        <v>2027</v>
      </c>
      <c r="E61" s="8">
        <f t="shared" si="82"/>
        <v>2028</v>
      </c>
      <c r="F61" s="8">
        <f t="shared" si="82"/>
        <v>2029</v>
      </c>
      <c r="G61" s="8">
        <f t="shared" si="82"/>
        <v>2030</v>
      </c>
      <c r="H61" s="8">
        <f t="shared" si="82"/>
        <v>2031</v>
      </c>
      <c r="I61" s="8">
        <f t="shared" si="82"/>
        <v>2032</v>
      </c>
      <c r="J61" s="8">
        <f t="shared" si="82"/>
        <v>2033</v>
      </c>
      <c r="K61" s="8">
        <f t="shared" si="82"/>
        <v>2034</v>
      </c>
      <c r="L61" s="8">
        <f t="shared" si="82"/>
        <v>2035</v>
      </c>
      <c r="M61" s="8" t="s">
        <v>34</v>
      </c>
      <c r="N61" s="8"/>
      <c r="O61" s="8"/>
      <c r="P61" s="8"/>
      <c r="Q61" s="70"/>
      <c r="R61" s="70"/>
      <c r="S61" s="70"/>
      <c r="T61" s="70"/>
      <c r="U61" s="70"/>
      <c r="V61" s="70"/>
      <c r="W61" s="70"/>
      <c r="X61" s="70"/>
      <c r="Y61" s="70"/>
      <c r="Z61" s="70"/>
      <c r="AA61" s="70"/>
      <c r="AB61" s="70"/>
      <c r="AC61" s="70"/>
      <c r="AD61" s="70"/>
      <c r="AE61" s="70"/>
      <c r="AF61" s="70"/>
      <c r="AG61" s="70"/>
      <c r="AH61" s="70"/>
      <c r="AI61" s="70"/>
      <c r="AJ61" s="70"/>
      <c r="AK61" s="70"/>
      <c r="AL61" s="70"/>
      <c r="AM61" s="70"/>
      <c r="AN61" s="70"/>
      <c r="AO61" s="70"/>
      <c r="AP61" s="70"/>
      <c r="AQ61" s="70"/>
      <c r="AR61" s="70"/>
      <c r="AS61" s="70"/>
      <c r="AT61" s="70"/>
      <c r="AU61" s="70"/>
      <c r="AV61" s="70"/>
      <c r="AW61" s="70"/>
      <c r="AX61" s="70"/>
      <c r="AY61" s="70"/>
      <c r="AZ61" s="70"/>
    </row>
    <row r="62" spans="1:66" s="9" customFormat="1" ht="15.65" customHeight="1">
      <c r="A62" s="219" t="s">
        <v>114</v>
      </c>
      <c r="B62" s="220"/>
      <c r="C62" s="288"/>
      <c r="D62" s="288"/>
      <c r="E62" s="288"/>
      <c r="F62" s="288"/>
      <c r="G62" s="288"/>
      <c r="H62" s="288"/>
      <c r="I62" s="288"/>
      <c r="J62" s="288"/>
      <c r="K62" s="288"/>
      <c r="L62" s="288"/>
      <c r="M62" s="21">
        <f>SUM(C62:L62)</f>
        <v>0</v>
      </c>
      <c r="N62" s="285"/>
      <c r="O62" s="285" t="s">
        <v>113</v>
      </c>
      <c r="P62" s="7"/>
      <c r="Q62" s="120" t="s">
        <v>101</v>
      </c>
      <c r="R62" s="123"/>
      <c r="S62" s="121"/>
      <c r="T62" s="135"/>
      <c r="U62" s="135"/>
      <c r="V62" s="135"/>
      <c r="W62" s="135"/>
      <c r="X62" s="304"/>
      <c r="Y62" s="135"/>
      <c r="Z62" s="135"/>
      <c r="AA62" s="135"/>
      <c r="AB62" s="135"/>
      <c r="AC62" s="123"/>
      <c r="AF62" s="70"/>
      <c r="AG62" s="70"/>
      <c r="AH62" s="70"/>
      <c r="AI62" s="70"/>
      <c r="AJ62" s="70"/>
      <c r="AK62" s="70"/>
      <c r="AL62" s="70"/>
      <c r="AM62" s="70"/>
      <c r="AN62" s="70"/>
      <c r="AO62" s="70"/>
      <c r="AP62" s="70"/>
      <c r="AQ62" s="70"/>
      <c r="AR62" s="71"/>
      <c r="AS62" s="71"/>
      <c r="AT62" s="71"/>
      <c r="AU62" s="71"/>
      <c r="AV62" s="71"/>
      <c r="AW62" s="71"/>
      <c r="AX62" s="71"/>
      <c r="AY62" s="71"/>
      <c r="AZ62" s="71"/>
    </row>
    <row r="63" spans="1:66" ht="15.65" customHeight="1">
      <c r="A63" s="201" t="s">
        <v>114</v>
      </c>
      <c r="B63" s="16"/>
      <c r="C63" s="288"/>
      <c r="D63" s="288"/>
      <c r="E63" s="288"/>
      <c r="F63" s="288"/>
      <c r="G63" s="288"/>
      <c r="H63" s="288"/>
      <c r="I63" s="288"/>
      <c r="J63" s="288"/>
      <c r="K63" s="288"/>
      <c r="L63" s="288"/>
      <c r="M63" s="21">
        <f t="shared" ref="M63:M75" si="83">SUM(C63:L63)</f>
        <v>0</v>
      </c>
      <c r="N63" s="285"/>
      <c r="O63" s="285" t="s">
        <v>113</v>
      </c>
      <c r="Q63" s="107" t="s">
        <v>22</v>
      </c>
      <c r="R63" s="124" t="s">
        <v>34</v>
      </c>
      <c r="S63" s="45">
        <f>+S19</f>
        <v>2026</v>
      </c>
      <c r="T63" s="45">
        <f>+S63+1</f>
        <v>2027</v>
      </c>
      <c r="U63" s="8">
        <f t="shared" ref="U63:Z63" si="84">+T63+1</f>
        <v>2028</v>
      </c>
      <c r="V63" s="8">
        <f t="shared" si="84"/>
        <v>2029</v>
      </c>
      <c r="W63" s="8">
        <f t="shared" si="84"/>
        <v>2030</v>
      </c>
      <c r="X63" s="124">
        <f t="shared" si="84"/>
        <v>2031</v>
      </c>
      <c r="Y63" s="8">
        <f t="shared" si="84"/>
        <v>2032</v>
      </c>
      <c r="Z63" s="8">
        <f t="shared" si="84"/>
        <v>2033</v>
      </c>
      <c r="AA63" s="8">
        <f>+Z63+1</f>
        <v>2034</v>
      </c>
      <c r="AB63" s="8">
        <f>+AA63+1</f>
        <v>2035</v>
      </c>
      <c r="AC63" s="124" t="s">
        <v>34</v>
      </c>
      <c r="AF63" s="71"/>
      <c r="AG63" s="71"/>
      <c r="AH63" s="71"/>
      <c r="AI63" s="71"/>
      <c r="AJ63" s="71"/>
      <c r="AK63" s="71"/>
      <c r="AL63" s="71"/>
      <c r="AM63" s="71"/>
      <c r="AN63" s="71"/>
      <c r="AO63" s="71"/>
      <c r="AP63" s="71"/>
      <c r="AQ63" s="71"/>
      <c r="AR63" s="70"/>
      <c r="AS63" s="70"/>
      <c r="AT63" s="70"/>
      <c r="AU63" s="70"/>
      <c r="AV63" s="70"/>
      <c r="AW63" s="70"/>
      <c r="AX63" s="70"/>
      <c r="AY63" s="70"/>
      <c r="AZ63" s="70"/>
    </row>
    <row r="64" spans="1:66" ht="15.65" customHeight="1">
      <c r="A64" s="219" t="s">
        <v>114</v>
      </c>
      <c r="B64" s="220"/>
      <c r="C64" s="288"/>
      <c r="D64" s="288"/>
      <c r="E64" s="288"/>
      <c r="F64" s="288"/>
      <c r="G64" s="288"/>
      <c r="H64" s="288"/>
      <c r="I64" s="288"/>
      <c r="J64" s="288"/>
      <c r="K64" s="288"/>
      <c r="L64" s="288"/>
      <c r="M64" s="21">
        <f t="shared" si="83"/>
        <v>0</v>
      </c>
      <c r="N64" s="285"/>
      <c r="O64" s="285" t="s">
        <v>113</v>
      </c>
      <c r="P64" s="119"/>
      <c r="Q64" s="147" t="s">
        <v>74</v>
      </c>
      <c r="R64" s="318">
        <f t="shared" ref="R64:R73" si="85">+AC64</f>
        <v>0</v>
      </c>
      <c r="S64" s="316">
        <f>+S40</f>
        <v>0</v>
      </c>
      <c r="T64" s="316">
        <f t="shared" ref="T64:Z64" si="86">+T40</f>
        <v>0</v>
      </c>
      <c r="U64" s="316">
        <f t="shared" si="86"/>
        <v>0</v>
      </c>
      <c r="V64" s="316">
        <f t="shared" si="86"/>
        <v>0</v>
      </c>
      <c r="W64" s="316">
        <f t="shared" si="86"/>
        <v>0</v>
      </c>
      <c r="X64" s="317">
        <f t="shared" si="86"/>
        <v>0</v>
      </c>
      <c r="Y64" s="294">
        <f t="shared" si="86"/>
        <v>0</v>
      </c>
      <c r="Z64" s="28">
        <f t="shared" si="86"/>
        <v>0</v>
      </c>
      <c r="AA64" s="28">
        <f>+AA40</f>
        <v>0</v>
      </c>
      <c r="AB64" s="28">
        <f>+AB40</f>
        <v>0</v>
      </c>
      <c r="AC64" s="125">
        <f>SUM(S64:AB64)</f>
        <v>0</v>
      </c>
      <c r="AF64" s="70"/>
      <c r="AG64" s="70"/>
      <c r="AH64" s="70"/>
      <c r="AI64" s="70"/>
      <c r="AJ64" s="70"/>
      <c r="AK64" s="70"/>
      <c r="AL64" s="70"/>
      <c r="AM64" s="70"/>
      <c r="AN64" s="70"/>
      <c r="AO64" s="70"/>
      <c r="AP64" s="70"/>
      <c r="AQ64" s="70"/>
      <c r="AR64" s="70"/>
      <c r="AS64" s="70"/>
      <c r="AT64" s="70"/>
      <c r="AU64" s="70"/>
      <c r="AV64" s="70"/>
      <c r="AW64" s="70"/>
      <c r="AX64" s="70"/>
      <c r="AY64" s="70"/>
      <c r="AZ64" s="70"/>
    </row>
    <row r="65" spans="1:52" ht="15.65" customHeight="1">
      <c r="A65" s="201" t="s">
        <v>114</v>
      </c>
      <c r="B65" s="16"/>
      <c r="C65" s="288"/>
      <c r="D65" s="288"/>
      <c r="E65" s="288"/>
      <c r="F65" s="288"/>
      <c r="G65" s="288"/>
      <c r="H65" s="288"/>
      <c r="I65" s="288"/>
      <c r="J65" s="288"/>
      <c r="K65" s="288"/>
      <c r="L65" s="288"/>
      <c r="M65" s="21">
        <f t="shared" si="83"/>
        <v>0</v>
      </c>
      <c r="N65" s="285"/>
      <c r="O65" s="285" t="s">
        <v>113</v>
      </c>
      <c r="P65" s="119"/>
      <c r="Q65" s="148" t="s">
        <v>75</v>
      </c>
      <c r="R65" s="309">
        <f>+AC65</f>
        <v>0</v>
      </c>
      <c r="S65" s="310">
        <f t="shared" ref="S65:Z65" si="87">+S56</f>
        <v>0</v>
      </c>
      <c r="T65" s="310">
        <f t="shared" si="87"/>
        <v>0</v>
      </c>
      <c r="U65" s="310">
        <f t="shared" si="87"/>
        <v>0</v>
      </c>
      <c r="V65" s="310">
        <f t="shared" si="87"/>
        <v>0</v>
      </c>
      <c r="W65" s="310">
        <f t="shared" si="87"/>
        <v>0</v>
      </c>
      <c r="X65" s="311">
        <f t="shared" si="87"/>
        <v>0</v>
      </c>
      <c r="Y65" s="295">
        <f t="shared" si="87"/>
        <v>0</v>
      </c>
      <c r="Z65" s="113">
        <f t="shared" si="87"/>
        <v>0</v>
      </c>
      <c r="AA65" s="113">
        <f>+AA56</f>
        <v>0</v>
      </c>
      <c r="AB65" s="113">
        <f>+AB56</f>
        <v>0</v>
      </c>
      <c r="AC65" s="141">
        <f t="shared" ref="AC65:AC73" si="88">SUM(S65:AB65)</f>
        <v>0</v>
      </c>
      <c r="AF65" s="70"/>
      <c r="AG65" s="70"/>
      <c r="AH65" s="70"/>
      <c r="AI65" s="70"/>
      <c r="AJ65" s="70"/>
      <c r="AK65" s="70"/>
      <c r="AL65" s="70"/>
      <c r="AM65" s="70"/>
      <c r="AN65" s="70"/>
      <c r="AO65" s="70"/>
      <c r="AP65" s="70"/>
      <c r="AQ65" s="70"/>
      <c r="AR65" s="70"/>
      <c r="AS65" s="70"/>
      <c r="AT65" s="70"/>
      <c r="AU65" s="70"/>
      <c r="AV65" s="70"/>
      <c r="AW65" s="70"/>
      <c r="AX65" s="70"/>
      <c r="AY65" s="70"/>
      <c r="AZ65" s="70"/>
    </row>
    <row r="66" spans="1:52" ht="15.65" customHeight="1">
      <c r="A66" s="219" t="s">
        <v>114</v>
      </c>
      <c r="B66" s="220"/>
      <c r="C66" s="288"/>
      <c r="D66" s="288"/>
      <c r="E66" s="288"/>
      <c r="F66" s="288"/>
      <c r="G66" s="288"/>
      <c r="H66" s="288"/>
      <c r="I66" s="288"/>
      <c r="J66" s="288"/>
      <c r="K66" s="288"/>
      <c r="L66" s="288"/>
      <c r="M66" s="21">
        <f t="shared" si="83"/>
        <v>0</v>
      </c>
      <c r="N66" s="285"/>
      <c r="O66" s="285" t="s">
        <v>113</v>
      </c>
      <c r="P66" s="119"/>
      <c r="Q66" s="149" t="s">
        <v>76</v>
      </c>
      <c r="R66" s="312">
        <f t="shared" si="85"/>
        <v>0</v>
      </c>
      <c r="S66" s="313">
        <f>+SUM(S64:S65)</f>
        <v>0</v>
      </c>
      <c r="T66" s="313">
        <f t="shared" ref="T66:Z66" si="89">+SUM(T64:T65)</f>
        <v>0</v>
      </c>
      <c r="U66" s="313">
        <f t="shared" si="89"/>
        <v>0</v>
      </c>
      <c r="V66" s="313">
        <f t="shared" si="89"/>
        <v>0</v>
      </c>
      <c r="W66" s="313">
        <f t="shared" si="89"/>
        <v>0</v>
      </c>
      <c r="X66" s="314">
        <f t="shared" si="89"/>
        <v>0</v>
      </c>
      <c r="Y66" s="296">
        <f t="shared" si="89"/>
        <v>0</v>
      </c>
      <c r="Z66" s="137">
        <f t="shared" si="89"/>
        <v>0</v>
      </c>
      <c r="AA66" s="137">
        <f>+SUM(AA64:AA65)</f>
        <v>0</v>
      </c>
      <c r="AB66" s="137">
        <f>+SUM(AB64:AB65)</f>
        <v>0</v>
      </c>
      <c r="AC66" s="138">
        <f t="shared" si="88"/>
        <v>0</v>
      </c>
      <c r="AF66" s="70"/>
      <c r="AG66" s="70"/>
      <c r="AH66" s="70"/>
      <c r="AI66" s="70"/>
      <c r="AJ66" s="70"/>
      <c r="AK66" s="70"/>
      <c r="AL66" s="70"/>
      <c r="AM66" s="70"/>
      <c r="AN66" s="70"/>
      <c r="AO66" s="70"/>
      <c r="AP66" s="70"/>
      <c r="AQ66" s="70"/>
      <c r="AR66" s="70"/>
      <c r="AS66" s="70"/>
      <c r="AT66" s="70"/>
      <c r="AU66" s="70"/>
      <c r="AV66" s="70"/>
      <c r="AW66" s="70"/>
      <c r="AX66" s="70"/>
      <c r="AY66" s="70"/>
      <c r="AZ66" s="70"/>
    </row>
    <row r="67" spans="1:52" ht="15.65" customHeight="1">
      <c r="A67" s="201" t="s">
        <v>114</v>
      </c>
      <c r="B67" s="16"/>
      <c r="C67" s="288"/>
      <c r="D67" s="288"/>
      <c r="E67" s="288"/>
      <c r="F67" s="288"/>
      <c r="G67" s="288"/>
      <c r="H67" s="288"/>
      <c r="I67" s="288"/>
      <c r="J67" s="288"/>
      <c r="K67" s="288"/>
      <c r="L67" s="288"/>
      <c r="M67" s="21">
        <f t="shared" si="83"/>
        <v>0</v>
      </c>
      <c r="N67" s="285"/>
      <c r="O67" s="285" t="s">
        <v>113</v>
      </c>
      <c r="P67" s="119"/>
      <c r="Q67" s="149" t="s">
        <v>77</v>
      </c>
      <c r="R67" s="312">
        <f t="shared" si="85"/>
        <v>0</v>
      </c>
      <c r="S67" s="313">
        <f>+C75</f>
        <v>0</v>
      </c>
      <c r="T67" s="313">
        <f t="shared" ref="T67:AB67" si="90">+D75</f>
        <v>0</v>
      </c>
      <c r="U67" s="313">
        <f t="shared" si="90"/>
        <v>0</v>
      </c>
      <c r="V67" s="313">
        <f t="shared" si="90"/>
        <v>0</v>
      </c>
      <c r="W67" s="313">
        <f t="shared" si="90"/>
        <v>0</v>
      </c>
      <c r="X67" s="314">
        <f t="shared" si="90"/>
        <v>0</v>
      </c>
      <c r="Y67" s="296">
        <f t="shared" si="90"/>
        <v>0</v>
      </c>
      <c r="Z67" s="137">
        <f t="shared" si="90"/>
        <v>0</v>
      </c>
      <c r="AA67" s="137">
        <f t="shared" si="90"/>
        <v>0</v>
      </c>
      <c r="AB67" s="137">
        <f t="shared" si="90"/>
        <v>0</v>
      </c>
      <c r="AC67" s="138">
        <f t="shared" si="88"/>
        <v>0</v>
      </c>
      <c r="AF67" s="70"/>
      <c r="AG67" s="70"/>
      <c r="AH67" s="70"/>
      <c r="AI67" s="70"/>
      <c r="AJ67" s="70"/>
      <c r="AK67" s="70"/>
      <c r="AL67" s="70"/>
      <c r="AM67" s="70"/>
      <c r="AN67" s="70"/>
      <c r="AO67" s="70"/>
      <c r="AP67" s="70"/>
      <c r="AQ67" s="70"/>
      <c r="AR67" s="70"/>
      <c r="AS67" s="70"/>
      <c r="AT67" s="70"/>
      <c r="AU67" s="70"/>
      <c r="AV67" s="70"/>
      <c r="AW67" s="70"/>
      <c r="AX67" s="70"/>
      <c r="AY67" s="70"/>
      <c r="AZ67" s="70"/>
    </row>
    <row r="68" spans="1:52" ht="15.65" customHeight="1">
      <c r="A68" s="219" t="s">
        <v>114</v>
      </c>
      <c r="B68" s="220"/>
      <c r="C68" s="288"/>
      <c r="D68" s="288"/>
      <c r="E68" s="288"/>
      <c r="F68" s="288"/>
      <c r="G68" s="288"/>
      <c r="H68" s="288"/>
      <c r="I68" s="288"/>
      <c r="J68" s="288"/>
      <c r="K68" s="288"/>
      <c r="L68" s="288"/>
      <c r="M68" s="21">
        <f t="shared" si="83"/>
        <v>0</v>
      </c>
      <c r="N68" s="285"/>
      <c r="O68" s="285" t="s">
        <v>113</v>
      </c>
      <c r="P68" s="119"/>
      <c r="Q68" s="149" t="s">
        <v>78</v>
      </c>
      <c r="R68" s="312">
        <f t="shared" si="85"/>
        <v>0</v>
      </c>
      <c r="S68" s="313">
        <f>+S67+S66</f>
        <v>0</v>
      </c>
      <c r="T68" s="313">
        <f t="shared" ref="T68:Z68" si="91">+T67+T66</f>
        <v>0</v>
      </c>
      <c r="U68" s="313">
        <f t="shared" si="91"/>
        <v>0</v>
      </c>
      <c r="V68" s="313">
        <f t="shared" si="91"/>
        <v>0</v>
      </c>
      <c r="W68" s="313">
        <f t="shared" si="91"/>
        <v>0</v>
      </c>
      <c r="X68" s="314">
        <f t="shared" si="91"/>
        <v>0</v>
      </c>
      <c r="Y68" s="296">
        <f t="shared" si="91"/>
        <v>0</v>
      </c>
      <c r="Z68" s="137">
        <f t="shared" si="91"/>
        <v>0</v>
      </c>
      <c r="AA68" s="137">
        <f>+AA67+AA66</f>
        <v>0</v>
      </c>
      <c r="AB68" s="137">
        <f>+AB67+AB66</f>
        <v>0</v>
      </c>
      <c r="AC68" s="138">
        <f t="shared" si="88"/>
        <v>0</v>
      </c>
      <c r="AF68" s="70"/>
      <c r="AG68" s="70"/>
      <c r="AH68" s="70"/>
      <c r="AI68" s="70"/>
      <c r="AJ68" s="70"/>
      <c r="AK68" s="70"/>
      <c r="AL68" s="70"/>
      <c r="AM68" s="70"/>
      <c r="AN68" s="70"/>
      <c r="AO68" s="70"/>
      <c r="AP68" s="70"/>
      <c r="AQ68" s="70"/>
      <c r="AR68" s="70"/>
      <c r="AS68" s="70"/>
      <c r="AT68" s="70"/>
      <c r="AU68" s="70"/>
      <c r="AV68" s="70"/>
      <c r="AW68" s="70"/>
      <c r="AX68" s="70"/>
      <c r="AY68" s="70"/>
      <c r="AZ68" s="70"/>
    </row>
    <row r="69" spans="1:52" ht="15.65" customHeight="1">
      <c r="A69" s="201" t="s">
        <v>114</v>
      </c>
      <c r="B69" s="16"/>
      <c r="C69" s="288"/>
      <c r="D69" s="288"/>
      <c r="E69" s="288"/>
      <c r="F69" s="288"/>
      <c r="G69" s="288"/>
      <c r="H69" s="288"/>
      <c r="I69" s="288"/>
      <c r="J69" s="288"/>
      <c r="K69" s="288"/>
      <c r="L69" s="288"/>
      <c r="M69" s="21">
        <f t="shared" si="83"/>
        <v>0</v>
      </c>
      <c r="N69" s="285"/>
      <c r="O69" s="285" t="s">
        <v>113</v>
      </c>
      <c r="P69" s="119"/>
      <c r="Q69" s="150" t="s">
        <v>0</v>
      </c>
      <c r="R69" s="312">
        <f t="shared" si="85"/>
        <v>0</v>
      </c>
      <c r="S69" s="153">
        <f>IF($C$12=2,S66*$C$6/100,
IF($G$6=Lister!$D$4,S66*$C$6/100,
IF($G$6=Lister!$D$5,S68*$C$6/100,
IF($G$6=Lister!$D$6,(S68-SUMIF($A$62:$A$72,Lister!$M$10,C62:C72))*$C$6/100,
IF($G$6=Lister!$D$7,(S68-SUMIF($A$62:$A$72,Lister!$M$10,C62:C72)-SUMIF($A$62:$A$72,Lister!$M$7,C62:C72))*$C$6/100,
IF($G$6=Lister!$D$8,(S68+S70)*$C$6/100,
IF($G$6=Lister!$D$9,S67*$C$6/100,0)))))))</f>
        <v>0</v>
      </c>
      <c r="T69" s="153">
        <f>IF($C$12=2,T66*$C$6/100,
IF($G$6=Lister!$D$4,T66*$C$6/100,
IF($G$6=Lister!$D$5,T68*$C$6/100,
IF($G$6=Lister!$D$6,(T68-SUMIF($A$62:$A$72,Lister!$M$10,D62:D72))*$C$6/100,
IF($G$6=Lister!$D$7,(T68-SUMIF($A$62:$A$72,Lister!$M$10,D62:D72)-SUMIF($A$62:$A$72,Lister!$M$7,D62:D72))*$C$6/100,
IF($G$6=Lister!$D$8,(T68+T70)*$C$6/100,
IF($G$6=Lister!$D$9,T67*$C$6/100,0)))))))</f>
        <v>0</v>
      </c>
      <c r="U69" s="153">
        <f>IF($C$12=2,U66*$C$6/100,
IF($G$6=Lister!$D$4,U66*$C$6/100,
IF($G$6=Lister!$D$5,U68*$C$6/100,
IF($G$6=Lister!$D$6,(U68-SUMIF($A$62:$A$72,Lister!$M$10,E62:E72))*$C$6/100,
IF($G$6=Lister!$D$7,(U68-SUMIF($A$62:$A$72,Lister!$M$10,E62:E72)-SUMIF($A$62:$A$72,Lister!$M$7,E62:E72))*$C$6/100,
IF($G$6=Lister!$D$8,(U68+U70)*$C$6/100,
IF($G$6=Lister!$D$9,U67*$C$6/100,0)))))))</f>
        <v>0</v>
      </c>
      <c r="V69" s="153">
        <f>IF($C$12=2,V66*$C$6/100,
IF($G$6=Lister!$D$4,V66*$C$6/100,
IF($G$6=Lister!$D$5,V68*$C$6/100,
IF($G$6=Lister!$D$6,(V68-SUMIF($A$62:$A$72,Lister!$M$10,F62:F72))*$C$6/100,
IF($G$6=Lister!$D$7,(V68-SUMIF($A$62:$A$72,Lister!$M$10,F62:F72)-SUMIF($A$62:$A$72,Lister!$M$7,F62:F72))*$C$6/100,
IF($G$6=Lister!$D$8,(V68+V70)*$C$6/100,
IF($G$6=Lister!$D$9,V67*$C$6/100,0)))))))</f>
        <v>0</v>
      </c>
      <c r="W69" s="153">
        <f>IF($C$12=2,W66*$C$6/100,
IF($G$6=Lister!$D$4,W66*$C$6/100,
IF($G$6=Lister!$D$5,W68*$C$6/100,
IF($G$6=Lister!$D$6,(W68-SUMIF($A$62:$A$72,Lister!$M$10,G62:G72))*$C$6/100,
IF($G$6=Lister!$D$7,(W68-SUMIF($A$62:$A$72,Lister!$M$10,G62:G72)-SUMIF($A$62:$A$72,Lister!$M$7,G62:G72))*$C$6/100,
IF($G$6=Lister!$D$8,(W68+W70)*$C$6/100,
IF($G$6=Lister!$D$9,W67*$C$6/100,0)))))))</f>
        <v>0</v>
      </c>
      <c r="X69" s="300">
        <f>IF($C$12=2,X66*$C$6/100,
IF($G$6=Lister!$D$4,X66*$C$6/100,
IF($G$6=Lister!$D$5,X68*$C$6/100,
IF($G$6=Lister!$D$6,(X68-SUMIF($A$62:$A$72,Lister!$M$10,H62:H72))*$C$6/100,
IF($G$6=Lister!$D$7,(X68-SUMIF($A$62:$A$72,Lister!$M$10,H62:H72)-SUMIF($A$62:$A$72,Lister!$M$7,H62:H72))*$C$6/100,
IF($G$6=Lister!$D$8,(X68+X70)*$C$6/100,
IF($G$6=Lister!$D$9,X67*$C$6/100,0)))))))</f>
        <v>0</v>
      </c>
      <c r="Y69" s="297">
        <f>IF($C$12=2,Y66*$C$6/100,
IF($G$6=Lister!$D$4,Y66*$C$6/100,
IF($G$6=Lister!$D$5,Y68*$C$6/100,
IF($G$6=Lister!$D$6,(Y68-SUMIF($A$62:$A$72,Lister!$M$10,I62:I72))*$C$6/100,
IF($G$6=Lister!$D$7,(Y68-SUMIF($A$62:$A$72,Lister!$M$10,I62:I72)-SUMIF($A$62:$A$72,Lister!$M$7,I62:I72))*$C$6/100,
IF($G$6=Lister!$D$8,(Y68+Y70)*$C$6/100,
IF($G$6=Lister!$D$9,Y67*$C$6/100,0)))))))</f>
        <v>0</v>
      </c>
      <c r="Z69" s="21">
        <f>IF($C$12=2,Z66*$C$6/100,
IF($G$6=Lister!$D$4,Z66*$C$6/100,
IF($G$6=Lister!$D$5,Z68*$C$6/100,
IF($G$6=Lister!$D$6,(Z68-SUMIF($A$62:$A$72,Lister!$M$10,J62:J72))*$C$6/100,
IF($G$6=Lister!$D$7,(Z68-SUMIF($A$62:$A$72,Lister!$M$10,J62:J72)-SUMIF($A$62:$A$72,Lister!$M$7,J62:J72))*$C$6/100,
IF($G$6=Lister!$D$8,(Z68+Z70)*$C$6/100,
IF($G$6=Lister!$D$9,Z67*$C$6/100,0)))))))</f>
        <v>0</v>
      </c>
      <c r="AA69" s="21">
        <f>IF($C$12=2,AA66*$C$6/100,
IF($G$6=Lister!$D$4,AA66*$C$6/100,
IF($G$6=Lister!$D$5,AA68*$C$6/100,
IF($G$6=Lister!$D$6,(AA68-SUMIF($A$62:$A$72,Lister!$M$10,K62:K72))*$C$6/100,
IF($G$6=Lister!$D$7,(AA68-SUMIF($A$62:$A$72,Lister!$M$10,K62:K72)-SUMIF($A$62:$A$72,Lister!$M$7,K62:K72))*$C$6/100,
IF($G$6=Lister!$D$8,(AA68+AA70)*$C$6/100,
IF($G$6=Lister!$D$9,AA67*$C$6/100,0)))))))</f>
        <v>0</v>
      </c>
      <c r="AB69" s="21">
        <f>IF($C$12=2,AB66*$C$6/100,
IF($G$6=Lister!$D$4,AB66*$C$6/100,
IF($G$6=Lister!$D$5,AB68*$C$6/100,
IF($G$6=Lister!$D$6,(AB68-SUMIF($A$62:$A$72,Lister!$M$10,L62:L72))*$C$6/100,
IF($G$6=Lister!$D$7,(AB68-SUMIF($A$62:$A$72,Lister!$M$10,L62:L72)-SUMIF($A$62:$A$72,Lister!$M$7,L62:L72))*$C$6/100,
IF($G$6=Lister!$D$8,(AB68+AB70)*$C$6/100,
IF($G$6=Lister!$D$9,AB67*$C$6/100,0)))))))</f>
        <v>0</v>
      </c>
      <c r="AC69" s="138">
        <f t="shared" si="88"/>
        <v>0</v>
      </c>
      <c r="AF69" s="70"/>
      <c r="AG69" s="70"/>
      <c r="AH69" s="70"/>
      <c r="AI69" s="70"/>
      <c r="AJ69" s="70"/>
      <c r="AK69" s="70"/>
      <c r="AL69" s="70"/>
      <c r="AM69" s="70"/>
      <c r="AN69" s="70"/>
      <c r="AO69" s="70"/>
      <c r="AP69" s="70"/>
      <c r="AQ69" s="70"/>
      <c r="AR69" s="70"/>
      <c r="AS69" s="70"/>
      <c r="AT69" s="70"/>
      <c r="AU69" s="70"/>
      <c r="AV69" s="70"/>
      <c r="AW69" s="70"/>
      <c r="AX69" s="70"/>
      <c r="AY69" s="70"/>
      <c r="AZ69" s="70"/>
    </row>
    <row r="70" spans="1:52" ht="15.65" customHeight="1">
      <c r="A70" s="219" t="s">
        <v>114</v>
      </c>
      <c r="B70" s="220"/>
      <c r="C70" s="288"/>
      <c r="D70" s="288"/>
      <c r="E70" s="288"/>
      <c r="F70" s="288"/>
      <c r="G70" s="288"/>
      <c r="H70" s="288"/>
      <c r="I70" s="288"/>
      <c r="J70" s="288"/>
      <c r="K70" s="288"/>
      <c r="L70" s="288"/>
      <c r="M70" s="21">
        <f t="shared" si="83"/>
        <v>0</v>
      </c>
      <c r="N70" s="285"/>
      <c r="O70" s="285" t="s">
        <v>113</v>
      </c>
      <c r="P70" s="119"/>
      <c r="Q70" s="151" t="s">
        <v>103</v>
      </c>
      <c r="R70" s="312">
        <f t="shared" si="85"/>
        <v>0</v>
      </c>
      <c r="S70" s="153">
        <f>+IF($C$8=Lister!$O$5,C$40*Takstblad!C$84,0)</f>
        <v>0</v>
      </c>
      <c r="T70" s="153">
        <f>+IF($C$8=Lister!$O$5,D$40*Takstblad!D$84,0)</f>
        <v>0</v>
      </c>
      <c r="U70" s="153">
        <f>+IF($C$8=Lister!$O$5,E$40*Takstblad!E$84,0)</f>
        <v>0</v>
      </c>
      <c r="V70" s="153">
        <f>+IF($C$8=Lister!$O$5,F$40*Takstblad!F$84,0)</f>
        <v>0</v>
      </c>
      <c r="W70" s="153">
        <f>+IF($C$8=Lister!$O$5,G$40*Takstblad!G$84,0)</f>
        <v>0</v>
      </c>
      <c r="X70" s="300">
        <f>+IF($C$8=Lister!$O$5,H$40*Takstblad!H$84,0)</f>
        <v>0</v>
      </c>
      <c r="Y70" s="297">
        <f>+IF($C$8=Lister!$O$5,I$40*Takstblad!I$84,0)</f>
        <v>0</v>
      </c>
      <c r="Z70" s="21">
        <f>+IF($C$8=Lister!$O$5,J$40*Takstblad!J$84,0)</f>
        <v>0</v>
      </c>
      <c r="AA70" s="21">
        <f>+IF($C$8=Lister!$O$5,K$40*Takstblad!K$84,0)</f>
        <v>0</v>
      </c>
      <c r="AB70" s="21">
        <f>+IF($C$8=Lister!$O$5,L$40*Takstblad!L$84,0)</f>
        <v>0</v>
      </c>
      <c r="AC70" s="138">
        <f t="shared" si="88"/>
        <v>0</v>
      </c>
      <c r="AF70" s="70"/>
      <c r="AG70" s="70"/>
      <c r="AH70" s="70"/>
      <c r="AI70" s="70"/>
      <c r="AJ70" s="70"/>
      <c r="AK70" s="70"/>
      <c r="AL70" s="70"/>
      <c r="AM70" s="70"/>
      <c r="AN70" s="70"/>
      <c r="AO70" s="70"/>
      <c r="AP70" s="70"/>
      <c r="AQ70" s="70"/>
      <c r="AR70" s="70"/>
      <c r="AS70" s="70"/>
      <c r="AT70" s="70"/>
      <c r="AU70" s="70"/>
      <c r="AV70" s="70"/>
      <c r="AW70" s="70"/>
      <c r="AX70" s="70"/>
      <c r="AY70" s="70"/>
      <c r="AZ70" s="70"/>
    </row>
    <row r="71" spans="1:52" ht="17.649999999999999" customHeight="1">
      <c r="A71" s="201" t="s">
        <v>114</v>
      </c>
      <c r="B71" s="16"/>
      <c r="C71" s="288"/>
      <c r="D71" s="288"/>
      <c r="E71" s="288"/>
      <c r="F71" s="288"/>
      <c r="G71" s="288"/>
      <c r="H71" s="288"/>
      <c r="I71" s="288"/>
      <c r="J71" s="288"/>
      <c r="K71" s="288"/>
      <c r="L71" s="288"/>
      <c r="M71" s="21">
        <f t="shared" si="83"/>
        <v>0</v>
      </c>
      <c r="N71" s="285"/>
      <c r="O71" s="285" t="s">
        <v>113</v>
      </c>
      <c r="P71" s="119"/>
      <c r="Q71" s="151" t="s">
        <v>108</v>
      </c>
      <c r="R71" s="312">
        <f t="shared" si="85"/>
        <v>0</v>
      </c>
      <c r="S71" s="153">
        <f t="shared" ref="S71:X71" si="92">+S87+S101</f>
        <v>0</v>
      </c>
      <c r="T71" s="153">
        <f t="shared" si="92"/>
        <v>0</v>
      </c>
      <c r="U71" s="153">
        <f t="shared" si="92"/>
        <v>0</v>
      </c>
      <c r="V71" s="153">
        <f t="shared" si="92"/>
        <v>0</v>
      </c>
      <c r="W71" s="153">
        <f t="shared" si="92"/>
        <v>0</v>
      </c>
      <c r="X71" s="300">
        <f t="shared" si="92"/>
        <v>0</v>
      </c>
      <c r="Y71" s="297">
        <f>+IF($C$8="Project-Supplement",((SUMIF($A$20:$A$29,"PhD",I$20:I$29)+SUMIF($A$20:$A$29,"Research Assistant - avr. rate",I$20:I$29)+SUMIF($A$20:$A$29,"Research Assistant - low rate",I$20:I$29)+SUMIF($A$20:$A$29,"Post doc.",I$20:I$29))/12)*Takstblad!I$85,0)</f>
        <v>0</v>
      </c>
      <c r="Z71" s="21">
        <f>+IF($C$8="Project-Supplement",((SUMIF($A$20:$A$29,"PhD",J$20:J$29)+SUMIF($A$20:$A$29,"Research Assistant - avr. rate",J$20:J$29)+SUMIF($A$20:$A$29,"Research Assistant - low rate",J$20:J$29)+SUMIF($A$20:$A$29,"Post doc.",J$20:J$29))/12)*Takstblad!J$85,0)</f>
        <v>0</v>
      </c>
      <c r="AA71" s="21">
        <f>+IF($C$8="Project-Supplement",((SUMIF($A$20:$A$29,"PhD",K$20:K$29)+SUMIF($A$20:$A$29,"Research Assistant - avr. rate",K$20:K$29)+SUMIF($A$20:$A$29,"Research Assistant - low rate",K$20:K$29)+SUMIF($A$20:$A$29,"Post doc.",K$20:K$29))/12)*Takstblad!K$85,0)</f>
        <v>0</v>
      </c>
      <c r="AB71" s="21">
        <f>+IF($C$8="Project-Supplement",((SUMIF($A$20:$A$29,"PhD",L$20:L$29)+SUMIF($A$20:$A$29,"Research Assistant - avr. rate",L$20:L$29)+SUMIF($A$20:$A$29,"Research Assistant - low rate",L$20:L$29)+SUMIF($A$20:$A$29,"Post doc.",L$20:L$29))/12)*Takstblad!L$85,0)</f>
        <v>0</v>
      </c>
      <c r="AC71" s="138">
        <f t="shared" si="88"/>
        <v>0</v>
      </c>
      <c r="AF71" s="70"/>
      <c r="AG71" s="70"/>
      <c r="AH71" s="70"/>
      <c r="AI71" s="70"/>
      <c r="AJ71" s="70"/>
      <c r="AK71" s="70"/>
      <c r="AL71" s="70"/>
      <c r="AM71" s="70"/>
      <c r="AN71" s="70"/>
      <c r="AO71" s="70"/>
      <c r="AP71" s="70"/>
      <c r="AQ71" s="70"/>
      <c r="AR71" s="70"/>
      <c r="AS71" s="70"/>
      <c r="AT71" s="70"/>
      <c r="AU71" s="70"/>
      <c r="AV71" s="70"/>
      <c r="AW71" s="70"/>
      <c r="AX71" s="70"/>
      <c r="AY71" s="70"/>
      <c r="AZ71" s="70"/>
    </row>
    <row r="72" spans="1:52" s="11" customFormat="1" ht="15.65" customHeight="1">
      <c r="A72" s="219" t="s">
        <v>114</v>
      </c>
      <c r="B72" s="220"/>
      <c r="C72" s="288"/>
      <c r="D72" s="288"/>
      <c r="E72" s="288"/>
      <c r="F72" s="288"/>
      <c r="G72" s="288"/>
      <c r="H72" s="288"/>
      <c r="I72" s="288"/>
      <c r="J72" s="288"/>
      <c r="K72" s="288"/>
      <c r="L72" s="288"/>
      <c r="M72" s="21">
        <f t="shared" si="83"/>
        <v>0</v>
      </c>
      <c r="N72" s="285"/>
      <c r="O72" s="285" t="s">
        <v>113</v>
      </c>
      <c r="P72" s="119"/>
      <c r="Q72" s="150" t="s">
        <v>531</v>
      </c>
      <c r="R72" s="312">
        <f t="shared" si="85"/>
        <v>0</v>
      </c>
      <c r="S72" s="153" t="str">
        <f>IF($C$12=2,(SUM(S68:S71)*$C$13)/100,"0")</f>
        <v>0</v>
      </c>
      <c r="T72" s="153" t="str">
        <f t="shared" ref="T72:Z72" si="93">IF($C$12=2,(SUM(T68:T71)*$C$13)/100,"0")</f>
        <v>0</v>
      </c>
      <c r="U72" s="153" t="str">
        <f t="shared" si="93"/>
        <v>0</v>
      </c>
      <c r="V72" s="153" t="str">
        <f t="shared" si="93"/>
        <v>0</v>
      </c>
      <c r="W72" s="153" t="str">
        <f t="shared" si="93"/>
        <v>0</v>
      </c>
      <c r="X72" s="300" t="str">
        <f t="shared" si="93"/>
        <v>0</v>
      </c>
      <c r="Y72" s="298" t="str">
        <f t="shared" si="93"/>
        <v>0</v>
      </c>
      <c r="Z72" s="153" t="str">
        <f t="shared" si="93"/>
        <v>0</v>
      </c>
      <c r="AA72" s="153" t="str">
        <f>IF($C$12=2,(SUM(AA68:AA71)*$C$13)/100,"0")</f>
        <v>0</v>
      </c>
      <c r="AB72" s="153" t="str">
        <f>IF($C$12=2,(SUM(AB68:AB71)*$C$13)/100,"0")</f>
        <v>0</v>
      </c>
      <c r="AC72" s="138">
        <f t="shared" si="88"/>
        <v>0</v>
      </c>
      <c r="AF72" s="70"/>
      <c r="AG72" s="70"/>
      <c r="AH72" s="70"/>
      <c r="AI72" s="70"/>
      <c r="AJ72" s="70"/>
      <c r="AK72" s="70"/>
      <c r="AL72" s="70"/>
      <c r="AM72" s="70"/>
      <c r="AN72" s="70"/>
      <c r="AO72" s="70"/>
      <c r="AP72" s="70"/>
      <c r="AQ72" s="70"/>
      <c r="AR72" s="78"/>
      <c r="AS72" s="78"/>
      <c r="AT72" s="78"/>
      <c r="AU72" s="78"/>
      <c r="AV72" s="78"/>
      <c r="AW72" s="78"/>
      <c r="AX72" s="78"/>
      <c r="AY72" s="78"/>
      <c r="AZ72" s="78"/>
    </row>
    <row r="73" spans="1:52" s="11" customFormat="1" ht="15.65" customHeight="1">
      <c r="A73" s="5" t="s">
        <v>233</v>
      </c>
      <c r="B73" s="16"/>
      <c r="C73" s="28">
        <f>IFERROR(IF($C$12=2,0,IF($C$8="project-supplement",0,IF(OR($G$7="Salary and Operations",$G$7="Operations"),(VLOOKUP($C$2,Takstblad!$B$71:$L$83,2,FALSE)*C$77)))),0)</f>
        <v>0</v>
      </c>
      <c r="D73" s="28">
        <f>IFERROR(IF($C$12=2,0,IF($C$8="project-supplement",0,IF(OR($G$7="Salary and Operations",$G$7="Operations"),(VLOOKUP($C$2,Takstblad!$B$71:$L$83,3,FALSE)*D$77)))),0)</f>
        <v>0</v>
      </c>
      <c r="E73" s="28">
        <f>IFERROR(IF($C$12=2,0,IF($C$8="project-supplement",0,IF(OR($G$7="Salary and Operations",$G$7="Operations"),(VLOOKUP($C$2,Takstblad!$B$71:$L$83,4,FALSE)*E$77)))),0)</f>
        <v>0</v>
      </c>
      <c r="F73" s="28">
        <f>IFERROR(IF($C$12=2,0,IF($C$8="project-supplement",0,IF(OR($G$7="Salary and Operations",$G$7="Operations"),(VLOOKUP($C$2,Takstblad!$B$71:$L$83,5,FALSE)*F$77)))),0)</f>
        <v>0</v>
      </c>
      <c r="G73" s="28">
        <f>IFERROR(IF($C$12=2,0,IF($C$8="project-supplement",0,IF(OR($G$7="Salary and Operations",$G$7="Operations"),(VLOOKUP($C$2,Takstblad!$B$71:$L$83,6,FALSE)*G$77)))),0)</f>
        <v>0</v>
      </c>
      <c r="H73" s="28">
        <f>IFERROR(IF($C$12=2,0,IF($C$8="project-supplement",0,IF(OR($G$7="Salary and Operations",$G$7="Operations"),(VLOOKUP($C$2,Takstblad!$B$71:$L$83,7,FALSE)*H$77)))),0)</f>
        <v>0</v>
      </c>
      <c r="I73" s="28">
        <f>IFERROR(IF($C$12=2,0,IF($C$8="project-supplement",0,IF(OR($G$7="Salary and Operations",$G$7="Operations"),(VLOOKUP($C$2,Takstblad!$B$71:$L$83,8,FALSE)*I$77)))),0)</f>
        <v>0</v>
      </c>
      <c r="J73" s="28">
        <f>IFERROR(IF($C$12=2,0,IF($C$8="project-supplement",0,IF(OR($G$7="Salary and Operations",$G$7="Operations"),(VLOOKUP($C$2,Takstblad!$B$71:$L$83,9,FALSE)*J$77)))),0)</f>
        <v>0</v>
      </c>
      <c r="K73" s="28">
        <f>IFERROR(IF($C$12=2,0,IF($C$8="project-supplement",0,IF(OR($G$7="Salary and Operations",$G$7="Operations"),(VLOOKUP($C$2,Takstblad!$B$71:$L$83,10,FALSE)*K$77)))),0)</f>
        <v>0</v>
      </c>
      <c r="L73" s="28">
        <f>IFERROR(IF($C$12=2,0,IF($C$8="project-supplement",0,IF(OR($G$7="Salary and Operations",$G$7="Operations"),(VLOOKUP($C$2,Takstblad!$B$71:$L$83,11,FALSE)*L$77)))),0)</f>
        <v>0</v>
      </c>
      <c r="M73" s="21">
        <f t="shared" si="83"/>
        <v>0</v>
      </c>
      <c r="N73" s="21"/>
      <c r="O73" s="225" t="s">
        <v>152</v>
      </c>
      <c r="P73" s="118"/>
      <c r="Q73" s="149" t="s">
        <v>101</v>
      </c>
      <c r="R73" s="312">
        <f t="shared" si="85"/>
        <v>0</v>
      </c>
      <c r="S73" s="313">
        <f>+SUM(S68:S72)</f>
        <v>0</v>
      </c>
      <c r="T73" s="313">
        <f t="shared" ref="T73:Z73" si="94">+SUM(T68:T72)</f>
        <v>0</v>
      </c>
      <c r="U73" s="313">
        <f t="shared" si="94"/>
        <v>0</v>
      </c>
      <c r="V73" s="313">
        <f t="shared" si="94"/>
        <v>0</v>
      </c>
      <c r="W73" s="313">
        <f t="shared" si="94"/>
        <v>0</v>
      </c>
      <c r="X73" s="314">
        <f t="shared" si="94"/>
        <v>0</v>
      </c>
      <c r="Y73" s="296">
        <f t="shared" si="94"/>
        <v>0</v>
      </c>
      <c r="Z73" s="137">
        <f t="shared" si="94"/>
        <v>0</v>
      </c>
      <c r="AA73" s="137">
        <f>+SUM(AA68:AA72)</f>
        <v>0</v>
      </c>
      <c r="AB73" s="137">
        <f>+SUM(AB68:AB72)</f>
        <v>0</v>
      </c>
      <c r="AC73" s="138">
        <f t="shared" si="88"/>
        <v>0</v>
      </c>
      <c r="AF73" s="70"/>
      <c r="AG73" s="70"/>
      <c r="AH73" s="70"/>
      <c r="AI73" s="70"/>
      <c r="AJ73" s="70"/>
      <c r="AK73" s="70"/>
      <c r="AL73" s="70"/>
      <c r="AM73" s="70"/>
      <c r="AN73" s="70"/>
      <c r="AO73" s="70"/>
      <c r="AP73" s="70"/>
      <c r="AQ73" s="70"/>
      <c r="AR73" s="78"/>
      <c r="AS73" s="78"/>
      <c r="AT73" s="78"/>
      <c r="AU73" s="78"/>
      <c r="AV73" s="78"/>
      <c r="AW73" s="78"/>
      <c r="AX73" s="78"/>
      <c r="AY73" s="78"/>
      <c r="AZ73" s="78"/>
    </row>
    <row r="74" spans="1:52" ht="15" customHeight="1" thickBot="1">
      <c r="A74" s="5" t="s">
        <v>712</v>
      </c>
      <c r="B74" s="16"/>
      <c r="C74" s="28">
        <f>IFERROR(IF($C$12=2,0,IF($C$8="project-supplement",0,IF(OR($G$7="Salary and Operations",$G$7="Operations"),(VLOOKUP($C$2,Takstblad!$B$71:$L$83,2,FALSE)*C$78)))),0)</f>
        <v>0</v>
      </c>
      <c r="D74" s="28">
        <f>IFERROR(IF($C$12=2,0,IF($C$8="project-supplement",0,IF(OR($G$7="Salary and Operations",$G$7="Operations"),(VLOOKUP($C$2,Takstblad!$B$71:$L$83,3,FALSE)*D$78)))),0)</f>
        <v>0</v>
      </c>
      <c r="E74" s="28">
        <f>IFERROR(IF($C$12=2,0,IF($C$8="project-supplement",0,IF(OR($G$7="Salary and Operations",$G$7="Operations"),(VLOOKUP($C$2,Takstblad!$B$71:$L$83,4,FALSE)*E$78)))),0)</f>
        <v>0</v>
      </c>
      <c r="F74" s="28">
        <f>IFERROR(IF($C$12=2,0,IF($C$8="project-supplement",0,IF(OR($G$7="Salary and Operations",$G$7="Operations"),(VLOOKUP($C$2,Takstblad!$B$71:$L$83,5,FALSE)*F$78)))),0)</f>
        <v>0</v>
      </c>
      <c r="G74" s="28">
        <f>IFERROR(IF($C$12=2,0,IF($C$8="project-supplement",0,IF(OR($G$7="Salary and Operations",$G$7="Operations"),(VLOOKUP($C$2,Takstblad!$B$71:$L$83,6,FALSE)*G$78)))),0)</f>
        <v>0</v>
      </c>
      <c r="H74" s="28">
        <f>IFERROR(IF($C$12=2,0,IF($C$8="project-supplement",0,IF(OR($G$7="Salary and Operations",$G$7="Operations"),(VLOOKUP($C$2,Takstblad!$B$71:$L$83,7,FALSE)*H$78)))),0)</f>
        <v>0</v>
      </c>
      <c r="I74" s="28">
        <f>IFERROR(IF($C$12=2,0,IF($C$8="project-supplement",0,IF(OR($G$7="Salary and Operations",$G$7="Operations"),(VLOOKUP($C$2,Takstblad!$B$71:$L$83,8,FALSE)*I$78)))),0)</f>
        <v>0</v>
      </c>
      <c r="J74" s="28">
        <f>IFERROR(IF($C$12=2,0,IF($C$8="project-supplement",0,IF(OR($G$7="Salary and Operations",$G$7="Operations"),(VLOOKUP($C$2,Takstblad!$B$71:$L$83,9,FALSE)*J$78)))),0)</f>
        <v>0</v>
      </c>
      <c r="K74" s="28">
        <f>IFERROR(IF($C$12=2,0,IF($C$8="project-supplement",0,IF(OR($G$7="Salary and Operations",$G$7="Operations"),(VLOOKUP($C$2,Takstblad!$B$71:$L$83,10,FALSE)*K$78)))),0)</f>
        <v>0</v>
      </c>
      <c r="L74" s="28">
        <f>IFERROR(IF($C$12=2,0,IF($C$8="project-supplement",0,IF(OR($G$7="Salary and Operations",$G$7="Operations"),(VLOOKUP($C$2,Takstblad!$B$71:$L$83,11,FALSE)*L$78)))),0)</f>
        <v>0</v>
      </c>
      <c r="M74" s="21">
        <f t="shared" si="83"/>
        <v>0</v>
      </c>
      <c r="N74" s="95"/>
      <c r="O74" s="225" t="s">
        <v>112</v>
      </c>
      <c r="P74" s="118"/>
      <c r="Q74" s="127"/>
      <c r="R74" s="129"/>
      <c r="S74" s="128"/>
      <c r="T74" s="128"/>
      <c r="U74" s="128"/>
      <c r="V74" s="128"/>
      <c r="W74" s="128"/>
      <c r="X74" s="129"/>
      <c r="Y74" s="128"/>
      <c r="Z74" s="128"/>
      <c r="AA74" s="128"/>
      <c r="AB74" s="128"/>
      <c r="AC74" s="129"/>
      <c r="AF74" s="78"/>
      <c r="AG74" s="78"/>
      <c r="AH74" s="78"/>
      <c r="AI74" s="78"/>
      <c r="AJ74" s="78"/>
      <c r="AK74" s="78"/>
      <c r="AL74" s="78"/>
      <c r="AM74" s="78"/>
      <c r="AN74" s="78"/>
      <c r="AO74" s="78"/>
      <c r="AP74" s="78"/>
      <c r="AQ74" s="78"/>
      <c r="AR74" s="70"/>
      <c r="AS74" s="70"/>
      <c r="AT74" s="70"/>
      <c r="AU74" s="70"/>
      <c r="AV74" s="70"/>
      <c r="AW74" s="70"/>
      <c r="AX74" s="70"/>
      <c r="AY74" s="70"/>
      <c r="AZ74" s="70"/>
    </row>
    <row r="75" spans="1:52" ht="15" customHeight="1" thickBot="1">
      <c r="A75" s="4" t="s">
        <v>72</v>
      </c>
      <c r="B75" s="16"/>
      <c r="C75" s="22">
        <f>SUM(C62:C74)-SUMIF($A$62:$A$72,Lister!$M$9,C62:C72)-ABS(SUMIF($A$62:$A$72,Lister!$M$9,C62:C72))</f>
        <v>0</v>
      </c>
      <c r="D75" s="22">
        <f>SUM(D62:D74)-SUMIF($A$62:$A$72,Lister!$M$9,D62:D72)-ABS(SUMIF($A$62:$A$72,Lister!$M$9,D62:D72))</f>
        <v>0</v>
      </c>
      <c r="E75" s="22">
        <f>SUM(E62:E74)-SUMIF($A$62:$A$72,Lister!$M$9,E62:E72)-ABS(SUMIF($A$62:$A$72,Lister!$M$9,E62:E72))</f>
        <v>0</v>
      </c>
      <c r="F75" s="22">
        <f>SUM(F62:F74)-SUMIF($A$62:$A$72,Lister!$M$9,F62:F72)-ABS(SUMIF($A$62:$A$72,Lister!$M$9,F62:F72))</f>
        <v>0</v>
      </c>
      <c r="G75" s="22">
        <f>SUM(G62:G74)-SUMIF($A$62:$A$72,Lister!$M$9,G62:G72)-ABS(SUMIF($A$62:$A$72,Lister!$M$9,G62:G72))</f>
        <v>0</v>
      </c>
      <c r="H75" s="22">
        <f>SUM(H62:H74)-SUMIF($A$62:$A$72,Lister!$M$9,H62:H72)-ABS(SUMIF($A$62:$A$72,Lister!$M$9,H62:H72))</f>
        <v>0</v>
      </c>
      <c r="I75" s="51">
        <f>SUM(I62:I74)-SUMIF($A$62:$A$72,Lister!$M$9,I62:I72)-ABS(SUMIF($A$62:$A$72,Lister!$M$9,I62:I72))</f>
        <v>0</v>
      </c>
      <c r="J75" s="51">
        <f>SUM(J62:J74)-SUMIF($A$62:$A$72,Lister!$M$9,J62:J72)-ABS(SUMIF($A$62:$A$72,Lister!$M$9,J62:J72))</f>
        <v>0</v>
      </c>
      <c r="K75" s="51">
        <f>SUM(K62:K74)-SUMIF($A$62:$A$72,Lister!$M$9,K62:K72)-ABS(SUMIF($A$62:$A$72,Lister!$M$9,K62:K72))</f>
        <v>0</v>
      </c>
      <c r="L75" s="51">
        <f>SUM(L62:L74)-SUMIF($A$62:$A$72,Lister!$M$9,L62:L72)-ABS(SUMIF($A$62:$A$72,Lister!$M$9,L62:L72))</f>
        <v>0</v>
      </c>
      <c r="M75" s="13">
        <f t="shared" si="83"/>
        <v>0</v>
      </c>
      <c r="N75" s="13"/>
      <c r="O75" s="16"/>
      <c r="P75" s="16"/>
      <c r="Q75" s="130" t="s">
        <v>587</v>
      </c>
      <c r="R75" s="131"/>
      <c r="S75" s="230"/>
      <c r="T75" s="136"/>
      <c r="U75" s="136"/>
      <c r="V75" s="136"/>
      <c r="W75" s="136"/>
      <c r="X75" s="305"/>
      <c r="Y75" s="136"/>
      <c r="Z75" s="136"/>
      <c r="AA75" s="136"/>
      <c r="AB75" s="136"/>
      <c r="AC75" s="131"/>
      <c r="AF75" s="78"/>
      <c r="AG75" s="78"/>
      <c r="AH75" s="78"/>
      <c r="AI75" s="78"/>
      <c r="AJ75" s="78"/>
      <c r="AK75" s="78"/>
      <c r="AL75" s="78"/>
      <c r="AM75" s="78"/>
      <c r="AN75" s="78"/>
      <c r="AO75" s="78"/>
      <c r="AP75" s="78"/>
      <c r="AQ75" s="78"/>
      <c r="AR75" s="70"/>
      <c r="AS75" s="70"/>
      <c r="AT75" s="70"/>
      <c r="AU75" s="70"/>
      <c r="AV75" s="70"/>
      <c r="AW75" s="70"/>
      <c r="AX75" s="70"/>
      <c r="AY75" s="70"/>
      <c r="AZ75" s="70"/>
    </row>
    <row r="76" spans="1:52" s="9" customFormat="1" ht="15" customHeight="1">
      <c r="A76" s="71"/>
      <c r="B76" s="76"/>
      <c r="C76" s="76"/>
      <c r="D76" s="76"/>
      <c r="E76" s="76"/>
      <c r="F76" s="76"/>
      <c r="G76" s="76"/>
      <c r="H76" s="76"/>
      <c r="I76" s="76"/>
      <c r="J76" s="76"/>
      <c r="K76" s="76"/>
      <c r="L76" s="76"/>
      <c r="M76" s="76"/>
      <c r="N76" s="76"/>
      <c r="O76" s="86"/>
      <c r="P76" s="86"/>
      <c r="Q76" s="132"/>
      <c r="R76" s="133"/>
      <c r="S76" s="16"/>
      <c r="T76" s="76"/>
      <c r="U76" s="76"/>
      <c r="V76" s="76"/>
      <c r="W76" s="76"/>
      <c r="X76" s="133"/>
      <c r="Y76" s="76"/>
      <c r="Z76" s="76"/>
      <c r="AA76" s="76"/>
      <c r="AB76" s="76"/>
      <c r="AC76" s="133"/>
      <c r="AF76" s="70"/>
      <c r="AG76" s="70"/>
      <c r="AH76" s="70"/>
      <c r="AI76" s="70"/>
      <c r="AJ76" s="70"/>
      <c r="AK76" s="70"/>
      <c r="AL76" s="70"/>
      <c r="AM76" s="70"/>
      <c r="AN76" s="70"/>
      <c r="AO76" s="70"/>
      <c r="AP76" s="70"/>
      <c r="AQ76" s="70"/>
      <c r="AR76" s="71"/>
      <c r="AS76" s="71"/>
      <c r="AT76" s="71"/>
      <c r="AU76" s="71"/>
      <c r="AV76" s="71"/>
      <c r="AW76" s="71"/>
      <c r="AX76" s="71"/>
      <c r="AY76" s="71"/>
      <c r="AZ76" s="71"/>
    </row>
    <row r="77" spans="1:52" ht="15" hidden="1" customHeight="1">
      <c r="A77" s="71" t="s">
        <v>196</v>
      </c>
      <c r="B77" s="70"/>
      <c r="C77" s="100">
        <f>SUMIFS(C43:C52,$O$43:$O$52,Lister!$D$30,$B$43:$B$52,Lister!$A$45)+SUMIFS(C43:C52,$O$43:$O$52,Lister!$D$29,$B$43:$B$52,Lister!$A$45)</f>
        <v>0</v>
      </c>
      <c r="D77" s="100">
        <f>SUMIFS(D43:D52,$O$43:$O$52,Lister!$D$30,$B$43:$B$52,Lister!$A$45)+SUMIFS(D43:D52,$O$43:$O$52,Lister!$D$29,$B$43:$B$52,Lister!$A$45)</f>
        <v>0</v>
      </c>
      <c r="E77" s="100">
        <f>SUMIFS(E43:E52,$O$43:$O$52,Lister!$D$30,$B$43:$B$52,Lister!$A$45)+SUMIFS(E43:E52,$O$43:$O$52,Lister!$D$29,$B$43:$B$52,Lister!$A$45)</f>
        <v>0</v>
      </c>
      <c r="F77" s="100">
        <f>SUMIFS(F43:F52,$O$43:$O$52,Lister!$D$30,$B$43:$B$52,Lister!$A$45)+SUMIFS(F43:F52,$O$43:$O$52,Lister!$D$29,$B$43:$B$52,Lister!$A$45)</f>
        <v>0</v>
      </c>
      <c r="G77" s="100">
        <f>SUMIFS(G43:G52,$O$43:$O$52,Lister!$D$30,$B$43:$B$52,Lister!$A$45)+SUMIFS(G43:G52,$O$43:$O$52,Lister!$D$29,$B$43:$B$52,Lister!$A$45)</f>
        <v>0</v>
      </c>
      <c r="H77" s="100">
        <f>SUMIFS(H43:H52,$O$43:$O$52,Lister!$D$30,$B$43:$B$52,Lister!$A$45)+SUMIFS(H43:H52,$O$43:$O$52,Lister!$D$29,$B$43:$B$52,Lister!$A$45)</f>
        <v>0</v>
      </c>
      <c r="I77" s="100">
        <f>SUMIFS(I43:I52,$O$43:$O$52,Lister!$D$30,$B$43:$B$52,Lister!$A$45)+SUMIFS(I43:I52,$O$43:$O$52,Lister!$D$29,$B$43:$B$52,Lister!$A$45)</f>
        <v>0</v>
      </c>
      <c r="J77" s="100">
        <f>SUMIFS(J43:J52,$O$43:$O$52,Lister!$D$30,$B$43:$B$52,Lister!$A$45)+SUMIFS(J43:J52,$O$43:$O$52,Lister!$D$29,$B$43:$B$52,Lister!$A$45)</f>
        <v>0</v>
      </c>
      <c r="K77" s="100">
        <f>SUMIFS(K43:K52,$O$43:$O$52,Lister!$D$30,$B$43:$B$52,Lister!$A$45)+SUMIFS(K43:K52,$O$43:$O$52,Lister!$D$29,$B$43:$B$52,Lister!$A$45)</f>
        <v>0</v>
      </c>
      <c r="L77" s="100">
        <f>SUMIFS(L43:L52,$O$43:$O$52,Lister!$D$30,$B$43:$B$52,Lister!$A$45)+SUMIFS(L43:L52,$O$43:$O$52,Lister!$D$29,$B$43:$B$52,Lister!$A$45)</f>
        <v>0</v>
      </c>
      <c r="M77" s="70"/>
      <c r="N77" s="70"/>
      <c r="O77" s="85"/>
      <c r="P77" s="85"/>
      <c r="Q77" s="132"/>
      <c r="R77" s="133"/>
      <c r="S77" s="16"/>
      <c r="T77" s="76"/>
      <c r="U77" s="76"/>
      <c r="V77" s="76"/>
      <c r="W77" s="76"/>
      <c r="X77" s="133"/>
      <c r="Y77" s="76"/>
      <c r="Z77" s="76"/>
      <c r="AA77" s="76"/>
      <c r="AB77" s="76"/>
      <c r="AC77" s="133"/>
      <c r="AF77" s="70"/>
      <c r="AG77" s="70"/>
      <c r="AH77" s="70"/>
      <c r="AI77" s="70"/>
      <c r="AJ77" s="70"/>
      <c r="AK77" s="70"/>
      <c r="AL77" s="70"/>
      <c r="AM77" s="70"/>
      <c r="AN77" s="70"/>
      <c r="AO77" s="70"/>
      <c r="AP77" s="70"/>
      <c r="AQ77" s="70"/>
      <c r="AR77" s="70"/>
      <c r="AS77" s="70"/>
      <c r="AT77" s="70"/>
      <c r="AU77" s="70"/>
      <c r="AV77" s="70"/>
      <c r="AW77" s="70"/>
      <c r="AX77" s="70"/>
      <c r="AY77" s="70"/>
      <c r="AZ77" s="70"/>
    </row>
    <row r="78" spans="1:52" ht="14.25" hidden="1" customHeight="1">
      <c r="A78" s="71" t="s">
        <v>197</v>
      </c>
      <c r="B78" s="71"/>
      <c r="C78" s="100">
        <f>SUMIFS(C43:C52,$O$43:$O$52,Lister!$D$31,$B$43:$B$52,Lister!$A$45)</f>
        <v>0</v>
      </c>
      <c r="D78" s="100">
        <f>SUMIFS(D43:D52,$O$43:$O$52,Lister!$D$31,$B$43:$B$52,Lister!$A$45)</f>
        <v>0</v>
      </c>
      <c r="E78" s="100">
        <f>SUMIFS(E43:E52,$O$43:$O$52,Lister!$D$31,$B$43:$B$52,Lister!$A$45)</f>
        <v>0</v>
      </c>
      <c r="F78" s="100">
        <f>SUMIFS(F43:F52,$O$43:$O$52,Lister!$D$31,$B$43:$B$52,Lister!$A$45)</f>
        <v>0</v>
      </c>
      <c r="G78" s="100">
        <f>SUMIFS(G43:G52,$O$43:$O$52,Lister!$D$31,$B$43:$B$52,Lister!$A$45)</f>
        <v>0</v>
      </c>
      <c r="H78" s="100">
        <f>SUMIFS(H43:H52,$O$43:$O$52,Lister!$D$31,$B$43:$B$52,Lister!$A$45)</f>
        <v>0</v>
      </c>
      <c r="I78" s="100">
        <f>SUMIFS(I43:I52,$O$43:$O$52,Lister!$D$31,$B$43:$B$52,Lister!$A$45)</f>
        <v>0</v>
      </c>
      <c r="J78" s="100">
        <f>SUMIFS(J43:J52,$O$43:$O$52,Lister!$D$31,$B$43:$B$52,Lister!$A$45)</f>
        <v>0</v>
      </c>
      <c r="K78" s="100">
        <f>SUMIFS(K43:K52,$O$43:$O$52,Lister!$D$31,$B$43:$B$52,Lister!$A$45)</f>
        <v>0</v>
      </c>
      <c r="L78" s="100">
        <f>SUMIFS(L43:L52,$O$43:$O$52,Lister!$D$31,$B$43:$B$52,Lister!$A$45)</f>
        <v>0</v>
      </c>
      <c r="M78" s="71"/>
      <c r="N78" s="71"/>
      <c r="O78" s="87"/>
      <c r="P78" s="87"/>
      <c r="Q78" s="132"/>
      <c r="R78" s="133"/>
      <c r="S78" s="16"/>
      <c r="T78" s="76"/>
      <c r="U78" s="76"/>
      <c r="V78" s="76"/>
      <c r="W78" s="76"/>
      <c r="X78" s="133"/>
      <c r="Y78" s="76"/>
      <c r="Z78" s="76"/>
      <c r="AA78" s="76"/>
      <c r="AB78" s="76"/>
      <c r="AC78" s="133"/>
      <c r="AF78" s="71"/>
      <c r="AG78" s="71"/>
      <c r="AH78" s="71"/>
      <c r="AI78" s="71"/>
      <c r="AJ78" s="71"/>
      <c r="AK78" s="71"/>
      <c r="AL78" s="71"/>
      <c r="AM78" s="71"/>
      <c r="AN78" s="71"/>
      <c r="AO78" s="71"/>
      <c r="AP78" s="71"/>
      <c r="AQ78" s="71"/>
      <c r="AR78" s="70"/>
      <c r="AS78" s="70"/>
    </row>
    <row r="79" spans="1:52" s="9" customFormat="1" ht="14.25" customHeight="1">
      <c r="A79" s="70"/>
      <c r="B79" s="73"/>
      <c r="C79" s="70"/>
      <c r="D79" s="70"/>
      <c r="E79" s="70"/>
      <c r="F79" s="70"/>
      <c r="G79" s="70"/>
      <c r="H79" s="73"/>
      <c r="I79" s="73"/>
      <c r="J79" s="73"/>
      <c r="K79" s="73"/>
      <c r="L79" s="73"/>
      <c r="M79" s="73"/>
      <c r="N79" s="73"/>
      <c r="O79" s="88"/>
      <c r="P79" s="88"/>
      <c r="Q79" s="152" t="s">
        <v>22</v>
      </c>
      <c r="R79" s="124" t="s">
        <v>34</v>
      </c>
      <c r="S79" s="45">
        <f>+S63</f>
        <v>2026</v>
      </c>
      <c r="T79" s="8">
        <f t="shared" ref="T79:Z79" si="95">+T63</f>
        <v>2027</v>
      </c>
      <c r="U79" s="8">
        <f t="shared" si="95"/>
        <v>2028</v>
      </c>
      <c r="V79" s="8">
        <f t="shared" si="95"/>
        <v>2029</v>
      </c>
      <c r="W79" s="8">
        <f t="shared" si="95"/>
        <v>2030</v>
      </c>
      <c r="X79" s="124">
        <f t="shared" si="95"/>
        <v>2031</v>
      </c>
      <c r="Y79" s="8">
        <f t="shared" si="95"/>
        <v>2032</v>
      </c>
      <c r="Z79" s="8">
        <f t="shared" si="95"/>
        <v>2033</v>
      </c>
      <c r="AA79" s="8">
        <f>+AA63</f>
        <v>2034</v>
      </c>
      <c r="AB79" s="8">
        <f>+AB63</f>
        <v>2035</v>
      </c>
      <c r="AC79" s="124" t="s">
        <v>34</v>
      </c>
      <c r="AF79" s="71"/>
      <c r="AG79" s="71"/>
      <c r="AH79" s="71"/>
      <c r="AI79" s="71"/>
      <c r="AJ79" s="71"/>
      <c r="AK79" s="71"/>
      <c r="AL79" s="71"/>
      <c r="AM79" s="71"/>
      <c r="AN79" s="71"/>
      <c r="AO79" s="71"/>
      <c r="AP79" s="71"/>
      <c r="AQ79" s="71"/>
      <c r="AR79" s="71"/>
      <c r="AS79" s="71"/>
    </row>
    <row r="80" spans="1:52" s="9" customFormat="1" ht="14.25" customHeight="1">
      <c r="A80" s="70"/>
      <c r="B80" s="78"/>
      <c r="C80" s="78"/>
      <c r="D80" s="78"/>
      <c r="E80" s="78"/>
      <c r="F80" s="78"/>
      <c r="G80" s="78"/>
      <c r="H80" s="78"/>
      <c r="I80" s="78"/>
      <c r="J80" s="78"/>
      <c r="K80" s="78"/>
      <c r="L80" s="78"/>
      <c r="M80" s="78"/>
      <c r="N80" s="78"/>
      <c r="O80" s="89"/>
      <c r="P80" s="89"/>
      <c r="Q80" s="147" t="s">
        <v>74</v>
      </c>
      <c r="R80" s="315">
        <f t="shared" ref="R80:R89" si="96">+AC80</f>
        <v>0</v>
      </c>
      <c r="S80" s="316">
        <f>+SUMIF($O$20:$O$39,Lister!$D$29,S20:S39)+SUMIF($O$20:$O$39,Lister!$D$30,S20:S39)</f>
        <v>0</v>
      </c>
      <c r="T80" s="316">
        <f>+SUMIF($O$20:$O$39,Lister!$D$29,T20:T39)+SUMIF($O$20:$O$39,Lister!$D$30,T20:T39)</f>
        <v>0</v>
      </c>
      <c r="U80" s="316">
        <f>+SUMIF($O$20:$O$39,Lister!$D$29,U20:U39)+SUMIF($O$20:$O$39,Lister!$D$30,U20:U39)</f>
        <v>0</v>
      </c>
      <c r="V80" s="316">
        <f>+SUMIF($O$20:$O$39,Lister!$D$29,V20:V39)+SUMIF($O$20:$O$39,Lister!$D$30,V20:V39)</f>
        <v>0</v>
      </c>
      <c r="W80" s="316">
        <f>+SUMIF($O$20:$O$39,Lister!$D$29,W20:W39)+SUMIF($O$20:$O$39,Lister!$D$30,W20:W39)</f>
        <v>0</v>
      </c>
      <c r="X80" s="316">
        <f>+SUMIF($O$20:$O$39,Lister!$D$29,X20:X39)+SUMIF($O$20:$O$39,Lister!$D$30,X20:X39)</f>
        <v>0</v>
      </c>
      <c r="Y80" s="316">
        <f>+SUMIF($O$20:$O$39,Lister!$D$29,Y20:Y39)+SUMIF($O$20:$O$39,Lister!$D$30,Y20:Y39)</f>
        <v>0</v>
      </c>
      <c r="Z80" s="316">
        <f>+SUMIF($O$20:$O$39,Lister!$D$29,Z20:Z39)+SUMIF($O$20:$O$39,Lister!$D$30,Z20:Z39)</f>
        <v>0</v>
      </c>
      <c r="AA80" s="316">
        <f>+SUMIF($O$20:$O$39,Lister!$D$29,AA20:AA39)+SUMIF($O$20:$O$39,Lister!$D$30,AA20:AA39)</f>
        <v>0</v>
      </c>
      <c r="AB80" s="316">
        <f>+SUMIF($O$20:$O$39,Lister!$D$29,AB20:AB39)+SUMIF($O$20:$O$39,Lister!$D$30,AB20:AB39)</f>
        <v>0</v>
      </c>
      <c r="AC80" s="140">
        <f>SUM(S80:AB80)</f>
        <v>0</v>
      </c>
      <c r="AF80" s="71"/>
      <c r="AG80" s="71"/>
      <c r="AH80" s="71"/>
      <c r="AI80" s="71"/>
      <c r="AJ80" s="71"/>
      <c r="AK80" s="71"/>
      <c r="AL80" s="71"/>
      <c r="AM80" s="71"/>
      <c r="AN80" s="71"/>
      <c r="AO80" s="71"/>
      <c r="AP80" s="71"/>
      <c r="AQ80" s="71"/>
      <c r="AR80" s="71"/>
      <c r="AS80" s="71"/>
    </row>
    <row r="81" spans="1:62" ht="14.25" customHeight="1">
      <c r="N81" s="78"/>
      <c r="O81" s="89"/>
      <c r="P81" s="89"/>
      <c r="Q81" s="148" t="s">
        <v>75</v>
      </c>
      <c r="R81" s="309">
        <f t="shared" si="96"/>
        <v>0</v>
      </c>
      <c r="S81" s="310">
        <f>+SUMIF($O$43:$O$55,Lister!$D$29,S43:S55)+SUMIF($O$43:$O$55,Lister!$D$30,S43:S55)</f>
        <v>0</v>
      </c>
      <c r="T81" s="319">
        <f>+SUMIF($O$43:$O$55,Lister!$D$29,T43:T55)+SUMIF($O$43:$O$55,Lister!$D$30,T43:T55)</f>
        <v>0</v>
      </c>
      <c r="U81" s="310">
        <f>+SUMIF($O$43:$O$55,Lister!$D$29,U43:U55)+SUMIF($O$43:$O$55,Lister!$D$30,U43:U55)</f>
        <v>0</v>
      </c>
      <c r="V81" s="319">
        <f>+SUMIF($O$43:$O$55,Lister!$D$29,V43:V55)+SUMIF($O$43:$O$55,Lister!$D$30,V43:V55)</f>
        <v>0</v>
      </c>
      <c r="W81" s="310">
        <f>+SUMIF($O$43:$O$55,Lister!$D$29,W43:W55)+SUMIF($O$43:$O$55,Lister!$D$30,W43:W55)</f>
        <v>0</v>
      </c>
      <c r="X81" s="320">
        <f>+SUMIF($O$43:$O$55,Lister!$D$29,X43:X55)+SUMIF($O$43:$O$55,Lister!$D$30,X43:X55)</f>
        <v>0</v>
      </c>
      <c r="Y81" s="295">
        <f>+SUMIF($O$43:$O$55,Lister!$D$29,Y43:Y55)+SUMIF($O$43:$O$55,Lister!$D$30,Y43:Y55)</f>
        <v>0</v>
      </c>
      <c r="Z81" s="113">
        <f>+SUMIF($O$43:$O$55,Lister!$D$29,Z43:Z55)+SUMIF($O$43:$O$55,Lister!$D$30,Z43:Z55)</f>
        <v>0</v>
      </c>
      <c r="AA81" s="113">
        <f>+SUMIF($O$43:$O$55,Lister!$D$29,AA43:AA55)+SUMIF($O$43:$O$55,Lister!$D$30,AA43:AA55)</f>
        <v>0</v>
      </c>
      <c r="AB81" s="113">
        <f>+SUMIF($O$43:$O$55,Lister!$D$29,AB43:AB55)+SUMIF($O$43:$O$55,Lister!$D$30,AB43:AB55)</f>
        <v>0</v>
      </c>
      <c r="AC81" s="141">
        <f t="shared" ref="AC81:AC89" si="97">SUM(S81:AB81)</f>
        <v>0</v>
      </c>
      <c r="AF81" s="71"/>
      <c r="AG81" s="71"/>
      <c r="AH81" s="71"/>
      <c r="AI81" s="71"/>
      <c r="AJ81" s="71"/>
      <c r="AK81" s="71"/>
      <c r="AL81" s="71"/>
      <c r="AM81" s="71"/>
      <c r="AN81" s="71"/>
      <c r="AO81" s="71"/>
      <c r="AP81" s="71"/>
      <c r="AQ81" s="71"/>
      <c r="AR81" s="70"/>
      <c r="AS81" s="70"/>
    </row>
    <row r="82" spans="1:62" s="14" customFormat="1" ht="14.25" customHeight="1">
      <c r="N82" s="70"/>
      <c r="O82" s="85"/>
      <c r="P82" s="85"/>
      <c r="Q82" s="149" t="s">
        <v>76</v>
      </c>
      <c r="R82" s="312">
        <f t="shared" si="96"/>
        <v>0</v>
      </c>
      <c r="S82" s="313">
        <f t="shared" ref="S82:AB82" si="98">+SUM(S80:S81)</f>
        <v>0</v>
      </c>
      <c r="T82" s="313">
        <f t="shared" si="98"/>
        <v>0</v>
      </c>
      <c r="U82" s="313">
        <f t="shared" si="98"/>
        <v>0</v>
      </c>
      <c r="V82" s="313">
        <f t="shared" si="98"/>
        <v>0</v>
      </c>
      <c r="W82" s="313">
        <f t="shared" si="98"/>
        <v>0</v>
      </c>
      <c r="X82" s="314">
        <f t="shared" si="98"/>
        <v>0</v>
      </c>
      <c r="Y82" s="142">
        <f t="shared" si="98"/>
        <v>0</v>
      </c>
      <c r="Z82" s="137">
        <f t="shared" si="98"/>
        <v>0</v>
      </c>
      <c r="AA82" s="137">
        <f t="shared" si="98"/>
        <v>0</v>
      </c>
      <c r="AB82" s="137">
        <f t="shared" si="98"/>
        <v>0</v>
      </c>
      <c r="AC82" s="138">
        <f t="shared" si="97"/>
        <v>0</v>
      </c>
      <c r="AF82" s="71"/>
      <c r="AG82" s="71"/>
      <c r="AH82" s="71"/>
      <c r="AI82" s="71"/>
      <c r="AJ82" s="71"/>
      <c r="AK82" s="71"/>
      <c r="AL82" s="71"/>
      <c r="AM82" s="71"/>
      <c r="AN82" s="71"/>
      <c r="AO82" s="71"/>
      <c r="AP82" s="71"/>
      <c r="AQ82" s="71"/>
      <c r="AR82" s="79"/>
      <c r="AS82" s="79"/>
    </row>
    <row r="83" spans="1:62" ht="14.25" customHeight="1">
      <c r="N83" s="70"/>
      <c r="O83" s="85"/>
      <c r="P83" s="85"/>
      <c r="Q83" s="149" t="s">
        <v>77</v>
      </c>
      <c r="R83" s="312">
        <f t="shared" si="96"/>
        <v>0</v>
      </c>
      <c r="S83" s="313">
        <f>+SUMIF($O$62:$O$74,Lister!$D$29,C62:C74)+SUMIF($O$62:$O$74,Lister!$D$30,C62:C74)-SUMIFS(C62:C74,$O$62:$O$74,Lister!$D$29,$A$62:$A$74,Lister!$M$9)-SUMIFS(C62:C74,$O$62:$O$74,Lister!$D$30,$A$62:$A$74,Lister!$M$9)</f>
        <v>0</v>
      </c>
      <c r="T83" s="313">
        <f>+SUMIF($O$62:$O$74,Lister!$D$29,D62:D74)+SUMIF($O$62:$O$74,Lister!$D$30,D62:D74)-SUMIFS(D62:D74,$O$62:$O$74,Lister!$D$29,$A$62:$A$74,Lister!$M$9)-SUMIFS(D62:D74,$O$62:$O$74,Lister!$D$30,$A$62:$A$74,Lister!$M$9)</f>
        <v>0</v>
      </c>
      <c r="U83" s="313">
        <f>+SUMIF($O$62:$O$74,Lister!$D$29,E62:E74)+SUMIF($O$62:$O$74,Lister!$D$30,E62:E74)-SUMIFS(E62:E74,$O$62:$O$74,Lister!$D$29,$A$62:$A$74,Lister!$M$9)-SUMIFS(E62:E74,$O$62:$O$74,Lister!$D$30,$A$62:$A$74,Lister!$M$9)</f>
        <v>0</v>
      </c>
      <c r="V83" s="313">
        <f>+SUMIF($O$62:$O$74,Lister!$D$29,F62:F74)+SUMIF($O$62:$O$74,Lister!$D$30,F62:F74)-SUMIFS(F62:F74,$O$62:$O$74,Lister!$D$29,$A$62:$A$74,Lister!$M$9)-SUMIFS(F62:F74,$O$62:$O$74,Lister!$D$30,$A$62:$A$74,Lister!$M$9)</f>
        <v>0</v>
      </c>
      <c r="W83" s="313">
        <f>+SUMIF($O$62:$O$74,Lister!$D$29,G62:G74)+SUMIF($O$62:$O$74,Lister!$D$30,G62:G74)-SUMIFS(G62:G74,$O$62:$O$74,Lister!$D$29,$A$62:$A$74,Lister!$M$9)-SUMIFS(G62:G74,$O$62:$O$74,Lister!$D$30,$A$62:$A$74,Lister!$M$9)</f>
        <v>0</v>
      </c>
      <c r="X83" s="314">
        <f>+SUMIF($O$62:$O$74,Lister!$D$29,H62:H74)+SUMIF($O$62:$O$74,Lister!$D$30,H62:H74)-SUMIFS(H62:H74,$O$62:$O$74,Lister!$D$29,$A$62:$A$74,Lister!$M$9)-SUMIFS(H62:H74,$O$62:$O$74,Lister!$D$30,$A$62:$A$74,Lister!$M$9)</f>
        <v>0</v>
      </c>
      <c r="Y83" s="296">
        <f>+SUMIF($O$62:$O$74,Lister!$D$29,I62:I74)+SUMIF($O$62:$O$74,Lister!$D$30,I62:I74)-SUMIFS(I62:I74,$O$62:$O$74,Lister!$D$29,$A$62:$A$74,Lister!$M$9)-SUMIFS(I62:I74,$O$62:$O$74,Lister!$D$30,$A$62:$A$74,Lister!$M$9)</f>
        <v>0</v>
      </c>
      <c r="Z83" s="137">
        <f>+SUMIF($O$62:$O$74,Lister!$D$29,J62:J74)+SUMIF($O$62:$O$74,Lister!$D$30,J62:J74)-SUMIFS(J62:J74,$O$62:$O$74,Lister!$D$29,$A$62:$A$74,Lister!$M$9)-SUMIFS(J62:J74,$O$62:$O$74,Lister!$D$30,$A$62:$A$74,Lister!$M$9)</f>
        <v>0</v>
      </c>
      <c r="AA83" s="137">
        <f>+SUMIF($O$62:$O$74,Lister!$D$29,K62:K74)+SUMIF($O$62:$O$74,Lister!$D$30,K62:K74)-SUMIFS(K62:K74,$O$62:$O$74,Lister!$D$29,$A$62:$A$74,Lister!$M$9)-SUMIFS(K62:K74,$O$62:$O$74,Lister!$D$30,$A$62:$A$74,Lister!$M$9)</f>
        <v>0</v>
      </c>
      <c r="AB83" s="137">
        <f>+SUMIF($O$62:$O$74,Lister!$D$29,L62:L74)+SUMIF($O$62:$O$74,Lister!$D$30,L62:L74)-SUMIFS(L62:L74,$O$62:$O$74,Lister!$D$29,$A$62:$A$74,Lister!$M$9)-SUMIFS(L62:L74,$O$62:$O$74,Lister!$D$30,$A$62:$A$74,Lister!$M$9)</f>
        <v>0</v>
      </c>
      <c r="AC83" s="138">
        <f t="shared" si="97"/>
        <v>0</v>
      </c>
      <c r="AF83" s="70"/>
      <c r="AG83" s="70"/>
      <c r="AH83" s="70"/>
      <c r="AI83" s="70"/>
      <c r="AJ83" s="70"/>
      <c r="AK83" s="70"/>
      <c r="AL83" s="70"/>
      <c r="AM83" s="70"/>
      <c r="AN83" s="70"/>
      <c r="AO83" s="70"/>
      <c r="AP83" s="70"/>
      <c r="AQ83" s="70"/>
      <c r="AR83" s="70"/>
      <c r="AS83" s="70"/>
    </row>
    <row r="84" spans="1:62" s="9" customFormat="1" ht="14.25" customHeight="1">
      <c r="N84" s="79"/>
      <c r="O84" s="90"/>
      <c r="P84" s="90"/>
      <c r="Q84" s="149" t="s">
        <v>78</v>
      </c>
      <c r="R84" s="312">
        <f t="shared" si="96"/>
        <v>0</v>
      </c>
      <c r="S84" s="313">
        <f t="shared" ref="S84:AB84" si="99">+S82+S83</f>
        <v>0</v>
      </c>
      <c r="T84" s="313">
        <f t="shared" si="99"/>
        <v>0</v>
      </c>
      <c r="U84" s="313">
        <f t="shared" si="99"/>
        <v>0</v>
      </c>
      <c r="V84" s="313">
        <f t="shared" si="99"/>
        <v>0</v>
      </c>
      <c r="W84" s="313">
        <f t="shared" si="99"/>
        <v>0</v>
      </c>
      <c r="X84" s="314">
        <f t="shared" si="99"/>
        <v>0</v>
      </c>
      <c r="Y84" s="296">
        <f t="shared" si="99"/>
        <v>0</v>
      </c>
      <c r="Z84" s="137">
        <f t="shared" si="99"/>
        <v>0</v>
      </c>
      <c r="AA84" s="137">
        <f t="shared" si="99"/>
        <v>0</v>
      </c>
      <c r="AB84" s="137">
        <f t="shared" si="99"/>
        <v>0</v>
      </c>
      <c r="AC84" s="138">
        <f t="shared" si="97"/>
        <v>0</v>
      </c>
      <c r="AF84" s="79"/>
      <c r="AG84" s="79"/>
      <c r="AH84" s="79"/>
      <c r="AI84" s="79"/>
      <c r="AJ84" s="79"/>
      <c r="AK84" s="79"/>
      <c r="AL84" s="79"/>
      <c r="AM84" s="79"/>
      <c r="AN84" s="79"/>
      <c r="AO84" s="79"/>
      <c r="AP84" s="79"/>
      <c r="AQ84" s="79"/>
      <c r="AR84" s="71"/>
      <c r="AS84" s="71"/>
    </row>
    <row r="85" spans="1:62" ht="14.25" customHeight="1">
      <c r="N85" s="70"/>
      <c r="O85" s="85"/>
      <c r="P85" s="85"/>
      <c r="Q85" s="150" t="s">
        <v>0</v>
      </c>
      <c r="R85" s="312">
        <f t="shared" si="96"/>
        <v>0</v>
      </c>
      <c r="S85" s="153">
        <f>IF($C$12=2,S82*$C$6/100,
IF($G$6=Lister!$D$4,S82*$C$6/100,
IF($G$6=Lister!$D$5,S84*$C$6/100,
IF($G$6=Lister!$D$6,(S84-SUMIFS(C62:C74,$O$62:$O$74,Lister!$D$29,$A$62:$A$74,Lister!$M$10)-SUMIFS(C62:C74,$O$62:$O$74,Lister!$D$30,$A$62:$A$74,Lister!$M$10))*$C$6/100,
IF($G$6=Lister!$D$7,(S84-SUMIFS(C62:C74,$O$62:$O$74,Lister!$D$29,$A$62:$A$74,Lister!$M$10)-SUMIFS(C62:C74,$O$62:$O$74,Lister!$D$30,$A$62:$A$74,Lister!$M$10)-SUMIFS(C62:C74,$O$62:$O$74,Lister!$D$29,$A$62:$A$74,Lister!$M$7)-SUMIFS(C62:C74,$O$62:$O$74,Lister!$D$30,$A$62:$A$74,Lister!$M$7))*$C$6/100,
IF($G$6=Lister!$D$8,(S84+S86)*$C$6/100,
IF($G$6=Lister!$D$9,S83*$C$6/100,0)))))))</f>
        <v>0</v>
      </c>
      <c r="T85" s="323">
        <f>IF($C$12=2,T82*$C$6/100,
IF($G$6=Lister!$D$4,T82*$C$6/100,
IF($G$6=Lister!$D$5,T84*$C$6/100,
IF($G$6=Lister!$D$6,(T84-SUMIFS(D62:D74,$O$62:$O$74,Lister!$D$29,$A$62:$A$74,Lister!$M$10)-SUMIFS(D62:D74,$O$62:$O$74,Lister!$D$30,$A$62:$A$74,Lister!$M$10))*$C$6/100,
IF($G$6=Lister!$D$7,(T84-SUMIFS(D62:D74,$O$62:$O$74,Lister!$D$29,$A$62:$A$74,Lister!$M$10)-SUMIFS(D62:D74,$O$62:$O$74,Lister!$D$30,$A$62:$A$74,Lister!$M$10)-SUMIFS(D62:D74,$O$62:$O$74,Lister!$D$29,$A$62:$A$74,Lister!$M$7)-SUMIFS(D62:D74,$O$62:$O$74,Lister!$D$30,$A$62:$A$74,Lister!$M$7))*$C$6/100,
IF($G$6=Lister!$D$8,(T84+T86)*$C$6/100,
IF($G$6=Lister!$D$9,T83*$C$6/100,0)))))))</f>
        <v>0</v>
      </c>
      <c r="U85" s="323">
        <f>IF($C$12=2,U82*$C$6/100,
IF($G$6=Lister!$D$4,U82*$C$6/100,
IF($G$6=Lister!$D$5,U84*$C$6/100,
IF($G$6=Lister!$D$6,(U84-SUMIFS(E62:E74,$O$62:$O$74,Lister!$D$29,$A$62:$A$74,Lister!$M$10)-SUMIFS(E62:E74,$O$62:$O$74,Lister!$D$30,$A$62:$A$74,Lister!$M$10))*$C$6/100,
IF($G$6=Lister!$D$7,(U84-SUMIFS(E62:E74,$O$62:$O$74,Lister!$D$29,$A$62:$A$74,Lister!$M$10)-SUMIFS(E62:E74,$O$62:$O$74,Lister!$D$30,$A$62:$A$74,Lister!$M$10)-SUMIFS(E62:E74,$O$62:$O$74,Lister!$D$29,$A$62:$A$74,Lister!$M$7)-SUMIFS(E62:E74,$O$62:$O$74,Lister!$D$30,$A$62:$A$74,Lister!$M$7))*$C$6/100,
IF($G$6=Lister!$D$8,(U84+U86)*$C$6/100,
IF($G$6=Lister!$D$9,U83*$C$6/100,0)))))))</f>
        <v>0</v>
      </c>
      <c r="V85" s="323">
        <f>IF($C$12=2,V82*$C$6/100,
IF($G$6=Lister!$D$4,V82*$C$6/100,
IF($G$6=Lister!$D$5,V84*$C$6/100,
IF($G$6=Lister!$D$6,(V84-SUMIFS(F62:F74,$O$62:$O$74,Lister!$D$29,$A$62:$A$74,Lister!$M$10)-SUMIFS(F62:F74,$O$62:$O$74,Lister!$D$30,$A$62:$A$74,Lister!$M$10))*$C$6/100,
IF($G$6=Lister!$D$7,(V84-SUMIFS(F62:F74,$O$62:$O$74,Lister!$D$29,$A$62:$A$74,Lister!$M$10)-SUMIFS(F62:F74,$O$62:$O$74,Lister!$D$30,$A$62:$A$74,Lister!$M$10)-SUMIFS(F62:F74,$O$62:$O$74,Lister!$D$29,$A$62:$A$74,Lister!$M$7)-SUMIFS(F62:F74,$O$62:$O$74,Lister!$D$30,$A$62:$A$74,Lister!$M$7))*$C$6/100,
IF($G$6=Lister!$D$8,(V84+V86)*$C$6/100,
IF($G$6=Lister!$D$9,V83*$C$6/100,0)))))))</f>
        <v>0</v>
      </c>
      <c r="W85" s="323">
        <f>IF($C$12=2,W82*$C$6/100,
IF($G$6=Lister!$D$4,W82*$C$6/100,
IF($G$6=Lister!$D$5,W84*$C$6/100,
IF($G$6=Lister!$D$6,(W84-SUMIFS(G62:G74,$O$62:$O$74,Lister!$D$29,$A$62:$A$74,Lister!$M$10)-SUMIFS(G62:G74,$O$62:$O$74,Lister!$D$30,$A$62:$A$74,Lister!$M$10))*$C$6/100,
IF($G$6=Lister!$D$7,(W84-SUMIFS(G62:G74,$O$62:$O$74,Lister!$D$29,$A$62:$A$74,Lister!$M$10)-SUMIFS(G62:G74,$O$62:$O$74,Lister!$D$30,$A$62:$A$74,Lister!$M$10)-SUMIFS(G62:G74,$O$62:$O$74,Lister!$D$29,$A$62:$A$74,Lister!$M$7)-SUMIFS(G62:G74,$O$62:$O$74,Lister!$D$30,$A$62:$A$74,Lister!$M$7))*$C$6/100,
IF($G$6=Lister!$D$8,(W84+W86)*$C$6/100,
IF($G$6=Lister!$D$9,W83*$C$6/100,0)))))))</f>
        <v>0</v>
      </c>
      <c r="X85" s="324">
        <f>IF($C$12=2,X82*$C$6/100,
IF($G$6=Lister!$D$4,X82*$C$6/100,
IF($G$6=Lister!$D$5,X84*$C$6/100,
IF($G$6=Lister!$D$6,(X84-SUMIFS(H62:H74,$O$62:$O$74,Lister!$D$29,$A$62:$A$74,Lister!$M$10)-SUMIFS(H62:H74,$O$62:$O$74,Lister!$D$30,$A$62:$A$74,Lister!$M$10))*$C$6/100,
IF($G$6=Lister!$D$7,(X84-SUMIFS(H62:H74,$O$62:$O$74,Lister!$D$29,$A$62:$A$74,Lister!$M$10)-SUMIFS(H62:H74,$O$62:$O$74,Lister!$D$30,$A$62:$A$74,Lister!$M$10)-SUMIFS(H62:H74,$O$62:$O$74,Lister!$D$29,$A$62:$A$74,Lister!$M$7)-SUMIFS(H62:H74,$O$62:$O$74,Lister!$D$30,$A$62:$A$74,Lister!$M$7))*$C$6/100,
IF($G$6=Lister!$D$8,(X84+X86)*$C$6/100,
IF($G$6=Lister!$D$9,X83*$C$6/100,0)))))))</f>
        <v>0</v>
      </c>
      <c r="Y85" s="205">
        <f>IF($C$12=2,Y82*$C$6/100,
IF($G$6=Lister!$D$4,Y82*$C$6/100,
IF($G$6=Lister!$D$5,Y84*$C$6/100,
IF($G$6=Lister!$D$6,(Y84-SUMIFS(I62:I74,$O$62:$O$74,Lister!$D$29,$A$62:$A$74,Lister!$M$10)-SUMIFS(I62:I74,$O$62:$O$74,Lister!$D$30,$A$62:$A$74,Lister!$M$10))*$C$6/100,
IF($G$6=Lister!$D$7,(Y84-SUMIFS(I62:I74,$O$62:$O$74,Lister!$D$29,$A$62:$A$74,Lister!$M$10)-SUMIFS(I62:I74,$O$62:$O$74,Lister!$D$30,$A$62:$A$74,Lister!$M$10)-SUMIFS(I62:I74,$O$62:$O$74,Lister!$D$29,$A$62:$A$74,Lister!$M$7)-SUMIFS(I62:I74,$O$62:$O$74,Lister!$D$30,$A$62:$A$74,Lister!$M$7))*$C$6/100,
IF($G$6=Lister!$D$8,(Y84+Y86)*$C$6/100,
IF($G$6=Lister!$D$9,Y83*$C$6/100,0)))))))</f>
        <v>0</v>
      </c>
      <c r="Z85" s="204">
        <f>IF($C$12=2,Z82*$C$6/100,
IF($G$6=Lister!$D$4,Z82*$C$6/100,
IF($G$6=Lister!$D$5,Z84*$C$6/100,
IF($G$6=Lister!$D$6,(Z84-SUMIFS(J62:J74,$O$62:$O$74,Lister!$D$29,$A$62:$A$74,Lister!$M$10)-SUMIFS(J62:J74,$O$62:$O$74,Lister!$D$30,$A$62:$A$74,Lister!$M$10))*$C$6/100,
IF($G$6=Lister!$D$7,(Z84-SUMIFS(J62:J74,$O$62:$O$74,Lister!$D$29,$A$62:$A$74,Lister!$M$10)-SUMIFS(J62:J74,$O$62:$O$74,Lister!$D$30,$A$62:$A$74,Lister!$M$10)-SUMIFS(J62:J74,$O$62:$O$74,Lister!$D$29,$A$62:$A$74,Lister!$M$7)-SUMIFS(J62:J74,$O$62:$O$74,Lister!$D$30,$A$62:$A$74,Lister!$M$7))*$C$6/100,
IF($G$6=Lister!$D$8,(Z84+Z86)*$C$6/100,
IF($G$6=Lister!$D$9,Z83*$C$6/100,0)))))))</f>
        <v>0</v>
      </c>
      <c r="AA85" s="204">
        <f>IF($C$12=2,AA82*$C$6/100,
IF($G$6=Lister!$D$4,AA82*$C$6/100,
IF($G$6=Lister!$D$5,AA84*$C$6/100,
IF($G$6=Lister!$D$6,(AA84-SUMIFS(K62:K74,$O$62:$O$74,Lister!$D$29,$A$62:$A$74,Lister!$M$10)-SUMIFS(K62:K74,$O$62:$O$74,Lister!$D$30,$A$62:$A$74,Lister!$M$10))*$C$6/100,
IF($G$6=Lister!$D$7,(AA84-SUMIFS(K62:K74,$O$62:$O$74,Lister!$D$29,$A$62:$A$74,Lister!$M$10)-SUMIFS(K62:K74,$O$62:$O$74,Lister!$D$30,$A$62:$A$74,Lister!$M$10)-SUMIFS(K62:K74,$O$62:$O$74,Lister!$D$29,$A$62:$A$74,Lister!$M$7)-SUMIFS(K62:K74,$O$62:$O$74,Lister!$D$30,$A$62:$A$74,Lister!$M$7))*$C$6/100,
IF($G$6=Lister!$D$8,(AA84+AA86)*$C$6/100,
IF($G$6=Lister!$D$9,AA83*$C$6/100,0)))))))</f>
        <v>0</v>
      </c>
      <c r="AB85" s="204">
        <f>IF($C$12=2,AB82*$C$6/100,
IF($G$6=Lister!$D$4,AB82*$C$6/100,
IF($G$6=Lister!$D$5,AB84*$C$6/100,
IF($G$6=Lister!$D$6,(AB84-SUMIFS(L62:L74,$O$62:$O$74,Lister!$D$29,$A$62:$A$74,Lister!$M$10)-SUMIFS(L62:L74,$O$62:$O$74,Lister!$D$30,$A$62:$A$74,Lister!$M$10))*$C$6/100,
IF($G$6=Lister!$D$7,(AB84-SUMIFS(L62:L74,$O$62:$O$74,Lister!$D$29,$A$62:$A$74,Lister!$M$10)-SUMIFS(L62:L74,$O$62:$O$74,Lister!$D$30,$A$62:$A$74,Lister!$M$10)-SUMIFS(L62:L74,$O$62:$O$74,Lister!$D$29,$A$62:$A$74,Lister!$M$7)-SUMIFS(L62:L74,$O$62:$O$74,Lister!$D$30,$A$62:$A$74,Lister!$M$7))*$C$6/100,
IF($G$6=Lister!$D$8,(AB84+AB86)*$C$6/100,
IF($G$6=Lister!$D$9,AB83*$C$6/100,0)))))))</f>
        <v>0</v>
      </c>
      <c r="AC85" s="138">
        <f t="shared" si="97"/>
        <v>0</v>
      </c>
      <c r="AF85" s="70"/>
      <c r="AG85" s="70"/>
      <c r="AH85" s="70"/>
      <c r="AI85" s="70"/>
      <c r="AJ85" s="70"/>
      <c r="AK85" s="70"/>
      <c r="AL85" s="70"/>
      <c r="AM85" s="70"/>
      <c r="AN85" s="70"/>
      <c r="AO85" s="70"/>
      <c r="AP85" s="70"/>
      <c r="AQ85" s="70"/>
      <c r="AR85" s="70"/>
      <c r="AS85" s="70"/>
    </row>
    <row r="86" spans="1:62" s="9" customFormat="1" ht="14.25" customHeight="1">
      <c r="N86" s="71"/>
      <c r="O86" s="87"/>
      <c r="P86" s="87"/>
      <c r="Q86" s="151" t="s">
        <v>103</v>
      </c>
      <c r="R86" s="312">
        <f t="shared" si="96"/>
        <v>0</v>
      </c>
      <c r="S86" s="153">
        <f>+IF($C$8=Lister!$O$5,(SUMIF($O$20:$O$29,Lister!$D$29,C20:C29)+SUMIF($O$20:$O$29,Lister!$D$30,C20:C29))*Takstblad!C$84,0)</f>
        <v>0</v>
      </c>
      <c r="T86" s="153">
        <f>+IF($C$8=Lister!$O$5,(SUMIF($O$20:$O$29,Lister!$D$29,D20:D29)+SUMIF($O$20:$O$29,Lister!$D$30,D20:D29))*Takstblad!D$84,0)</f>
        <v>0</v>
      </c>
      <c r="U86" s="153">
        <f>+IF($C$8=Lister!$O$5,(SUMIF($O$20:$O$29,Lister!$D$29,E20:E29)+SUMIF($O$20:$O$29,Lister!$D$30,E20:E29))*Takstblad!E$84,0)</f>
        <v>0</v>
      </c>
      <c r="V86" s="153">
        <f>+IF($C$8=Lister!$O$5,(SUMIF($O$20:$O$29,Lister!$D$29,F20:F29)+SUMIF($O$20:$O$29,Lister!$D$30,F20:F29))*Takstblad!F$84,0)</f>
        <v>0</v>
      </c>
      <c r="W86" s="153">
        <f>+IF($C$8=Lister!$O$5,(SUMIF($O$20:$O$29,Lister!$D$29,G20:G29)+SUMIF($O$20:$O$29,Lister!$D$30,G20:G29))*Takstblad!G$84,0)</f>
        <v>0</v>
      </c>
      <c r="X86" s="300">
        <f>+IF($C$8=Lister!$O$5,(SUMIF($O$20:$O$29,Lister!$D$29,H20:H29)+SUMIF($O$20:$O$29,Lister!$D$30,H20:H29))*Takstblad!H$84,0)</f>
        <v>0</v>
      </c>
      <c r="Y86" s="110">
        <f>+IF($C$8=Lister!$O$5,(SUMIF($O$20:$O$29,Lister!$D$29,I20:I29)+SUMIF($O$20:$O$29,Lister!$D$30,I20:I29))*Takstblad!I$84,0)</f>
        <v>0</v>
      </c>
      <c r="Z86" s="21">
        <f>+IF($C$8=Lister!$O$5,(SUMIF($O$20:$O$29,Lister!$D$29,J20:J29)+SUMIF($O$20:$O$29,Lister!$D$30,J20:J29))*Takstblad!J$84,0)</f>
        <v>0</v>
      </c>
      <c r="AA86" s="21">
        <f>+IF($C$8=Lister!$O$5,(SUMIF($O$20:$O$29,Lister!$D$29,K20:K29)+SUMIF($O$20:$O$29,Lister!$D$30,K20:K29))*Takstblad!K$84,0)</f>
        <v>0</v>
      </c>
      <c r="AB86" s="21">
        <f>+IF($C$8=Lister!$O$5,(SUMIF($O$20:$O$29,Lister!$D$29,L20:L29)+SUMIF($O$20:$O$29,Lister!$D$30,L20:L29))*Takstblad!L$84,0)</f>
        <v>0</v>
      </c>
      <c r="AC86" s="138">
        <f t="shared" si="97"/>
        <v>0</v>
      </c>
      <c r="AF86" s="71"/>
      <c r="AG86" s="71"/>
      <c r="AH86" s="71"/>
      <c r="AI86" s="71"/>
      <c r="AJ86" s="71"/>
      <c r="AK86" s="71"/>
      <c r="AL86" s="71"/>
      <c r="AM86" s="71"/>
      <c r="AN86" s="71"/>
      <c r="AO86" s="71"/>
      <c r="AP86" s="71"/>
      <c r="AQ86" s="71"/>
      <c r="AR86" s="71"/>
      <c r="AS86" s="71"/>
    </row>
    <row r="87" spans="1:62" s="9" customFormat="1" ht="14.25" customHeight="1">
      <c r="N87" s="70"/>
      <c r="O87" s="85"/>
      <c r="P87" s="85"/>
      <c r="Q87" s="151" t="s">
        <v>108</v>
      </c>
      <c r="R87" s="312">
        <f t="shared" si="96"/>
        <v>0</v>
      </c>
      <c r="S87" s="153">
        <f>+IF($C$8="Project-Supplement",((
SUMIFS(C20:C39,$O$20:$O$39,Lister!$D$30,$A$20:$A$39,Lister!$A$21)
+SUMIFS(C20:C39,$O$20:$O$39,Lister!$D$30,$A$20:$A$39,Lister!$A$31)
+SUMIFS(C20:C39,$O$20:$O$39,Lister!$D$30,$A$20:$A$39,Lister!$A$32)
+SUMIFS(C20:C39,$O$20:$O$39,Lister!$D$30,$A$20:$A$39,Lister!$A$22)
+SUMIFS(C20:C39,$O$20:$O$39,Lister!$D$30,$A$20:$A$39,Lister!$A$23)
+SUMIFS(C20:C39,$O$20:$O$39,Lister!$D$30,$A$20:$A$39,Lister!$A$20)
+SUMIFS(C20:C39,$O$20:$O$39,Lister!$D$30,$A$20:$A$39,Lister!$A$34)
+SUMIFS(C20:C39,$O$20:$O$39,Lister!$D$30,$A$20:$A$39,Lister!$A$33)
+SUMIFS(C20:C39,$O$20:$O$39,Lister!$D$29,$A$20:$A$39,Lister!$A$21)
+SUMIFS(C20:C39,$O$20:$O$39,Lister!$D$29,$A$20:$A$39,Lister!$A$31)
+SUMIFS(C20:C39,$O$20:$O$39,Lister!$D$29,$A$20:$A$39,Lister!$A$32)
+SUMIFS(C20:C39,$O$20:$O$39,Lister!$D$29,$A$20:$A$39,Lister!$A$22)
+SUMIFS(C20:C39,$O$20:$O$39,Lister!$D$29,$A$20:$A$39,Lister!$A$23)
+SUMIFS(C20:C39,$O$20:$O$39,Lister!$D$29,$A$20:$A$39,Lister!$A$20)
+SUMIFS(C20:C39,$O$20:$O$39,Lister!$D$29,$A$20:$A$39,Lister!$A$34)
+SUMIFS(C20:C39,$O$20:$O$39,Lister!$D$29,$A$20:$A$39,Lister!$A$33))
/12)*Takstblad!C$85,0)</f>
        <v>0</v>
      </c>
      <c r="T87" s="155">
        <f>+IF($C$8="Project-Supplement",((
SUMIFS(D20:D39,$O$20:$O$39,Lister!$D$30,$A$20:$A$39,Lister!$A$21)
+SUMIFS(D20:D39,$O$20:$O$39,Lister!$D$30,$A$20:$A$39,Lister!$A$31)
+SUMIFS(D20:D39,$O$20:$O$39,Lister!$D$30,$A$20:$A$39,Lister!$A$32)
+SUMIFS(D20:D39,$O$20:$O$39,Lister!$D$30,$A$20:$A$39,Lister!$A$22)
+SUMIFS(D20:D39,$O$20:$O$39,Lister!$D$30,$A$20:$A$39,Lister!$A$23)
+SUMIFS(D20:D39,$O$20:$O$39,Lister!$D$30,$A$20:$A$39,Lister!$A$20)
+SUMIFS(D20:D39,$O$20:$O$39,Lister!$D$30,$A$20:$A$39,Lister!$A$34)
+SUMIFS(D20:D39,$O$20:$O$39,Lister!$D$30,$A$20:$A$39,Lister!$A$33)
+SUMIFS(D20:D39,$O$20:$O$39,Lister!$D$29,$A$20:$A$39,Lister!$A$21)
+SUMIFS(D20:D39,$O$20:$O$39,Lister!$D$29,$A$20:$A$39,Lister!$A$31)
+SUMIFS(D20:D39,$O$20:$O$39,Lister!$D$29,$A$20:$A$39,Lister!$A$32)
+SUMIFS(D20:D39,$O$20:$O$39,Lister!$D$29,$A$20:$A$39,Lister!$A$22)
+SUMIFS(D20:D39,$O$20:$O$39,Lister!$D$29,$A$20:$A$39,Lister!$A$23)
+SUMIFS(D20:D39,$O$20:$O$39,Lister!$D$29,$A$20:$A$39,Lister!$A$20)
+SUMIFS(D20:D39,$O$20:$O$39,Lister!$D$29,$A$20:$A$39,Lister!$A$34)
+SUMIFS(D20:D39,$O$20:$O$39,Lister!$D$29,$A$20:$A$39,Lister!$A$33))
/12)*Takstblad!D$85,0)</f>
        <v>0</v>
      </c>
      <c r="U87" s="155">
        <f>+IF($C$8="Project-Supplement",((
SUMIFS(E20:E39,$O$20:$O$39,Lister!$D$30,$A$20:$A$39,Lister!$A$21)
+SUMIFS(E20:E39,$O$20:$O$39,Lister!$D$30,$A$20:$A$39,Lister!$A$31)
+SUMIFS(E20:E39,$O$20:$O$39,Lister!$D$30,$A$20:$A$39,Lister!$A$32)
+SUMIFS(E20:E39,$O$20:$O$39,Lister!$D$30,$A$20:$A$39,Lister!$A$22)
+SUMIFS(E20:E39,$O$20:$O$39,Lister!$D$30,$A$20:$A$39,Lister!$A$23)
+SUMIFS(E20:E39,$O$20:$O$39,Lister!$D$30,$A$20:$A$39,Lister!$A$20)
+SUMIFS(E20:E39,$O$20:$O$39,Lister!$D$30,$A$20:$A$39,Lister!$A$34)
+SUMIFS(E20:E39,$O$20:$O$39,Lister!$D$30,$A$20:$A$39,Lister!$A$33)
+SUMIFS(E20:E39,$O$20:$O$39,Lister!$D$29,$A$20:$A$39,Lister!$A$21)
+SUMIFS(E20:E39,$O$20:$O$39,Lister!$D$29,$A$20:$A$39,Lister!$A$31)
+SUMIFS(E20:E39,$O$20:$O$39,Lister!$D$29,$A$20:$A$39,Lister!$A$32)
+SUMIFS(E20:E39,$O$20:$O$39,Lister!$D$29,$A$20:$A$39,Lister!$A$22)
+SUMIFS(E20:E39,$O$20:$O$39,Lister!$D$29,$A$20:$A$39,Lister!$A$23)
+SUMIFS(E20:E39,$O$20:$O$39,Lister!$D$29,$A$20:$A$39,Lister!$A$20)
+SUMIFS(E20:E39,$O$20:$O$39,Lister!$D$29,$A$20:$A$39,Lister!$A$34)
+SUMIFS(E20:E39,$O$20:$O$39,Lister!$D$29,$A$20:$A$39,Lister!$A$33))
/12)*Takstblad!E$85,0)</f>
        <v>0</v>
      </c>
      <c r="V87" s="155">
        <f>+IF($C$8="Project-Supplement",((
SUMIFS(F20:F39,$O$20:$O$39,Lister!$D$30,$A$20:$A$39,Lister!$A$21)
+SUMIFS(F20:F39,$O$20:$O$39,Lister!$D$30,$A$20:$A$39,Lister!$A$31)
+SUMIFS(F20:F39,$O$20:$O$39,Lister!$D$30,$A$20:$A$39,Lister!$A$32)
+SUMIFS(F20:F39,$O$20:$O$39,Lister!$D$30,$A$20:$A$39,Lister!$A$22)
+SUMIFS(F20:F39,$O$20:$O$39,Lister!$D$30,$A$20:$A$39,Lister!$A$23)
+SUMIFS(F20:F39,$O$20:$O$39,Lister!$D$30,$A$20:$A$39,Lister!$A$20)
+SUMIFS(F20:F39,$O$20:$O$39,Lister!$D$30,$A$20:$A$39,Lister!$A$34)
+SUMIFS(F20:F39,$O$20:$O$39,Lister!$D$30,$A$20:$A$39,Lister!$A$33)
+SUMIFS(F20:F39,$O$20:$O$39,Lister!$D$29,$A$20:$A$39,Lister!$A$21)
+SUMIFS(F20:F39,$O$20:$O$39,Lister!$D$29,$A$20:$A$39,Lister!$A$31)
+SUMIFS(F20:F39,$O$20:$O$39,Lister!$D$29,$A$20:$A$39,Lister!$A$32)
+SUMIFS(F20:F39,$O$20:$O$39,Lister!$D$29,$A$20:$A$39,Lister!$A$22)
+SUMIFS(F20:F39,$O$20:$O$39,Lister!$D$29,$A$20:$A$39,Lister!$A$23)
+SUMIFS(F20:F39,$O$20:$O$39,Lister!$D$29,$A$20:$A$39,Lister!$A$20)
+SUMIFS(F20:F39,$O$20:$O$39,Lister!$D$29,$A$20:$A$39,Lister!$A$34)
+SUMIFS(F20:F39,$O$20:$O$39,Lister!$D$29,$A$20:$A$39,Lister!$A$33))
/12)*Takstblad!F$85,0)</f>
        <v>0</v>
      </c>
      <c r="W87" s="155">
        <f>+IF($C$8="Project-Supplement",((
SUMIFS(G20:G39,$O$20:$O$39,Lister!$D$30,$A$20:$A$39,Lister!$A$21)
+SUMIFS(G20:G39,$O$20:$O$39,Lister!$D$30,$A$20:$A$39,Lister!$A$31)
+SUMIFS(G20:G39,$O$20:$O$39,Lister!$D$30,$A$20:$A$39,Lister!$A$32)
+SUMIFS(G20:G39,$O$20:$O$39,Lister!$D$30,$A$20:$A$39,Lister!$A$22)
+SUMIFS(G20:G39,$O$20:$O$39,Lister!$D$30,$A$20:$A$39,Lister!$A$23)
+SUMIFS(G20:G39,$O$20:$O$39,Lister!$D$30,$A$20:$A$39,Lister!$A$20)
+SUMIFS(G20:G39,$O$20:$O$39,Lister!$D$30,$A$20:$A$39,Lister!$A$34)
+SUMIFS(G20:G39,$O$20:$O$39,Lister!$D$30,$A$20:$A$39,Lister!$A$33)
+SUMIFS(G20:G39,$O$20:$O$39,Lister!$D$29,$A$20:$A$39,Lister!$A$21)
+SUMIFS(G20:G39,$O$20:$O$39,Lister!$D$29,$A$20:$A$39,Lister!$A$31)
+SUMIFS(G20:G39,$O$20:$O$39,Lister!$D$29,$A$20:$A$39,Lister!$A$32)
+SUMIFS(G20:G39,$O$20:$O$39,Lister!$D$29,$A$20:$A$39,Lister!$A$22)
+SUMIFS(G20:G39,$O$20:$O$39,Lister!$D$29,$A$20:$A$39,Lister!$A$23)
+SUMIFS(G20:G39,$O$20:$O$39,Lister!$D$29,$A$20:$A$39,Lister!$A$20)
+SUMIFS(G20:G39,$O$20:$O$39,Lister!$D$29,$A$20:$A$39,Lister!$A$34)
+SUMIFS(G20:G39,$O$20:$O$39,Lister!$D$29,$A$20:$A$39,Lister!$A$33))
/12)*Takstblad!G$85,0)</f>
        <v>0</v>
      </c>
      <c r="X87" s="308">
        <f>+IF($C$8="Project-Supplement",((
SUMIFS(H20:H39,$O$20:$O$39,Lister!$D$30,$A$20:$A$39,Lister!$A$21)
+SUMIFS(H20:H39,$O$20:$O$39,Lister!$D$30,$A$20:$A$39,Lister!$A$31)
+SUMIFS(H20:H39,$O$20:$O$39,Lister!$D$30,$A$20:$A$39,Lister!$A$32)
+SUMIFS(H20:H39,$O$20:$O$39,Lister!$D$30,$A$20:$A$39,Lister!$A$22)
+SUMIFS(H20:H39,$O$20:$O$39,Lister!$D$30,$A$20:$A$39,Lister!$A$23)
+SUMIFS(H20:H39,$O$20:$O$39,Lister!$D$30,$A$20:$A$39,Lister!$A$20)
+SUMIFS(H20:H39,$O$20:$O$39,Lister!$D$30,$A$20:$A$39,Lister!$A$34)
+SUMIFS(H20:H39,$O$20:$O$39,Lister!$D$30,$A$20:$A$39,Lister!$A$33)
+SUMIFS(H20:H39,$O$20:$O$39,Lister!$D$29,$A$20:$A$39,Lister!$A$21)
+SUMIFS(H20:H39,$O$20:$O$39,Lister!$D$29,$A$20:$A$39,Lister!$A$31)
+SUMIFS(H20:H39,$O$20:$O$39,Lister!$D$29,$A$20:$A$39,Lister!$A$32)
+SUMIFS(H20:H39,$O$20:$O$39,Lister!$D$29,$A$20:$A$39,Lister!$A$22)
+SUMIFS(H20:H39,$O$20:$O$39,Lister!$D$29,$A$20:$A$39,Lister!$A$23)
+SUMIFS(H20:H39,$O$20:$O$39,Lister!$D$29,$A$20:$A$39,Lister!$A$20)
+SUMIFS(H20:H39,$O$20:$O$39,Lister!$D$29,$A$20:$A$39,Lister!$A$34)
+SUMIFS(H20:H39,$O$20:$O$39,Lister!$D$29,$A$20:$A$39,Lister!$A$33))
/12)*Takstblad!H$85,0)</f>
        <v>0</v>
      </c>
      <c r="Y87" s="114">
        <f>+IF($C$8="Project-Supplement",((
SUMIFS(I20:I39,$O$20:$O$39,Lister!$D$30,$A$20:$A$39,Lister!$A$21)
+SUMIFS(I20:I39,$O$20:$O$39,Lister!$D$30,$A$20:$A$39,Lister!$A$31)
+SUMIFS(I20:I39,$O$20:$O$39,Lister!$D$30,$A$20:$A$39,Lister!$A$32)
+SUMIFS(I20:I39,$O$20:$O$39,Lister!$D$30,$A$20:$A$39,Lister!$A$22)
+SUMIFS(I20:I39,$O$20:$O$39,Lister!$D$30,$A$20:$A$39,Lister!$A$23)
+SUMIFS(I20:I39,$O$20:$O$39,Lister!$D$30,$A$20:$A$39,Lister!$A$20)
+SUMIFS(I20:I39,$O$20:$O$39,Lister!$D$30,$A$20:$A$39,Lister!$A$34)
+SUMIFS(I20:I39,$O$20:$O$39,Lister!$D$30,$A$20:$A$39,Lister!$A$33)
+SUMIFS(I20:I39,$O$20:$O$39,Lister!$D$29,$A$20:$A$39,Lister!$A$21)
+SUMIFS(I20:I39,$O$20:$O$39,Lister!$D$29,$A$20:$A$39,Lister!$A$31)
+SUMIFS(I20:I39,$O$20:$O$39,Lister!$D$29,$A$20:$A$39,Lister!$A$32)
+SUMIFS(I20:I39,$O$20:$O$39,Lister!$D$29,$A$20:$A$39,Lister!$A$22)
+SUMIFS(I20:I39,$O$20:$O$39,Lister!$D$29,$A$20:$A$39,Lister!$A$23)
+SUMIFS(I20:I39,$O$20:$O$39,Lister!$D$29,$A$20:$A$39,Lister!$A$20)
+SUMIFS(I20:I39,$O$20:$O$39,Lister!$D$29,$A$20:$A$39,Lister!$A$34)
+SUMIFS(I20:I39,$O$20:$O$39,Lister!$D$29,$A$20:$A$39,Lister!$A$33))
/12)*Takstblad!I$85,0)</f>
        <v>0</v>
      </c>
      <c r="Z87" s="115">
        <f>+IF($C$8="Project-Supplement",((
SUMIFS(J20:J39,$O$20:$O$39,Lister!$D$30,$A$20:$A$39,Lister!$A$21)
+SUMIFS(J20:J39,$O$20:$O$39,Lister!$D$30,$A$20:$A$39,Lister!$A$31)
+SUMIFS(J20:J39,$O$20:$O$39,Lister!$D$30,$A$20:$A$39,Lister!$A$32)
+SUMIFS(J20:J39,$O$20:$O$39,Lister!$D$30,$A$20:$A$39,Lister!$A$22)
+SUMIFS(J20:J39,$O$20:$O$39,Lister!$D$30,$A$20:$A$39,Lister!$A$23)
+SUMIFS(J20:J39,$O$20:$O$39,Lister!$D$30,$A$20:$A$39,Lister!$A$20)
+SUMIFS(J20:J39,$O$20:$O$39,Lister!$D$30,$A$20:$A$39,Lister!$A$34)
+SUMIFS(J20:J39,$O$20:$O$39,Lister!$D$30,$A$20:$A$39,Lister!$A$33)
+SUMIFS(J20:J39,$O$20:$O$39,Lister!$D$29,$A$20:$A$39,Lister!$A$21)
+SUMIFS(J20:J39,$O$20:$O$39,Lister!$D$29,$A$20:$A$39,Lister!$A$31)
+SUMIFS(J20:J39,$O$20:$O$39,Lister!$D$29,$A$20:$A$39,Lister!$A$32)
+SUMIFS(J20:J39,$O$20:$O$39,Lister!$D$29,$A$20:$A$39,Lister!$A$22)
+SUMIFS(J20:J39,$O$20:$O$39,Lister!$D$29,$A$20:$A$39,Lister!$A$23)
+SUMIFS(J20:J39,$O$20:$O$39,Lister!$D$29,$A$20:$A$39,Lister!$A$20)
+SUMIFS(J20:J39,$O$20:$O$39,Lister!$D$29,$A$20:$A$39,Lister!$A$34)
+SUMIFS(J20:J39,$O$20:$O$39,Lister!$D$29,$A$20:$A$39,Lister!$A$33))
/12)*Takstblad!J$85,0)</f>
        <v>0</v>
      </c>
      <c r="AA87" s="115">
        <f>+IF($C$8="Project-Supplement",((
SUMIFS(K20:K39,$O$20:$O$39,Lister!$D$30,$A$20:$A$39,Lister!$A$21)
+SUMIFS(K20:K39,$O$20:$O$39,Lister!$D$30,$A$20:$A$39,Lister!$A$31)
+SUMIFS(K20:K39,$O$20:$O$39,Lister!$D$30,$A$20:$A$39,Lister!$A$32)
+SUMIFS(K20:K39,$O$20:$O$39,Lister!$D$30,$A$20:$A$39,Lister!$A$22)
+SUMIFS(K20:K39,$O$20:$O$39,Lister!$D$30,$A$20:$A$39,Lister!$A$23)
+SUMIFS(K20:K39,$O$20:$O$39,Lister!$D$30,$A$20:$A$39,Lister!$A$20)
+SUMIFS(K20:K39,$O$20:$O$39,Lister!$D$30,$A$20:$A$39,Lister!$A$34)
+SUMIFS(K20:K39,$O$20:$O$39,Lister!$D$30,$A$20:$A$39,Lister!$A$33)
+SUMIFS(K20:K39,$O$20:$O$39,Lister!$D$29,$A$20:$A$39,Lister!$A$21)
+SUMIFS(K20:K39,$O$20:$O$39,Lister!$D$29,$A$20:$A$39,Lister!$A$31)
+SUMIFS(K20:K39,$O$20:$O$39,Lister!$D$29,$A$20:$A$39,Lister!$A$32)
+SUMIFS(K20:K39,$O$20:$O$39,Lister!$D$29,$A$20:$A$39,Lister!$A$22)
+SUMIFS(K20:K39,$O$20:$O$39,Lister!$D$29,$A$20:$A$39,Lister!$A$23)
+SUMIFS(K20:K39,$O$20:$O$39,Lister!$D$29,$A$20:$A$39,Lister!$A$20)
+SUMIFS(K20:K39,$O$20:$O$39,Lister!$D$29,$A$20:$A$39,Lister!$A$34)
+SUMIFS(K20:K39,$O$20:$O$39,Lister!$D$29,$A$20:$A$39,Lister!$A$33))
/12)*Takstblad!K$85,0)</f>
        <v>0</v>
      </c>
      <c r="AB87" s="115">
        <f>+IF($C$8="Project-Supplement",((
SUMIFS(L20:L39,$O$20:$O$39,Lister!$D$30,$A$20:$A$39,Lister!$A$21)
+SUMIFS(L20:L39,$O$20:$O$39,Lister!$D$30,$A$20:$A$39,Lister!$A$31)
+SUMIFS(L20:L39,$O$20:$O$39,Lister!$D$30,$A$20:$A$39,Lister!$A$32)
+SUMIFS(L20:L39,$O$20:$O$39,Lister!$D$30,$A$20:$A$39,Lister!$A$22)
+SUMIFS(L20:L39,$O$20:$O$39,Lister!$D$30,$A$20:$A$39,Lister!$A$23)
+SUMIFS(L20:L39,$O$20:$O$39,Lister!$D$30,$A$20:$A$39,Lister!$A$20)
+SUMIFS(L20:L39,$O$20:$O$39,Lister!$D$30,$A$20:$A$39,Lister!$A$34)
+SUMIFS(L20:L39,$O$20:$O$39,Lister!$D$30,$A$20:$A$39,Lister!$A$33)
+SUMIFS(L20:L39,$O$20:$O$39,Lister!$D$29,$A$20:$A$39,Lister!$A$21)
+SUMIFS(L20:L39,$O$20:$O$39,Lister!$D$29,$A$20:$A$39,Lister!$A$31)
+SUMIFS(L20:L39,$O$20:$O$39,Lister!$D$29,$A$20:$A$39,Lister!$A$32)
+SUMIFS(L20:L39,$O$20:$O$39,Lister!$D$29,$A$20:$A$39,Lister!$A$22)
+SUMIFS(L20:L39,$O$20:$O$39,Lister!$D$29,$A$20:$A$39,Lister!$A$23)
+SUMIFS(L20:L39,$O$20:$O$39,Lister!$D$29,$A$20:$A$39,Lister!$A$20)
+SUMIFS(L20:L39,$O$20:$O$39,Lister!$D$29,$A$20:$A$39,Lister!$A$34)
+SUMIFS(L20:L39,$O$20:$O$39,Lister!$D$29,$A$20:$A$39,Lister!$A$33))
/12)*Takstblad!L$85,0)</f>
        <v>0</v>
      </c>
      <c r="AC87" s="138">
        <f t="shared" si="97"/>
        <v>0</v>
      </c>
      <c r="AF87" s="70"/>
      <c r="AG87" s="70"/>
      <c r="AH87" s="70"/>
      <c r="AI87" s="70"/>
      <c r="AJ87" s="70"/>
      <c r="AK87" s="70"/>
      <c r="AL87" s="70"/>
      <c r="AM87" s="70"/>
      <c r="AN87" s="70"/>
      <c r="AO87" s="70"/>
      <c r="AP87" s="70"/>
      <c r="AQ87" s="70"/>
      <c r="AR87" s="71"/>
      <c r="AS87" s="71"/>
    </row>
    <row r="88" spans="1:62" ht="14.25" customHeight="1">
      <c r="N88" s="71"/>
      <c r="O88" s="87"/>
      <c r="P88" s="87"/>
      <c r="Q88" s="150" t="s">
        <v>531</v>
      </c>
      <c r="R88" s="312">
        <f t="shared" si="96"/>
        <v>0</v>
      </c>
      <c r="S88" s="153" t="str">
        <f>IF($C$12=2,(SUM(S84:S87)*$C$13)/100,"0")</f>
        <v>0</v>
      </c>
      <c r="T88" s="223" t="str">
        <f t="shared" ref="T88:Z88" si="100">IF($C$12=2,(SUM(T84:T87)*$C$13)/100,"0")</f>
        <v>0</v>
      </c>
      <c r="U88" s="223" t="str">
        <f t="shared" si="100"/>
        <v>0</v>
      </c>
      <c r="V88" s="223" t="str">
        <f t="shared" si="100"/>
        <v>0</v>
      </c>
      <c r="W88" s="223" t="str">
        <f t="shared" si="100"/>
        <v>0</v>
      </c>
      <c r="X88" s="306" t="str">
        <f t="shared" si="100"/>
        <v>0</v>
      </c>
      <c r="Y88" s="224" t="str">
        <f t="shared" si="100"/>
        <v>0</v>
      </c>
      <c r="Z88" s="223" t="str">
        <f t="shared" si="100"/>
        <v>0</v>
      </c>
      <c r="AA88" s="223" t="str">
        <f>IF($C$12=2,(SUM(AA84:AA87)*$C$13)/100,"0")</f>
        <v>0</v>
      </c>
      <c r="AB88" s="223" t="str">
        <f>IF($C$12=2,(SUM(AB84:AB87)*$C$13)/100,"0")</f>
        <v>0</v>
      </c>
      <c r="AC88" s="138">
        <f t="shared" si="97"/>
        <v>0</v>
      </c>
      <c r="AF88" s="71"/>
      <c r="AG88" s="71"/>
      <c r="AH88" s="71"/>
      <c r="AI88" s="71"/>
      <c r="AJ88" s="71"/>
      <c r="AK88" s="71"/>
      <c r="AL88" s="71"/>
      <c r="AM88" s="71"/>
      <c r="AN88" s="71"/>
      <c r="AO88" s="71"/>
      <c r="AP88" s="71"/>
      <c r="AQ88" s="71"/>
      <c r="AR88" s="71"/>
      <c r="AS88" s="71"/>
      <c r="AT88" s="71"/>
      <c r="AU88" s="71"/>
      <c r="AV88" s="71"/>
      <c r="AW88" s="71"/>
      <c r="AX88" s="71"/>
      <c r="AY88" s="71"/>
      <c r="AZ88" s="71"/>
      <c r="BA88" s="71"/>
      <c r="BB88" s="71"/>
      <c r="BC88" s="71"/>
      <c r="BD88" s="71"/>
      <c r="BE88" s="71"/>
      <c r="BF88" s="71"/>
      <c r="BG88" s="71"/>
      <c r="BH88" s="71"/>
      <c r="BI88" s="71"/>
      <c r="BJ88" s="71"/>
    </row>
    <row r="89" spans="1:62" ht="14.25" customHeight="1">
      <c r="N89" s="80"/>
      <c r="O89" s="91"/>
      <c r="P89" s="91"/>
      <c r="Q89" s="149" t="s">
        <v>101</v>
      </c>
      <c r="R89" s="312">
        <f t="shared" si="96"/>
        <v>0</v>
      </c>
      <c r="S89" s="313">
        <f>+SUM(S84:S88)</f>
        <v>0</v>
      </c>
      <c r="T89" s="313">
        <f t="shared" ref="T89:Z89" si="101">+SUM(T84:T88)</f>
        <v>0</v>
      </c>
      <c r="U89" s="313">
        <f t="shared" si="101"/>
        <v>0</v>
      </c>
      <c r="V89" s="313">
        <f t="shared" si="101"/>
        <v>0</v>
      </c>
      <c r="W89" s="313">
        <f t="shared" si="101"/>
        <v>0</v>
      </c>
      <c r="X89" s="314">
        <f t="shared" si="101"/>
        <v>0</v>
      </c>
      <c r="Y89" s="296">
        <f t="shared" si="101"/>
        <v>0</v>
      </c>
      <c r="Z89" s="137">
        <f t="shared" si="101"/>
        <v>0</v>
      </c>
      <c r="AA89" s="137">
        <f>+SUM(AA84:AA88)</f>
        <v>0</v>
      </c>
      <c r="AB89" s="137">
        <f>+SUM(AB84:AB88)</f>
        <v>0</v>
      </c>
      <c r="AC89" s="138">
        <f t="shared" si="97"/>
        <v>0</v>
      </c>
      <c r="AF89" s="70"/>
      <c r="AG89" s="70"/>
      <c r="AH89" s="70"/>
      <c r="AI89" s="71"/>
      <c r="AJ89" s="71"/>
      <c r="AK89" s="71"/>
      <c r="AL89" s="71"/>
      <c r="AM89" s="71"/>
      <c r="AN89" s="71"/>
      <c r="AO89" s="71"/>
      <c r="AP89" s="71"/>
      <c r="AQ89" s="71"/>
      <c r="AR89" s="71"/>
      <c r="AS89" s="71"/>
      <c r="AT89" s="71"/>
      <c r="AU89" s="71"/>
      <c r="AV89" s="71"/>
      <c r="AW89" s="71"/>
      <c r="AX89" s="71"/>
      <c r="AY89" s="71"/>
      <c r="AZ89" s="71"/>
      <c r="BA89" s="71"/>
      <c r="BB89" s="71"/>
      <c r="BC89" s="71"/>
      <c r="BD89" s="71"/>
      <c r="BE89" s="71"/>
      <c r="BF89" s="71"/>
      <c r="BG89" s="71"/>
      <c r="BH89" s="71"/>
      <c r="BI89" s="71"/>
      <c r="BJ89" s="71"/>
    </row>
    <row r="90" spans="1:62" ht="14.25" customHeight="1">
      <c r="N90" s="81"/>
      <c r="O90" s="92"/>
      <c r="P90" s="92"/>
      <c r="Q90" s="132"/>
      <c r="R90" s="126"/>
      <c r="S90" s="16"/>
      <c r="T90" s="116"/>
      <c r="U90" s="116"/>
      <c r="V90" s="116"/>
      <c r="W90" s="116"/>
      <c r="X90" s="307"/>
      <c r="Y90" s="116"/>
      <c r="Z90" s="116"/>
      <c r="AA90" s="116"/>
      <c r="AB90" s="116"/>
      <c r="AC90" s="126"/>
      <c r="AF90" s="71"/>
      <c r="AG90" s="71"/>
      <c r="AH90" s="71"/>
      <c r="AI90" s="70"/>
      <c r="AJ90" s="70"/>
      <c r="AK90" s="70"/>
      <c r="AL90" s="70"/>
      <c r="AM90" s="70"/>
      <c r="AN90" s="70"/>
      <c r="AO90" s="70"/>
      <c r="AP90" s="70"/>
      <c r="AQ90" s="70"/>
      <c r="AR90" s="70"/>
      <c r="AS90" s="70"/>
      <c r="AT90" s="70"/>
      <c r="AU90" s="70"/>
      <c r="AV90" s="70"/>
      <c r="AW90" s="70"/>
      <c r="AX90" s="70"/>
      <c r="AY90" s="70"/>
      <c r="AZ90" s="70"/>
      <c r="BA90" s="70"/>
      <c r="BB90" s="70"/>
      <c r="BC90" s="70"/>
      <c r="BD90" s="70"/>
      <c r="BE90" s="70"/>
      <c r="BF90" s="70"/>
      <c r="BG90" s="70"/>
      <c r="BH90" s="70"/>
      <c r="BI90" s="70"/>
      <c r="BJ90" s="70"/>
    </row>
    <row r="91" spans="1:62" s="9" customFormat="1" ht="14.25" customHeight="1">
      <c r="N91" s="81"/>
      <c r="O91" s="92"/>
      <c r="P91" s="92"/>
      <c r="Q91" s="130" t="s">
        <v>588</v>
      </c>
      <c r="R91" s="131"/>
      <c r="S91" s="230"/>
      <c r="T91" s="136"/>
      <c r="U91" s="136"/>
      <c r="V91" s="136"/>
      <c r="W91" s="136"/>
      <c r="X91" s="305"/>
      <c r="Y91" s="136"/>
      <c r="Z91" s="136"/>
      <c r="AA91" s="136"/>
      <c r="AB91" s="136"/>
      <c r="AC91" s="131"/>
      <c r="AF91" s="71"/>
      <c r="AG91" s="71"/>
      <c r="AH91" s="71"/>
      <c r="AI91" s="70"/>
      <c r="AJ91" s="70"/>
      <c r="AK91" s="70"/>
      <c r="AL91" s="70"/>
      <c r="AM91" s="70"/>
      <c r="AN91" s="70"/>
      <c r="AO91" s="70"/>
      <c r="AP91" s="70"/>
      <c r="AQ91" s="70"/>
      <c r="AR91" s="70"/>
      <c r="AS91" s="70"/>
      <c r="AT91" s="70"/>
      <c r="AU91" s="70"/>
      <c r="AV91" s="70"/>
      <c r="AW91" s="70"/>
      <c r="AX91" s="70"/>
      <c r="AY91" s="70"/>
      <c r="AZ91" s="70"/>
      <c r="BA91" s="70"/>
      <c r="BB91" s="70"/>
      <c r="BC91" s="70"/>
      <c r="BD91" s="70"/>
      <c r="BE91" s="70"/>
      <c r="BF91" s="70"/>
      <c r="BG91" s="70"/>
      <c r="BH91" s="70"/>
      <c r="BI91" s="70"/>
      <c r="BJ91" s="70"/>
    </row>
    <row r="92" spans="1:62" s="9" customFormat="1" ht="14.25" customHeight="1">
      <c r="N92" s="70"/>
      <c r="O92" s="85"/>
      <c r="P92" s="85"/>
      <c r="Q92" s="134"/>
      <c r="R92" s="133"/>
      <c r="S92" s="16"/>
      <c r="T92" s="76"/>
      <c r="U92" s="76"/>
      <c r="V92" s="76"/>
      <c r="W92" s="76"/>
      <c r="X92" s="133"/>
      <c r="Y92" s="76"/>
      <c r="Z92" s="76"/>
      <c r="AA92" s="76"/>
      <c r="AB92" s="76"/>
      <c r="AC92" s="133"/>
      <c r="AF92" s="70"/>
      <c r="AG92" s="70"/>
      <c r="AH92" s="70"/>
      <c r="AI92" s="70"/>
      <c r="AJ92" s="70"/>
      <c r="AK92" s="70"/>
      <c r="AL92" s="70"/>
      <c r="AM92" s="70"/>
      <c r="AN92" s="70"/>
      <c r="AO92" s="70"/>
      <c r="AP92" s="70"/>
      <c r="AQ92" s="70"/>
      <c r="AR92" s="70"/>
      <c r="AS92" s="70"/>
      <c r="AT92" s="70"/>
      <c r="AU92" s="70"/>
      <c r="AV92" s="70"/>
      <c r="AW92" s="70"/>
      <c r="AX92" s="70"/>
      <c r="AY92" s="70"/>
      <c r="AZ92" s="70"/>
      <c r="BA92" s="70"/>
      <c r="BB92" s="70"/>
      <c r="BC92" s="70"/>
      <c r="BD92" s="70"/>
      <c r="BE92" s="70"/>
      <c r="BF92" s="70"/>
      <c r="BG92" s="70"/>
      <c r="BH92" s="70"/>
      <c r="BI92" s="70"/>
      <c r="BJ92" s="70"/>
    </row>
    <row r="93" spans="1:62" s="9" customFormat="1" ht="14.25" customHeight="1">
      <c r="A93" s="23"/>
      <c r="B93" s="16"/>
      <c r="C93" s="16"/>
      <c r="D93" s="71"/>
      <c r="E93" s="71"/>
      <c r="F93" s="71"/>
      <c r="G93" s="71"/>
      <c r="H93" s="71"/>
      <c r="I93" s="71"/>
      <c r="J93" s="71"/>
      <c r="K93" s="71"/>
      <c r="L93" s="71"/>
      <c r="M93" s="71"/>
      <c r="N93" s="71"/>
      <c r="O93" s="87"/>
      <c r="P93" s="87"/>
      <c r="Q93" s="152" t="s">
        <v>22</v>
      </c>
      <c r="R93" s="124" t="s">
        <v>34</v>
      </c>
      <c r="S93" s="45">
        <f>+S79</f>
        <v>2026</v>
      </c>
      <c r="T93" s="8">
        <f t="shared" ref="T93:Z93" si="102">+T79</f>
        <v>2027</v>
      </c>
      <c r="U93" s="8">
        <f t="shared" si="102"/>
        <v>2028</v>
      </c>
      <c r="V93" s="8">
        <f t="shared" si="102"/>
        <v>2029</v>
      </c>
      <c r="W93" s="8">
        <f t="shared" si="102"/>
        <v>2030</v>
      </c>
      <c r="X93" s="124">
        <f t="shared" si="102"/>
        <v>2031</v>
      </c>
      <c r="Y93" s="8">
        <f t="shared" si="102"/>
        <v>2032</v>
      </c>
      <c r="Z93" s="8">
        <f t="shared" si="102"/>
        <v>2033</v>
      </c>
      <c r="AA93" s="8">
        <f>+AA79</f>
        <v>2034</v>
      </c>
      <c r="AB93" s="8">
        <f>+AB79</f>
        <v>2035</v>
      </c>
      <c r="AC93" s="124" t="s">
        <v>34</v>
      </c>
      <c r="AF93" s="70"/>
      <c r="AG93" s="70"/>
      <c r="AH93" s="70"/>
      <c r="AI93" s="71"/>
      <c r="AJ93" s="71"/>
      <c r="AK93" s="71"/>
      <c r="AL93" s="71"/>
      <c r="AM93" s="71"/>
      <c r="AN93" s="71"/>
      <c r="AO93" s="71"/>
      <c r="AP93" s="71"/>
      <c r="AQ93" s="71"/>
      <c r="AR93" s="71"/>
      <c r="AS93" s="71"/>
      <c r="AT93" s="71"/>
      <c r="AU93" s="71"/>
      <c r="AV93" s="71"/>
      <c r="AW93" s="71"/>
      <c r="AX93" s="71"/>
      <c r="AY93" s="71"/>
      <c r="AZ93" s="71"/>
      <c r="BA93" s="71"/>
      <c r="BB93" s="71"/>
      <c r="BC93" s="71"/>
      <c r="BD93" s="71"/>
      <c r="BE93" s="71"/>
      <c r="BF93" s="71"/>
      <c r="BG93" s="71"/>
      <c r="BH93" s="71"/>
      <c r="BI93" s="71"/>
      <c r="BJ93" s="71"/>
    </row>
    <row r="94" spans="1:62" s="9" customFormat="1" ht="14.25" customHeight="1">
      <c r="N94" s="71"/>
      <c r="O94" s="87"/>
      <c r="P94" s="87"/>
      <c r="Q94" s="147" t="s">
        <v>74</v>
      </c>
      <c r="R94" s="315">
        <f t="shared" ref="R94:R103" si="103">+AC94</f>
        <v>0</v>
      </c>
      <c r="S94" s="316">
        <f>+SUMIF($O$20:$O$39,Lister!$D$31,S20:S39)+SUMIF($O$20:$O$39,Lister!$D$32,S20:S39)</f>
        <v>0</v>
      </c>
      <c r="T94" s="316">
        <f>+SUMIF($O$20:$O$39,Lister!$D$31,T20:T39)+SUMIF($O$20:$O$39,Lister!$D$32,T20:T39)</f>
        <v>0</v>
      </c>
      <c r="U94" s="316">
        <f>+SUMIF($O$20:$O$39,Lister!$D$31,U20:U39)+SUMIF($O$20:$O$39,Lister!$D$32,U20:U39)</f>
        <v>0</v>
      </c>
      <c r="V94" s="316">
        <f>+SUMIF($O$20:$O$39,Lister!$D$31,V20:V39)+SUMIF($O$20:$O$39,Lister!$D$32,V20:V39)</f>
        <v>0</v>
      </c>
      <c r="W94" s="316">
        <f>+SUMIF($O$20:$O$39,Lister!$D$31,W20:W39)+SUMIF($O$20:$O$39,Lister!$D$32,W20:W39)</f>
        <v>0</v>
      </c>
      <c r="X94" s="316">
        <f>+SUMIF($O$20:$O$39,Lister!$D$31,X20:X39)+SUMIF($O$20:$O$39,Lister!$D$32,X20:X39)</f>
        <v>0</v>
      </c>
      <c r="Y94" s="316">
        <f>+SUMIF($O$20:$O$39,Lister!$D$31,Y20:Y39)+SUMIF($O$20:$O$39,Lister!$D$32,Y20:Y39)</f>
        <v>0</v>
      </c>
      <c r="Z94" s="316">
        <f>+SUMIF($O$20:$O$39,Lister!$D$31,Z20:Z39)+SUMIF($O$20:$O$39,Lister!$D$32,Z20:Z39)</f>
        <v>0</v>
      </c>
      <c r="AA94" s="316">
        <f>+SUMIF($O$20:$O$39,Lister!$D$31,AA20:AA39)+SUMIF($O$20:$O$39,Lister!$D$32,AA20:AA39)</f>
        <v>0</v>
      </c>
      <c r="AB94" s="316">
        <f>+SUMIF($O$20:$O$39,Lister!$D$31,AB20:AB39)+SUMIF($O$20:$O$39,Lister!$D$32,AB20:AB39)</f>
        <v>0</v>
      </c>
      <c r="AC94" s="140">
        <f>SUM(S94:AB94)</f>
        <v>0</v>
      </c>
      <c r="AF94" s="70"/>
      <c r="AG94" s="70"/>
      <c r="AH94" s="70"/>
      <c r="AI94" s="71"/>
      <c r="AJ94" s="71"/>
      <c r="AK94" s="71"/>
      <c r="AL94" s="71"/>
      <c r="AM94" s="71"/>
      <c r="AN94" s="71"/>
      <c r="AO94" s="71"/>
      <c r="AP94" s="71"/>
      <c r="AQ94" s="71"/>
      <c r="AR94" s="71"/>
      <c r="AS94" s="71"/>
      <c r="AT94" s="71"/>
      <c r="AU94" s="71"/>
      <c r="AV94" s="71"/>
      <c r="AW94" s="71"/>
      <c r="AX94" s="71"/>
      <c r="AY94" s="71"/>
      <c r="AZ94" s="71"/>
      <c r="BA94" s="71"/>
      <c r="BB94" s="71"/>
      <c r="BC94" s="71"/>
      <c r="BD94" s="71"/>
      <c r="BE94" s="71"/>
      <c r="BF94" s="71"/>
      <c r="BG94" s="71"/>
      <c r="BH94" s="71"/>
      <c r="BI94" s="71"/>
      <c r="BJ94" s="71"/>
    </row>
    <row r="95" spans="1:62" s="9" customFormat="1" ht="14.25" customHeight="1">
      <c r="N95" s="71"/>
      <c r="O95" s="87"/>
      <c r="P95" s="87"/>
      <c r="Q95" s="148" t="s">
        <v>75</v>
      </c>
      <c r="R95" s="309">
        <f t="shared" si="103"/>
        <v>0</v>
      </c>
      <c r="S95" s="310">
        <f>+SUMIF($O$43:$O$55,Lister!$D$31,S43:S55)+SUMIF($O$43:$O$55,Lister!$D$32,S43:S55)</f>
        <v>0</v>
      </c>
      <c r="T95" s="319">
        <f>+SUMIF($O$43:$O$55,Lister!$D$31,T43:T55)+SUMIF($O$43:$O$55,Lister!$D$32,T43:T55)</f>
        <v>0</v>
      </c>
      <c r="U95" s="310">
        <f>+SUMIF($O$43:$O$55,Lister!$D$31,U43:U55)+SUMIF($O$43:$O$55,Lister!$D$32,U43:U55)</f>
        <v>0</v>
      </c>
      <c r="V95" s="319">
        <f>+SUMIF($O$43:$O$55,Lister!$D$31,V43:V55)+SUMIF($O$43:$O$55,Lister!$D$32,V43:V55)</f>
        <v>0</v>
      </c>
      <c r="W95" s="310">
        <f>+SUMIF($O$43:$O$55,Lister!$D$31,W43:W55)+SUMIF($O$43:$O$55,Lister!$D$32,W43:W55)</f>
        <v>0</v>
      </c>
      <c r="X95" s="320">
        <f>+SUMIF($O$43:$O$55,Lister!$D$31,X43:X55)+SUMIF($O$43:$O$55,Lister!$D$32,X43:X55)</f>
        <v>0</v>
      </c>
      <c r="Y95" s="295">
        <f>+SUMIF($O$43:$O$55,Lister!$D$31,Y43:Y55)+SUMIF($O$43:$O$55,Lister!$D$32,Y43:Y55)</f>
        <v>0</v>
      </c>
      <c r="Z95" s="113">
        <f>+SUMIF($O$43:$O$55,Lister!$D$31,Z43:Z55)+SUMIF($O$43:$O$55,Lister!$D$32,Z43:Z55)</f>
        <v>0</v>
      </c>
      <c r="AA95" s="113">
        <f>+SUMIF($O$43:$O$55,Lister!$D$31,AA43:AA55)+SUMIF($O$43:$O$55,Lister!$D$32,AA43:AA55)</f>
        <v>0</v>
      </c>
      <c r="AB95" s="113">
        <f>+SUMIF($O$43:$O$55,Lister!$D$31,AB43:AB55)+SUMIF($O$43:$O$55,Lister!$D$32,AB43:AB55)</f>
        <v>0</v>
      </c>
      <c r="AC95" s="141">
        <f t="shared" ref="AC95:AC103" si="104">SUM(S95:AB95)</f>
        <v>0</v>
      </c>
      <c r="AF95" s="71"/>
      <c r="AG95" s="71"/>
      <c r="AH95" s="71"/>
      <c r="AI95" s="71"/>
      <c r="AJ95" s="71"/>
      <c r="AK95" s="71"/>
      <c r="AL95" s="71"/>
      <c r="AM95" s="71"/>
      <c r="AN95" s="71"/>
      <c r="AO95" s="71"/>
      <c r="AP95" s="71"/>
      <c r="AQ95" s="71"/>
      <c r="AR95" s="71"/>
      <c r="AS95" s="71"/>
      <c r="AT95" s="71"/>
      <c r="AU95" s="71"/>
      <c r="AV95" s="71"/>
      <c r="AW95" s="71"/>
      <c r="AX95" s="71"/>
      <c r="AY95" s="71"/>
      <c r="AZ95" s="71"/>
      <c r="BA95" s="71"/>
      <c r="BB95" s="71"/>
      <c r="BC95" s="71"/>
      <c r="BD95" s="71"/>
      <c r="BE95" s="71"/>
      <c r="BF95" s="71"/>
      <c r="BG95" s="71"/>
      <c r="BH95" s="71"/>
      <c r="BI95" s="71"/>
      <c r="BJ95" s="71"/>
    </row>
    <row r="96" spans="1:62" ht="14.25" customHeight="1">
      <c r="N96" s="71"/>
      <c r="O96" s="87"/>
      <c r="P96" s="87"/>
      <c r="Q96" s="149" t="s">
        <v>76</v>
      </c>
      <c r="R96" s="312">
        <f t="shared" si="103"/>
        <v>0</v>
      </c>
      <c r="S96" s="313">
        <f>+SUM(S94:S95)</f>
        <v>0</v>
      </c>
      <c r="T96" s="313">
        <f>+SUM(T94:T95)</f>
        <v>0</v>
      </c>
      <c r="U96" s="313">
        <f t="shared" ref="U96:Z96" si="105">+SUM(U94:U95)</f>
        <v>0</v>
      </c>
      <c r="V96" s="313">
        <f t="shared" si="105"/>
        <v>0</v>
      </c>
      <c r="W96" s="313">
        <f t="shared" si="105"/>
        <v>0</v>
      </c>
      <c r="X96" s="314">
        <f t="shared" si="105"/>
        <v>0</v>
      </c>
      <c r="Y96" s="142">
        <f t="shared" si="105"/>
        <v>0</v>
      </c>
      <c r="Z96" s="137">
        <f t="shared" si="105"/>
        <v>0</v>
      </c>
      <c r="AA96" s="137">
        <f>+SUM(AA94:AA95)</f>
        <v>0</v>
      </c>
      <c r="AB96" s="137">
        <f>+SUM(AB94:AB95)</f>
        <v>0</v>
      </c>
      <c r="AC96" s="138">
        <f t="shared" si="104"/>
        <v>0</v>
      </c>
      <c r="AF96" s="71"/>
      <c r="AG96" s="71"/>
      <c r="AH96" s="71"/>
      <c r="AI96" s="71"/>
      <c r="AJ96" s="71"/>
      <c r="AK96" s="71"/>
      <c r="AL96" s="71"/>
      <c r="AM96" s="71"/>
      <c r="AN96" s="71"/>
      <c r="AO96" s="71"/>
      <c r="AP96" s="71"/>
      <c r="AQ96" s="71"/>
      <c r="AR96" s="71"/>
      <c r="AS96" s="71"/>
      <c r="AT96" s="71"/>
      <c r="AU96" s="71"/>
      <c r="AV96" s="71"/>
      <c r="AW96" s="71"/>
      <c r="AX96" s="71"/>
      <c r="AY96" s="71"/>
      <c r="AZ96" s="71"/>
      <c r="BA96" s="71"/>
      <c r="BB96" s="71"/>
      <c r="BC96" s="71"/>
      <c r="BD96" s="71"/>
      <c r="BE96" s="71"/>
      <c r="BF96" s="71"/>
      <c r="BG96" s="71"/>
      <c r="BH96" s="71"/>
      <c r="BI96" s="71"/>
      <c r="BJ96" s="71"/>
    </row>
    <row r="97" spans="14:62" s="14" customFormat="1" ht="14.25" customHeight="1">
      <c r="N97" s="71"/>
      <c r="O97" s="87"/>
      <c r="P97" s="87"/>
      <c r="Q97" s="149" t="s">
        <v>77</v>
      </c>
      <c r="R97" s="312">
        <f t="shared" si="103"/>
        <v>0</v>
      </c>
      <c r="S97" s="313">
        <f>+SUMIF($O$62:$O$74,Lister!$D$31,C62:C74)+SUMIF($O$62:$O$74,Lister!$D$32,C62:C74)-SUMIFS(C62:C74,$O$62:$O$74,Lister!$D$31,$A$62:$A$74,Lister!$M$9)-SUMIFS(C62:C74,$O$62:$O$74,Lister!$D$32,$A$62:$A$74,Lister!$M$9)</f>
        <v>0</v>
      </c>
      <c r="T97" s="327">
        <f>+SUMIF($O$62:$O$74,Lister!$D$31,D62:D74)+SUMIF($O$62:$O$74,Lister!$D$32,D62:D74)-SUMIFS(D62:D74,$O$62:$O$74,Lister!$D$31,$A$62:$A$74,Lister!$M$9)-SUMIFS(D62:D74,$O$62:$O$74,Lister!$D$32,$A$62:$A$74,Lister!$M$9)</f>
        <v>0</v>
      </c>
      <c r="U97" s="327">
        <f>+SUMIF($O$62:$O$74,Lister!$D$31,E62:E74)+SUMIF($O$62:$O$74,Lister!$D$32,E62:E74)-SUMIFS(E62:E74,$O$62:$O$74,Lister!$D$31,$A$62:$A$74,Lister!$M$9)-SUMIFS(E62:E74,$O$62:$O$74,Lister!$D$32,$A$62:$A$74,Lister!$M$9)</f>
        <v>0</v>
      </c>
      <c r="V97" s="327">
        <f>+SUMIF($O$62:$O$74,Lister!$D$31,F62:F74)+SUMIF($O$62:$O$74,Lister!$D$32,F62:F74)-SUMIFS(F62:F74,$O$62:$O$74,Lister!$D$31,$A$62:$A$74,Lister!$M$9)-SUMIFS(F62:F74,$O$62:$O$74,Lister!$D$32,$A$62:$A$74,Lister!$M$9)</f>
        <v>0</v>
      </c>
      <c r="W97" s="327">
        <f>+SUMIF($O$62:$O$74,Lister!$D$31,G62:G74)+SUMIF($O$62:$O$74,Lister!$D$32,G62:G74)-SUMIFS(G62:G74,$O$62:$O$74,Lister!$D$31,$A$62:$A$74,Lister!$M$9)-SUMIFS(G62:G74,$O$62:$O$74,Lister!$D$32,$A$62:$A$74,Lister!$M$9)</f>
        <v>0</v>
      </c>
      <c r="X97" s="328">
        <f>+SUMIF($O$62:$O$74,Lister!$D$31,H62:H74)+SUMIF($O$62:$O$74,Lister!$D$32,H62:H74)-SUMIFS(H62:H74,$O$62:$O$74,Lister!$D$31,$A$62:$A$74,Lister!$M$9)-SUMIFS(H62:H74,$O$62:$O$74,Lister!$D$32,$A$62:$A$74,Lister!$M$9)</f>
        <v>0</v>
      </c>
      <c r="Y97" s="209">
        <f>+SUMIF($O$62:$O$74,Lister!$D$31,I62:I74)+SUMIF($O$62:$O$74,Lister!$D$32,I62:I74)-SUMIFS(I62:I74,$O$62:$O$74,Lister!$D$31,$A$62:$A$74,Lister!$M$9)-SUMIFS(I62:I74,$O$62:$O$74,Lister!$D$32,$A$62:$A$74,Lister!$M$9)</f>
        <v>0</v>
      </c>
      <c r="Z97" s="208">
        <f>+SUMIF($O$62:$O$74,Lister!$D$31,J62:J74)+SUMIF($O$62:$O$74,Lister!$D$32,J62:J74)-SUMIFS(J62:J74,$O$62:$O$74,Lister!$D$31,$A$62:$A$74,Lister!$M$9)-SUMIFS(J62:J74,$O$62:$O$74,Lister!$D$32,$A$62:$A$74,Lister!$M$9)</f>
        <v>0</v>
      </c>
      <c r="AA97" s="208">
        <f>+SUMIF($O$62:$O$74,Lister!$D$31,K62:K74)+SUMIF($O$62:$O$74,Lister!$D$32,K62:K74)-SUMIFS(K62:K74,$O$62:$O$74,Lister!$D$31,$A$62:$A$74,Lister!$M$9)-SUMIFS(K62:K74,$O$62:$O$74,Lister!$D$32,$A$62:$A$74,Lister!$M$9)</f>
        <v>0</v>
      </c>
      <c r="AB97" s="208">
        <f>+SUMIF($O$62:$O$74,Lister!$D$31,L62:L74)+SUMIF($O$62:$O$74,Lister!$D$32,L62:L74)-SUMIFS(L62:L74,$O$62:$O$74,Lister!$D$31,$A$62:$A$74,Lister!$M$9)-SUMIFS(L62:L74,$O$62:$O$74,Lister!$D$32,$A$62:$A$74,Lister!$M$9)</f>
        <v>0</v>
      </c>
      <c r="AC97" s="138">
        <f t="shared" si="104"/>
        <v>0</v>
      </c>
      <c r="AF97" s="71"/>
      <c r="AG97" s="71"/>
      <c r="AH97" s="71"/>
      <c r="AI97" s="71"/>
      <c r="AJ97" s="71"/>
      <c r="AK97" s="71"/>
      <c r="AL97" s="71"/>
      <c r="AM97" s="71"/>
      <c r="AN97" s="71"/>
      <c r="AO97" s="71"/>
      <c r="AP97" s="71"/>
      <c r="AQ97" s="71"/>
      <c r="AR97" s="71"/>
      <c r="AS97" s="71"/>
      <c r="AT97" s="71"/>
      <c r="AU97" s="71"/>
      <c r="AV97" s="71"/>
      <c r="AW97" s="71"/>
      <c r="AX97" s="71"/>
      <c r="AY97" s="71"/>
      <c r="AZ97" s="71"/>
      <c r="BA97" s="71"/>
      <c r="BB97" s="71"/>
      <c r="BC97" s="71"/>
      <c r="BD97" s="71"/>
      <c r="BE97" s="71"/>
      <c r="BF97" s="71"/>
      <c r="BG97" s="71"/>
      <c r="BH97" s="71"/>
      <c r="BI97" s="71"/>
      <c r="BJ97" s="71"/>
    </row>
    <row r="98" spans="14:62" s="9" customFormat="1" ht="14.25" customHeight="1">
      <c r="N98" s="70"/>
      <c r="O98" s="85"/>
      <c r="P98" s="85"/>
      <c r="Q98" s="149" t="s">
        <v>78</v>
      </c>
      <c r="R98" s="312">
        <f t="shared" si="103"/>
        <v>0</v>
      </c>
      <c r="S98" s="313">
        <f>+S97+S96</f>
        <v>0</v>
      </c>
      <c r="T98" s="329">
        <f t="shared" ref="T98:Z98" si="106">+T97+T96</f>
        <v>0</v>
      </c>
      <c r="U98" s="329">
        <f t="shared" si="106"/>
        <v>0</v>
      </c>
      <c r="V98" s="329">
        <f t="shared" si="106"/>
        <v>0</v>
      </c>
      <c r="W98" s="329">
        <f t="shared" si="106"/>
        <v>0</v>
      </c>
      <c r="X98" s="330">
        <f t="shared" si="106"/>
        <v>0</v>
      </c>
      <c r="Y98" s="146">
        <f t="shared" si="106"/>
        <v>0</v>
      </c>
      <c r="Z98" s="145">
        <f t="shared" si="106"/>
        <v>0</v>
      </c>
      <c r="AA98" s="145">
        <f>+AA97+AA96</f>
        <v>0</v>
      </c>
      <c r="AB98" s="145">
        <f>+AB97+AB96</f>
        <v>0</v>
      </c>
      <c r="AC98" s="138">
        <f t="shared" si="104"/>
        <v>0</v>
      </c>
      <c r="AF98" s="71"/>
      <c r="AG98" s="71"/>
      <c r="AH98" s="71"/>
      <c r="AI98" s="70"/>
      <c r="AJ98" s="70"/>
      <c r="AK98" s="70"/>
      <c r="AL98" s="70"/>
      <c r="AM98" s="70"/>
      <c r="AN98" s="70"/>
      <c r="AO98" s="70"/>
      <c r="AP98" s="70"/>
      <c r="AQ98" s="70"/>
      <c r="AR98" s="70"/>
      <c r="AS98" s="70"/>
      <c r="AT98" s="70"/>
      <c r="AU98" s="70"/>
      <c r="AV98" s="70"/>
      <c r="AW98" s="70"/>
      <c r="AX98" s="70"/>
      <c r="AY98" s="70"/>
      <c r="AZ98" s="70"/>
      <c r="BA98" s="70"/>
      <c r="BB98" s="70"/>
      <c r="BC98" s="70"/>
      <c r="BD98" s="70"/>
      <c r="BE98" s="70"/>
      <c r="BF98" s="70"/>
      <c r="BG98" s="70"/>
      <c r="BH98" s="70"/>
      <c r="BI98" s="70"/>
      <c r="BJ98" s="70"/>
    </row>
    <row r="99" spans="14:62" s="9" customFormat="1" ht="14.25" customHeight="1">
      <c r="N99" s="79"/>
      <c r="O99" s="90"/>
      <c r="P99" s="90"/>
      <c r="Q99" s="150" t="s">
        <v>0</v>
      </c>
      <c r="R99" s="312">
        <f t="shared" si="103"/>
        <v>0</v>
      </c>
      <c r="S99" s="153">
        <f>IF($C$12=2,S96*$C$6/100,
IF($G$6=Lister!$D$4,S96*$C$6/100,
IF($G$6=Lister!$D$5,S98*$C$6/100,
IF($G$6=Lister!$D$6,(S98-SUMIFS(C62:C74,$O$62:$O$74,Lister!$D$31,$A$62:$A$74,Lister!$M$10)-SUMIFS(C62:C74,$O$62:$O$74,Lister!$D$32,$A$62:$A$74,Lister!$M$10))*$C$6/100,
IF($G$6=Lister!$D$7,(S98-SUMIFS(C62:C74,$O$62:$O$74,Lister!$D$31,$A$62:$A$74,Lister!$M$10)-SUMIFS(C62:C74,$O$62:$O$74,Lister!$D$32,$A$62:$A$74,Lister!$M$10)-SUMIFS(C62:C74,$O$62:$O$74,Lister!$D$31,$A$62:$A$74,Lister!$M$7)-SUMIFS(C62:C74,$O$62:$O$74,Lister!$D$32,$A$62:$A$74,Lister!$M$7))*$C$6/100,
IF($G$6=Lister!$D$8,(S98+S100)*$C$6/100,
IF($G$6=Lister!$D$9,S97*$C$6/100,0)))))))</f>
        <v>0</v>
      </c>
      <c r="T99" s="323">
        <f>IF($C$12=2,T96*$C$6/100,
IF($G$6=Lister!$D$4,T96*$C$6/100,
IF($G$6=Lister!$D$5,T98*$C$6/100,
IF($G$6=Lister!$D$6,(T98-SUMIFS(D62:D74,$O$62:$O$74,Lister!$D$31,$A$62:$A$74,Lister!$M$10)-SUMIFS(D62:D74,$O$62:$O$74,Lister!$D$32,$A$62:$A$74,Lister!$M$10))*$C$6/100,
IF($G$6=Lister!$D$7,(T98-SUMIFS(D62:D74,$O$62:$O$74,Lister!$D$31,$A$62:$A$74,Lister!$M$10)-SUMIFS(D62:D74,$O$62:$O$74,Lister!$D$32,$A$62:$A$74,Lister!$M$10)-SUMIFS(D62:D74,$O$62:$O$74,Lister!$D$31,$A$62:$A$74,Lister!$M$7)-SUMIFS(D62:D74,$O$62:$O$74,Lister!$D$32,$A$62:$A$74,Lister!$M$7))*$C$6/100,
IF($G$6=Lister!$D$8,(T98+T100)*$C$6/100,
IF($G$6=Lister!$D$9,T97*$C$6/100,0)))))))</f>
        <v>0</v>
      </c>
      <c r="U99" s="323">
        <f>IF($C$12=2,U96*$C$6/100,
IF($G$6=Lister!$D$4,U96*$C$6/100,
IF($G$6=Lister!$D$5,U98*$C$6/100,
IF($G$6=Lister!$D$6,(U98-SUMIFS(E62:E74,$O$62:$O$74,Lister!$D$31,$A$62:$A$74,Lister!$M$10)-SUMIFS(E62:E74,$O$62:$O$74,Lister!$D$32,$A$62:$A$74,Lister!$M$10))*$C$6/100,
IF($G$6=Lister!$D$7,(U98-SUMIFS(E62:E74,$O$62:$O$74,Lister!$D$31,$A$62:$A$74,Lister!$M$10)-SUMIFS(E62:E74,$O$62:$O$74,Lister!$D$32,$A$62:$A$74,Lister!$M$10)-SUMIFS(E62:E74,$O$62:$O$74,Lister!$D$31,$A$62:$A$74,Lister!$M$7)-SUMIFS(E62:E74,$O$62:$O$74,Lister!$D$32,$A$62:$A$74,Lister!$M$7))*$C$6/100,
IF($G$6=Lister!$D$8,(U98+U100)*$C$6/100,
IF($G$6=Lister!$D$9,U97*$C$6/100,0)))))))</f>
        <v>0</v>
      </c>
      <c r="V99" s="323">
        <f>IF($C$12=2,V96*$C$6/100,
IF($G$6=Lister!$D$4,V96*$C$6/100,
IF($G$6=Lister!$D$5,V98*$C$6/100,
IF($G$6=Lister!$D$6,(V98-SUMIFS(F62:F74,$O$62:$O$74,Lister!$D$31,$A$62:$A$74,Lister!$M$10)-SUMIFS(F62:F74,$O$62:$O$74,Lister!$D$32,$A$62:$A$74,Lister!$M$10))*$C$6/100,
IF($G$6=Lister!$D$7,(V98-SUMIFS(F62:F74,$O$62:$O$74,Lister!$D$31,$A$62:$A$74,Lister!$M$10)-SUMIFS(F62:F74,$O$62:$O$74,Lister!$D$32,$A$62:$A$74,Lister!$M$10)-SUMIFS(F62:F74,$O$62:$O$74,Lister!$D$31,$A$62:$A$74,Lister!$M$7)-SUMIFS(F62:F74,$O$62:$O$74,Lister!$D$32,$A$62:$A$74,Lister!$M$7))*$C$6/100,
IF($G$6=Lister!$D$8,(V98+V100)*$C$6/100,
IF($G$6=Lister!$D$9,V97*$C$6/100,0)))))))</f>
        <v>0</v>
      </c>
      <c r="W99" s="323">
        <f>IF($C$12=2,W96*$C$6/100,
IF($G$6=Lister!$D$4,W96*$C$6/100,
IF($G$6=Lister!$D$5,W98*$C$6/100,
IF($G$6=Lister!$D$6,(W98-SUMIFS(G62:G74,$O$62:$O$74,Lister!$D$31,$A$62:$A$74,Lister!$M$10)-SUMIFS(G62:G74,$O$62:$O$74,Lister!$D$32,$A$62:$A$74,Lister!$M$10))*$C$6/100,
IF($G$6=Lister!$D$7,(W98-SUMIFS(G62:G74,$O$62:$O$74,Lister!$D$31,$A$62:$A$74,Lister!$M$10)-SUMIFS(G62:G74,$O$62:$O$74,Lister!$D$32,$A$62:$A$74,Lister!$M$10)-SUMIFS(G62:G74,$O$62:$O$74,Lister!$D$31,$A$62:$A$74,Lister!$M$7)-SUMIFS(G62:G74,$O$62:$O$74,Lister!$D$32,$A$62:$A$74,Lister!$M$7))*$C$6/100,
IF($G$6=Lister!$D$8,(W98+W100)*$C$6/100,
IF($G$6=Lister!$D$9,W97*$C$6/100,0)))))))</f>
        <v>0</v>
      </c>
      <c r="X99" s="324">
        <f>IF($C$12=2,X96*$C$6/100,
IF($G$6=Lister!$D$4,X96*$C$6/100,
IF($G$6=Lister!$D$5,X98*$C$6/100,
IF($G$6=Lister!$D$6,(X98-SUMIFS(H62:H74,$O$62:$O$74,Lister!$D$31,$A$62:$A$74,Lister!$M$10)-SUMIFS(H62:H74,$O$62:$O$74,Lister!$D$32,$A$62:$A$74,Lister!$M$10))*$C$6/100,
IF($G$6=Lister!$D$7,(X98-SUMIFS(H62:H74,$O$62:$O$74,Lister!$D$31,$A$62:$A$74,Lister!$M$10)-SUMIFS(H62:H74,$O$62:$O$74,Lister!$D$32,$A$62:$A$74,Lister!$M$10)-SUMIFS(H62:H74,$O$62:$O$74,Lister!$D$31,$A$62:$A$74,Lister!$M$7)-SUMIFS(H62:H74,$O$62:$O$74,Lister!$D$32,$A$62:$A$74,Lister!$M$7))*$C$6/100,
IF($G$6=Lister!$D$8,(X98+X100)*$C$6/100,
IF($G$6=Lister!$D$9,X97*$C$6/100,0)))))))</f>
        <v>0</v>
      </c>
      <c r="Y99" s="205">
        <f>IF($C$12=2,Y96*$C$6/100,
IF($G$6=Lister!$D$4,Y96*$C$6/100,
IF($G$6=Lister!$D$5,Y98*$C$6/100,
IF($G$6=Lister!$D$6,(Y98-SUMIFS(I62:I74,$O$62:$O$74,Lister!$D$31,$A$62:$A$74,Lister!$M$10)-SUMIFS(I62:I74,$O$62:$O$74,Lister!$D$32,$A$62:$A$74,Lister!$M$10))*$C$6/100,
IF($G$6=Lister!$D$7,(Y98-SUMIFS(I62:I74,$O$62:$O$74,Lister!$D$31,$A$62:$A$74,Lister!$M$10)-SUMIFS(I62:I74,$O$62:$O$74,Lister!$D$32,$A$62:$A$74,Lister!$M$10)-SUMIFS(I62:I74,$O$62:$O$74,Lister!$D$31,$A$62:$A$74,Lister!$M$7)-SUMIFS(I62:I74,$O$62:$O$74,Lister!$D$32,$A$62:$A$74,Lister!$M$7))*$C$6/100,
IF($G$6=Lister!$D$8,(Y98+Y100)*$C$6/100,
IF($G$6=Lister!$D$9,Y97*$C$6/100,0)))))))</f>
        <v>0</v>
      </c>
      <c r="Z99" s="204">
        <f>IF($C$12=2,Z96*$C$6/100,
IF($G$6=Lister!$D$4,Z96*$C$6/100,
IF($G$6=Lister!$D$5,Z98*$C$6/100,
IF($G$6=Lister!$D$6,(Z98-SUMIFS(J62:J74,$O$62:$O$74,Lister!$D$31,$A$62:$A$74,Lister!$M$10)-SUMIFS(J62:J74,$O$62:$O$74,Lister!$D$32,$A$62:$A$74,Lister!$M$10))*$C$6/100,
IF($G$6=Lister!$D$7,(Z98-SUMIFS(J62:J74,$O$62:$O$74,Lister!$D$31,$A$62:$A$74,Lister!$M$10)-SUMIFS(J62:J74,$O$62:$O$74,Lister!$D$32,$A$62:$A$74,Lister!$M$10)-SUMIFS(J62:J74,$O$62:$O$74,Lister!$D$31,$A$62:$A$74,Lister!$M$7)-SUMIFS(J62:J74,$O$62:$O$74,Lister!$D$32,$A$62:$A$74,Lister!$M$7))*$C$6/100,
IF($G$6=Lister!$D$8,(Z98+Z100)*$C$6/100,
IF($G$6=Lister!$D$9,Z97*$C$6/100,0)))))))</f>
        <v>0</v>
      </c>
      <c r="AA99" s="204">
        <f>IF($C$12=2,AA96*$C$6/100,
IF($G$6=Lister!$D$4,AA96*$C$6/100,
IF($G$6=Lister!$D$5,AA98*$C$6/100,
IF($G$6=Lister!$D$6,(AA98-SUMIFS(K62:K74,$O$62:$O$74,Lister!$D$31,$A$62:$A$74,Lister!$M$10)-SUMIFS(K62:K74,$O$62:$O$74,Lister!$D$32,$A$62:$A$74,Lister!$M$10))*$C$6/100,
IF($G$6=Lister!$D$7,(AA98-SUMIFS(K62:K74,$O$62:$O$74,Lister!$D$31,$A$62:$A$74,Lister!$M$10)-SUMIFS(K62:K74,$O$62:$O$74,Lister!$D$32,$A$62:$A$74,Lister!$M$10)-SUMIFS(K62:K74,$O$62:$O$74,Lister!$D$31,$A$62:$A$74,Lister!$M$7)-SUMIFS(K62:K74,$O$62:$O$74,Lister!$D$32,$A$62:$A$74,Lister!$M$7))*$C$6/100,
IF($G$6=Lister!$D$8,(AA98+AA100)*$C$6/100,
IF($G$6=Lister!$D$9,AA97*$C$6/100,0)))))))</f>
        <v>0</v>
      </c>
      <c r="AB99" s="204">
        <f>IF($C$12=2,AB96*$C$6/100,
IF($G$6=Lister!$D$4,AB96*$C$6/100,
IF($G$6=Lister!$D$5,AB98*$C$6/100,
IF($G$6=Lister!$D$6,(AB98-SUMIFS(L62:L74,$O$62:$O$74,Lister!$D$31,$A$62:$A$74,Lister!$M$10)-SUMIFS(L62:L74,$O$62:$O$74,Lister!$D$32,$A$62:$A$74,Lister!$M$10))*$C$6/100,
IF($G$6=Lister!$D$7,(AB98-SUMIFS(L62:L74,$O$62:$O$74,Lister!$D$31,$A$62:$A$74,Lister!$M$10)-SUMIFS(L62:L74,$O$62:$O$74,Lister!$D$32,$A$62:$A$74,Lister!$M$10)-SUMIFS(L62:L74,$O$62:$O$74,Lister!$D$31,$A$62:$A$74,Lister!$M$7)-SUMIFS(L62:L74,$O$62:$O$74,Lister!$D$32,$A$62:$A$74,Lister!$M$7))*$C$6/100,
IF($G$6=Lister!$D$8,(AB98+AB100)*$C$6/100,
IF($G$6=Lister!$D$9,AB97*$C$6/100,0)))))))</f>
        <v>0</v>
      </c>
      <c r="AC99" s="138">
        <f t="shared" si="104"/>
        <v>0</v>
      </c>
      <c r="AF99" s="71"/>
      <c r="AG99" s="71"/>
      <c r="AH99" s="71"/>
      <c r="AI99" s="79"/>
      <c r="AJ99" s="79"/>
      <c r="AK99" s="79"/>
      <c r="AL99" s="79"/>
      <c r="AM99" s="79"/>
      <c r="AN99" s="79"/>
      <c r="AO99" s="79"/>
      <c r="AP99" s="79"/>
      <c r="AQ99" s="79"/>
      <c r="AR99" s="79"/>
      <c r="AS99" s="79"/>
      <c r="AT99" s="79"/>
      <c r="AU99" s="79"/>
      <c r="AV99" s="79"/>
      <c r="AW99" s="79"/>
      <c r="AX99" s="79"/>
      <c r="AY99" s="79"/>
      <c r="AZ99" s="79"/>
      <c r="BA99" s="79"/>
      <c r="BB99" s="79"/>
      <c r="BC99" s="79"/>
      <c r="BD99" s="79"/>
      <c r="BE99" s="79"/>
      <c r="BF99" s="79"/>
      <c r="BG99" s="79"/>
      <c r="BH99" s="79"/>
      <c r="BI99" s="79"/>
      <c r="BJ99" s="79"/>
    </row>
    <row r="100" spans="14:62" s="9" customFormat="1" ht="14.25" customHeight="1">
      <c r="N100" s="71"/>
      <c r="O100" s="87"/>
      <c r="P100" s="87"/>
      <c r="Q100" s="151" t="s">
        <v>103</v>
      </c>
      <c r="R100" s="312">
        <f t="shared" si="103"/>
        <v>0</v>
      </c>
      <c r="S100" s="153">
        <f>+IF($C$8=Lister!$O$5,(SUMIF($O$20:$O$29,Lister!$D$31,C20:C29)+SUMIF($O$20:$O$29,Lister!$D$32,C20:C29))*Takstblad!C$84,0)</f>
        <v>0</v>
      </c>
      <c r="T100" s="153">
        <f>+IF($C$8=Lister!$O$5,(SUMIF($O$20:$O$29,Lister!$D$31,D20:D29)+SUMIF($O$20:$O$29,Lister!$D$32,D20:D29))*Takstblad!D$84,0)</f>
        <v>0</v>
      </c>
      <c r="U100" s="153">
        <f>+IF($C$8=Lister!$O$5,(SUMIF($O$20:$O$29,Lister!$D$31,E20:E29)+SUMIF($O$20:$O$29,Lister!$D$32,E20:E29))*Takstblad!E$84,0)</f>
        <v>0</v>
      </c>
      <c r="V100" s="153">
        <f>+IF($C$8=Lister!$O$5,(SUMIF($O$20:$O$29,Lister!$D$31,F20:F29)+SUMIF($O$20:$O$29,Lister!$D$32,F20:F29))*Takstblad!F$84,0)</f>
        <v>0</v>
      </c>
      <c r="W100" s="153">
        <f>+IF($C$8=Lister!$O$5,(SUMIF($O$20:$O$29,Lister!$D$31,G20:G29)+SUMIF($O$20:$O$29,Lister!$D$32,G20:G29))*Takstblad!G$84,0)</f>
        <v>0</v>
      </c>
      <c r="X100" s="300">
        <f>+IF($C$8=Lister!$O$5,(SUMIF($O$20:$O$29,Lister!$D$31,H20:H29)+SUMIF($O$20:$O$29,Lister!$D$32,H20:H29))*Takstblad!H$84,0)</f>
        <v>0</v>
      </c>
      <c r="Y100" s="110">
        <f>+IF($C$8=Lister!$O$5,(SUMIF($O$20:$O$29,Lister!$D$31,I20:I29)+SUMIF($O$20:$O$29,Lister!$D$32,I20:I29))*Takstblad!I$84,0)</f>
        <v>0</v>
      </c>
      <c r="Z100" s="21">
        <f>+IF($C$8=Lister!$O$5,(SUMIF($O$20:$O$29,Lister!$D$31,J20:J29)+SUMIF($O$20:$O$29,Lister!$D$32,J20:J29))*Takstblad!J$84,0)</f>
        <v>0</v>
      </c>
      <c r="AA100" s="21">
        <f>+IF($C$8=Lister!$O$5,(SUMIF($O$20:$O$29,Lister!$D$31,K20:K29)+SUMIF($O$20:$O$29,Lister!$D$32,K20:K29))*Takstblad!K$84,0)</f>
        <v>0</v>
      </c>
      <c r="AB100" s="21">
        <f>+IF($C$8=Lister!$O$5,(SUMIF($O$20:$O$29,Lister!$D$31,L20:L29)+SUMIF($O$20:$O$29,Lister!$D$32,L20:L29))*Takstblad!L$84,0)</f>
        <v>0</v>
      </c>
      <c r="AC100" s="138">
        <f t="shared" si="104"/>
        <v>0</v>
      </c>
      <c r="AF100" s="70"/>
      <c r="AG100" s="70"/>
      <c r="AH100" s="70"/>
      <c r="AI100" s="71"/>
      <c r="AJ100" s="71"/>
      <c r="AK100" s="71"/>
      <c r="AL100" s="71"/>
      <c r="AM100" s="71"/>
      <c r="AN100" s="71"/>
      <c r="AO100" s="71"/>
      <c r="AP100" s="71"/>
      <c r="AQ100" s="71"/>
      <c r="AR100" s="71"/>
      <c r="AS100" s="71"/>
      <c r="AT100" s="71"/>
      <c r="AU100" s="71"/>
      <c r="AV100" s="71"/>
      <c r="AW100" s="71"/>
      <c r="AX100" s="71"/>
      <c r="AY100" s="71"/>
      <c r="AZ100" s="71"/>
      <c r="BA100" s="71"/>
      <c r="BB100" s="71"/>
      <c r="BC100" s="71"/>
      <c r="BD100" s="71"/>
      <c r="BE100" s="71"/>
      <c r="BF100" s="71"/>
      <c r="BG100" s="71"/>
      <c r="BH100" s="71"/>
      <c r="BI100" s="71"/>
      <c r="BJ100" s="71"/>
    </row>
    <row r="101" spans="14:62" s="9" customFormat="1" ht="14.25" customHeight="1">
      <c r="N101" s="71"/>
      <c r="O101" s="87"/>
      <c r="P101" s="87"/>
      <c r="Q101" s="151" t="s">
        <v>108</v>
      </c>
      <c r="R101" s="312">
        <f t="shared" si="103"/>
        <v>0</v>
      </c>
      <c r="S101" s="153"/>
      <c r="T101" s="155"/>
      <c r="U101" s="155"/>
      <c r="V101" s="155"/>
      <c r="W101" s="155"/>
      <c r="X101" s="308"/>
      <c r="Y101" s="114"/>
      <c r="Z101" s="115"/>
      <c r="AA101" s="115"/>
      <c r="AB101" s="115"/>
      <c r="AC101" s="138">
        <f t="shared" si="104"/>
        <v>0</v>
      </c>
      <c r="AF101" s="79"/>
      <c r="AG101" s="79"/>
      <c r="AH101" s="79"/>
      <c r="AI101" s="71"/>
      <c r="AJ101" s="71"/>
      <c r="AK101" s="71"/>
      <c r="AL101" s="71"/>
      <c r="AM101" s="71"/>
      <c r="AN101" s="71"/>
      <c r="AO101" s="71"/>
      <c r="AP101" s="71"/>
      <c r="AQ101" s="71"/>
      <c r="AR101" s="71"/>
      <c r="AS101" s="71"/>
      <c r="AT101" s="71"/>
      <c r="AU101" s="71"/>
      <c r="AV101" s="71"/>
      <c r="AW101" s="71"/>
      <c r="AX101" s="71"/>
      <c r="AY101" s="71"/>
      <c r="AZ101" s="71"/>
      <c r="BA101" s="71"/>
      <c r="BB101" s="71"/>
      <c r="BC101" s="71"/>
      <c r="BD101" s="71"/>
      <c r="BE101" s="71"/>
      <c r="BF101" s="71"/>
      <c r="BG101" s="71"/>
      <c r="BH101" s="71"/>
      <c r="BI101" s="71"/>
      <c r="BJ101" s="71"/>
    </row>
    <row r="102" spans="14:62" s="9" customFormat="1" ht="14.25" customHeight="1">
      <c r="N102" s="71"/>
      <c r="O102" s="87"/>
      <c r="P102" s="87"/>
      <c r="Q102" s="150" t="s">
        <v>531</v>
      </c>
      <c r="R102" s="312">
        <f t="shared" si="103"/>
        <v>0</v>
      </c>
      <c r="S102" s="153" t="str">
        <f>IF($C$12=2,(SUM(S98:S101)*$C$13)/100,"0")</f>
        <v>0</v>
      </c>
      <c r="T102" s="155" t="str">
        <f t="shared" ref="T102:Z102" si="107">IF($C$12=2,(SUM(T98:T101)*$C$13)/100,"0")</f>
        <v>0</v>
      </c>
      <c r="U102" s="155" t="str">
        <f t="shared" si="107"/>
        <v>0</v>
      </c>
      <c r="V102" s="155" t="str">
        <f t="shared" si="107"/>
        <v>0</v>
      </c>
      <c r="W102" s="155" t="str">
        <f t="shared" si="107"/>
        <v>0</v>
      </c>
      <c r="X102" s="308" t="str">
        <f t="shared" si="107"/>
        <v>0</v>
      </c>
      <c r="Y102" s="156" t="str">
        <f t="shared" si="107"/>
        <v>0</v>
      </c>
      <c r="Z102" s="155" t="str">
        <f t="shared" si="107"/>
        <v>0</v>
      </c>
      <c r="AA102" s="155" t="str">
        <f>IF($C$12=2,(SUM(AA98:AA101)*$C$13)/100,"0")</f>
        <v>0</v>
      </c>
      <c r="AB102" s="155" t="str">
        <f>IF($C$12=2,(SUM(AB98:AB101)*$C$13)/100,"0")</f>
        <v>0</v>
      </c>
      <c r="AC102" s="138">
        <f t="shared" si="104"/>
        <v>0</v>
      </c>
      <c r="AF102" s="71"/>
      <c r="AG102" s="71"/>
      <c r="AH102" s="71"/>
      <c r="AI102" s="71"/>
      <c r="AJ102" s="71"/>
      <c r="AK102" s="71"/>
      <c r="AL102" s="71"/>
      <c r="AM102" s="71"/>
      <c r="AN102" s="71"/>
      <c r="AO102" s="71"/>
      <c r="AP102" s="71"/>
      <c r="AQ102" s="71"/>
      <c r="AR102" s="71"/>
      <c r="AS102" s="71"/>
      <c r="AT102" s="71"/>
      <c r="AU102" s="71"/>
      <c r="AV102" s="71"/>
      <c r="AW102" s="71"/>
      <c r="AX102" s="71"/>
      <c r="AY102" s="71"/>
      <c r="AZ102" s="71"/>
      <c r="BA102" s="71"/>
      <c r="BB102" s="71"/>
      <c r="BC102" s="71"/>
      <c r="BD102" s="71"/>
      <c r="BE102" s="71"/>
      <c r="BF102" s="71"/>
      <c r="BG102" s="71"/>
      <c r="BH102" s="71"/>
      <c r="BI102" s="71"/>
      <c r="BJ102" s="71"/>
    </row>
    <row r="103" spans="14:62" s="9" customFormat="1" ht="14.25" customHeight="1">
      <c r="N103" s="71"/>
      <c r="O103" s="87"/>
      <c r="P103" s="87"/>
      <c r="Q103" s="149" t="s">
        <v>101</v>
      </c>
      <c r="R103" s="312">
        <f t="shared" si="103"/>
        <v>0</v>
      </c>
      <c r="S103" s="313">
        <f>+SUM(S98:S102)</f>
        <v>0</v>
      </c>
      <c r="T103" s="313">
        <f t="shared" ref="T103:Z103" si="108">+SUM(T98:T102)</f>
        <v>0</v>
      </c>
      <c r="U103" s="313">
        <f t="shared" si="108"/>
        <v>0</v>
      </c>
      <c r="V103" s="313">
        <f t="shared" si="108"/>
        <v>0</v>
      </c>
      <c r="W103" s="313">
        <f t="shared" si="108"/>
        <v>0</v>
      </c>
      <c r="X103" s="314">
        <f t="shared" si="108"/>
        <v>0</v>
      </c>
      <c r="Y103" s="296">
        <f t="shared" si="108"/>
        <v>0</v>
      </c>
      <c r="Z103" s="137">
        <f t="shared" si="108"/>
        <v>0</v>
      </c>
      <c r="AA103" s="137">
        <f>+SUM(AA98:AA102)</f>
        <v>0</v>
      </c>
      <c r="AB103" s="137">
        <f>+SUM(AB98:AB102)</f>
        <v>0</v>
      </c>
      <c r="AC103" s="138">
        <f t="shared" si="104"/>
        <v>0</v>
      </c>
      <c r="AD103" s="71"/>
      <c r="AE103" s="71"/>
      <c r="AF103" s="71"/>
      <c r="AG103" s="71"/>
      <c r="AH103" s="71"/>
      <c r="AI103" s="71"/>
      <c r="AJ103" s="71"/>
      <c r="AK103" s="71"/>
      <c r="AL103" s="71"/>
      <c r="AM103" s="71"/>
      <c r="AN103" s="71"/>
      <c r="AO103" s="71"/>
      <c r="AP103" s="71"/>
      <c r="AQ103" s="71"/>
      <c r="AR103" s="71"/>
      <c r="AS103" s="71"/>
      <c r="AT103" s="71"/>
      <c r="AU103" s="71"/>
      <c r="AV103" s="71"/>
      <c r="AW103" s="71"/>
      <c r="AX103" s="71"/>
      <c r="AY103" s="71"/>
      <c r="AZ103" s="71"/>
      <c r="BA103" s="71"/>
      <c r="BB103" s="71"/>
      <c r="BC103" s="71"/>
      <c r="BD103" s="71"/>
      <c r="BE103" s="71"/>
      <c r="BF103" s="71"/>
      <c r="BG103" s="71"/>
      <c r="BH103" s="71"/>
      <c r="BI103" s="71"/>
      <c r="BJ103" s="71"/>
    </row>
    <row r="104" spans="14:62" s="9" customFormat="1" ht="14.25" customHeight="1">
      <c r="N104" s="71"/>
      <c r="O104" s="87"/>
      <c r="P104" s="87"/>
      <c r="Q104" s="227"/>
      <c r="R104" s="228"/>
      <c r="S104" s="23"/>
      <c r="X104" s="228"/>
      <c r="AC104" s="228"/>
      <c r="AD104" s="71"/>
      <c r="AE104" s="71"/>
      <c r="AF104" s="71"/>
      <c r="AG104" s="71"/>
      <c r="AH104" s="71"/>
      <c r="AI104" s="71"/>
      <c r="AJ104" s="71"/>
      <c r="AK104" s="71"/>
      <c r="AL104" s="71"/>
      <c r="AM104" s="71"/>
      <c r="AN104" s="71"/>
      <c r="AO104" s="71"/>
      <c r="AP104" s="71"/>
      <c r="AQ104" s="71"/>
      <c r="AR104" s="71"/>
      <c r="AS104" s="71"/>
      <c r="AT104" s="71"/>
      <c r="AU104" s="71"/>
      <c r="AV104" s="71"/>
      <c r="AW104" s="71"/>
      <c r="AX104" s="71"/>
      <c r="AY104" s="71"/>
      <c r="AZ104" s="71"/>
      <c r="BA104" s="71"/>
      <c r="BB104" s="71"/>
      <c r="BC104" s="71"/>
      <c r="BD104" s="71"/>
      <c r="BE104" s="71"/>
      <c r="BF104" s="71"/>
      <c r="BG104" s="71"/>
      <c r="BH104" s="71"/>
      <c r="BI104" s="71"/>
      <c r="BJ104" s="71"/>
    </row>
    <row r="105" spans="14:62" s="9" customFormat="1" ht="14.25" customHeight="1">
      <c r="N105" s="71"/>
      <c r="O105" s="87"/>
      <c r="P105" s="87"/>
      <c r="Q105" s="130" t="s">
        <v>152</v>
      </c>
      <c r="R105" s="131"/>
      <c r="S105" s="230"/>
      <c r="T105" s="136"/>
      <c r="U105" s="136"/>
      <c r="V105" s="136"/>
      <c r="W105" s="136"/>
      <c r="X105" s="305"/>
      <c r="Y105" s="136"/>
      <c r="Z105" s="136"/>
      <c r="AA105" s="136"/>
      <c r="AB105" s="136"/>
      <c r="AC105" s="131"/>
      <c r="AD105" s="71"/>
      <c r="AE105" s="71"/>
      <c r="AF105" s="71"/>
      <c r="AG105" s="71"/>
      <c r="AH105" s="71"/>
      <c r="AI105" s="71"/>
      <c r="AJ105" s="71"/>
      <c r="AK105" s="71"/>
      <c r="AL105" s="71"/>
      <c r="AM105" s="71"/>
      <c r="AN105" s="71"/>
      <c r="AO105" s="71"/>
      <c r="AP105" s="71"/>
      <c r="AQ105" s="71"/>
      <c r="AR105" s="71"/>
      <c r="AS105" s="71"/>
      <c r="AT105" s="71"/>
      <c r="AU105" s="71"/>
      <c r="AV105" s="71"/>
      <c r="AW105" s="71"/>
      <c r="AX105" s="71"/>
      <c r="AY105" s="71"/>
      <c r="AZ105" s="71"/>
      <c r="BA105" s="71"/>
      <c r="BB105" s="71"/>
      <c r="BC105" s="71"/>
      <c r="BD105" s="71"/>
      <c r="BE105" s="71"/>
      <c r="BF105" s="71"/>
      <c r="BG105" s="71"/>
      <c r="BH105" s="71"/>
      <c r="BI105" s="71"/>
      <c r="BJ105" s="71"/>
    </row>
    <row r="106" spans="14:62" s="9" customFormat="1" ht="14.25" customHeight="1">
      <c r="N106" s="71"/>
      <c r="O106" s="87"/>
      <c r="P106" s="87"/>
      <c r="Q106" s="134"/>
      <c r="R106" s="133"/>
      <c r="S106" s="16"/>
      <c r="T106" s="76"/>
      <c r="U106" s="76"/>
      <c r="V106" s="76"/>
      <c r="W106" s="76"/>
      <c r="X106" s="133"/>
      <c r="Y106" s="76"/>
      <c r="Z106" s="76"/>
      <c r="AA106" s="76"/>
      <c r="AB106" s="76"/>
      <c r="AC106" s="133"/>
      <c r="AD106" s="71"/>
      <c r="AE106" s="71"/>
      <c r="AF106" s="71"/>
      <c r="AG106" s="71"/>
      <c r="AH106" s="71"/>
      <c r="AI106" s="71"/>
      <c r="AJ106" s="71"/>
      <c r="AK106" s="71"/>
      <c r="AL106" s="71"/>
      <c r="AM106" s="71"/>
      <c r="AN106" s="71"/>
      <c r="AO106" s="71"/>
      <c r="AP106" s="71"/>
      <c r="AQ106" s="71"/>
      <c r="AR106" s="71"/>
      <c r="AS106" s="71"/>
      <c r="AT106" s="71"/>
      <c r="AU106" s="71"/>
      <c r="AV106" s="71"/>
      <c r="AW106" s="71"/>
      <c r="AX106" s="71"/>
      <c r="AY106" s="71"/>
      <c r="AZ106" s="71"/>
      <c r="BA106" s="71"/>
      <c r="BB106" s="71"/>
      <c r="BC106" s="71"/>
      <c r="BD106" s="71"/>
      <c r="BE106" s="71"/>
      <c r="BF106" s="71"/>
      <c r="BG106" s="71"/>
      <c r="BH106" s="71"/>
      <c r="BI106" s="71"/>
      <c r="BJ106" s="71"/>
    </row>
    <row r="107" spans="14:62" s="9" customFormat="1" ht="14.25" customHeight="1">
      <c r="N107" s="71"/>
      <c r="O107" s="87"/>
      <c r="P107" s="87"/>
      <c r="Q107" s="152" t="s">
        <v>22</v>
      </c>
      <c r="R107" s="124" t="s">
        <v>34</v>
      </c>
      <c r="S107" s="45">
        <f>+S93</f>
        <v>2026</v>
      </c>
      <c r="T107" s="8">
        <f t="shared" ref="T107:Z107" si="109">+T93</f>
        <v>2027</v>
      </c>
      <c r="U107" s="8">
        <f t="shared" si="109"/>
        <v>2028</v>
      </c>
      <c r="V107" s="8">
        <f t="shared" si="109"/>
        <v>2029</v>
      </c>
      <c r="W107" s="8">
        <f t="shared" si="109"/>
        <v>2030</v>
      </c>
      <c r="X107" s="124">
        <f t="shared" si="109"/>
        <v>2031</v>
      </c>
      <c r="Y107" s="8">
        <f t="shared" si="109"/>
        <v>2032</v>
      </c>
      <c r="Z107" s="8">
        <f t="shared" si="109"/>
        <v>2033</v>
      </c>
      <c r="AA107" s="8">
        <f>+AA93</f>
        <v>2034</v>
      </c>
      <c r="AB107" s="8">
        <f>+AB93</f>
        <v>2035</v>
      </c>
      <c r="AC107" s="124" t="s">
        <v>34</v>
      </c>
      <c r="AD107" s="71"/>
      <c r="AE107" s="71"/>
      <c r="AF107" s="71"/>
      <c r="AG107" s="71"/>
      <c r="AH107" s="71"/>
      <c r="AI107" s="71"/>
      <c r="AJ107" s="71"/>
      <c r="AK107" s="71"/>
      <c r="AL107" s="71"/>
      <c r="AM107" s="71"/>
      <c r="AN107" s="71"/>
      <c r="AO107" s="71"/>
      <c r="AP107" s="71"/>
      <c r="AQ107" s="71"/>
      <c r="AR107" s="71"/>
      <c r="AS107" s="71"/>
      <c r="AT107" s="71"/>
      <c r="AU107" s="71"/>
      <c r="AV107" s="71"/>
      <c r="AW107" s="71"/>
      <c r="AX107" s="71"/>
      <c r="AY107" s="71"/>
      <c r="AZ107" s="71"/>
      <c r="BA107" s="71"/>
      <c r="BB107" s="71"/>
      <c r="BC107" s="71"/>
      <c r="BD107" s="71"/>
      <c r="BE107" s="71"/>
      <c r="BF107" s="71"/>
      <c r="BG107" s="71"/>
      <c r="BH107" s="71"/>
      <c r="BI107" s="71"/>
      <c r="BJ107" s="71"/>
    </row>
    <row r="108" spans="14:62" s="9" customFormat="1" ht="14.25" customHeight="1">
      <c r="N108" s="71"/>
      <c r="O108" s="87"/>
      <c r="P108" s="87"/>
      <c r="Q108" s="147" t="s">
        <v>74</v>
      </c>
      <c r="R108" s="315">
        <f t="shared" ref="R108:R117" si="110">+AC108</f>
        <v>0</v>
      </c>
      <c r="S108" s="316">
        <f>+SUMIF($O$20:$O$39,Lister!$D$30,S$20:S$39)</f>
        <v>0</v>
      </c>
      <c r="T108" s="316">
        <f>+SUMIF($O$20:$O$39,Lister!$D$30,T$20:T$39)</f>
        <v>0</v>
      </c>
      <c r="U108" s="316">
        <f>+SUMIF($O$20:$O$39,Lister!$D$30,U$20:U$39)</f>
        <v>0</v>
      </c>
      <c r="V108" s="316">
        <f>+SUMIF($O$20:$O$39,Lister!$D$30,V$20:V$39)</f>
        <v>0</v>
      </c>
      <c r="W108" s="316">
        <f>+SUMIF($O$20:$O$39,Lister!$D$30,W$20:W$39)</f>
        <v>0</v>
      </c>
      <c r="X108" s="316">
        <f>+SUMIF($O$20:$O$39,Lister!$D$30,X$20:X$39)</f>
        <v>0</v>
      </c>
      <c r="Y108" s="316">
        <f>+SUMIF($O$20:$O$39,Lister!$D$30,Y$20:Y$39)</f>
        <v>0</v>
      </c>
      <c r="Z108" s="316">
        <f>+SUMIF($O$20:$O$39,Lister!$D$30,Z$20:Z$39)</f>
        <v>0</v>
      </c>
      <c r="AA108" s="316">
        <f>+SUMIF($O$20:$O$39,Lister!$D$30,AA$20:AA$39)</f>
        <v>0</v>
      </c>
      <c r="AB108" s="316">
        <f>+SUMIF($O$20:$O$39,Lister!$D$30,AB$20:AB$39)</f>
        <v>0</v>
      </c>
      <c r="AC108" s="140">
        <f>SUM(S108:AB108)</f>
        <v>0</v>
      </c>
      <c r="AD108" s="71"/>
      <c r="AE108" s="71"/>
      <c r="AF108" s="71"/>
      <c r="AG108" s="71"/>
      <c r="AH108" s="71"/>
      <c r="AI108" s="71"/>
      <c r="AJ108" s="71"/>
      <c r="AK108" s="71"/>
      <c r="AL108" s="71"/>
      <c r="AM108" s="71"/>
      <c r="AN108" s="71"/>
      <c r="AO108" s="71"/>
      <c r="AP108" s="71"/>
      <c r="AQ108" s="71"/>
      <c r="AR108" s="71"/>
      <c r="AS108" s="71"/>
      <c r="AT108" s="71"/>
      <c r="AU108" s="71"/>
      <c r="AV108" s="71"/>
      <c r="AW108" s="71"/>
      <c r="AX108" s="71"/>
      <c r="AY108" s="71"/>
      <c r="AZ108" s="71"/>
      <c r="BA108" s="71"/>
      <c r="BB108" s="71"/>
      <c r="BC108" s="71"/>
      <c r="BD108" s="71"/>
      <c r="BE108" s="71"/>
      <c r="BF108" s="71"/>
      <c r="BG108" s="71"/>
      <c r="BH108" s="71"/>
      <c r="BI108" s="71"/>
      <c r="BJ108" s="71"/>
    </row>
    <row r="109" spans="14:62" s="9" customFormat="1" ht="14.25" customHeight="1">
      <c r="N109" s="71"/>
      <c r="O109" s="87"/>
      <c r="P109" s="87"/>
      <c r="Q109" s="148" t="s">
        <v>75</v>
      </c>
      <c r="R109" s="309">
        <f t="shared" si="110"/>
        <v>0</v>
      </c>
      <c r="S109" s="310">
        <f>+SUMIF($O$43:$O$55,Lister!$D$30,S$43:S$55)</f>
        <v>0</v>
      </c>
      <c r="T109" s="319">
        <f>+SUMIF($O$43:$O$55,Lister!$D$30,T$43:T$55)</f>
        <v>0</v>
      </c>
      <c r="U109" s="310">
        <f>+SUMIF($O$43:$O$55,Lister!$D$30,U$43:U$55)</f>
        <v>0</v>
      </c>
      <c r="V109" s="319">
        <f>+SUMIF($O$43:$O$55,Lister!$D$30,V$43:V$55)</f>
        <v>0</v>
      </c>
      <c r="W109" s="310">
        <f>+SUMIF($O$43:$O$55,Lister!$D$30,W$43:W$55)</f>
        <v>0</v>
      </c>
      <c r="X109" s="320">
        <f>+SUMIF($O$43:$O$55,Lister!$D$30,X$43:X$55)</f>
        <v>0</v>
      </c>
      <c r="Y109" s="295">
        <f>+SUMIF($O$43:$O$55,Lister!$D$30,Y$43:Y$55)</f>
        <v>0</v>
      </c>
      <c r="Z109" s="113">
        <f>+SUMIF($O$43:$O$55,Lister!$D$30,Z$43:Z$55)</f>
        <v>0</v>
      </c>
      <c r="AA109" s="113">
        <f>+SUMIF($O$43:$O$55,Lister!$D$30,AA$43:AA$55)</f>
        <v>0</v>
      </c>
      <c r="AB109" s="113">
        <f>+SUMIF($O$43:$O$55,Lister!$D$30,AB$43:AB$55)</f>
        <v>0</v>
      </c>
      <c r="AC109" s="141">
        <f t="shared" ref="AC109:AC117" si="111">SUM(S109:AB109)</f>
        <v>0</v>
      </c>
      <c r="AD109" s="71"/>
      <c r="AE109" s="71"/>
      <c r="AF109" s="71"/>
      <c r="AG109" s="71"/>
      <c r="AH109" s="71"/>
      <c r="AI109" s="71"/>
      <c r="AJ109" s="71"/>
      <c r="AK109" s="71"/>
      <c r="AL109" s="71"/>
      <c r="AM109" s="71"/>
      <c r="AN109" s="71"/>
      <c r="AO109" s="71"/>
      <c r="AP109" s="71"/>
      <c r="AQ109" s="71"/>
      <c r="AR109" s="71"/>
      <c r="AS109" s="71"/>
      <c r="AT109" s="71"/>
      <c r="AU109" s="71"/>
      <c r="AV109" s="71"/>
      <c r="AW109" s="71"/>
      <c r="AX109" s="71"/>
      <c r="AY109" s="71"/>
      <c r="AZ109" s="71"/>
      <c r="BA109" s="71"/>
      <c r="BB109" s="71"/>
      <c r="BC109" s="71"/>
      <c r="BD109" s="71"/>
      <c r="BE109" s="71"/>
      <c r="BF109" s="71"/>
      <c r="BG109" s="71"/>
      <c r="BH109" s="71"/>
      <c r="BI109" s="71"/>
      <c r="BJ109" s="71"/>
    </row>
    <row r="110" spans="14:62" s="9" customFormat="1" ht="14.25" customHeight="1">
      <c r="N110" s="71"/>
      <c r="O110" s="87"/>
      <c r="P110" s="87"/>
      <c r="Q110" s="149" t="s">
        <v>76</v>
      </c>
      <c r="R110" s="312">
        <f t="shared" si="110"/>
        <v>0</v>
      </c>
      <c r="S110" s="313">
        <f>+SUM(S108:S109)</f>
        <v>0</v>
      </c>
      <c r="T110" s="313">
        <f t="shared" ref="T110:Z110" si="112">+SUM(T108:T109)</f>
        <v>0</v>
      </c>
      <c r="U110" s="313">
        <f t="shared" si="112"/>
        <v>0</v>
      </c>
      <c r="V110" s="313">
        <f t="shared" si="112"/>
        <v>0</v>
      </c>
      <c r="W110" s="313">
        <f t="shared" si="112"/>
        <v>0</v>
      </c>
      <c r="X110" s="314">
        <f t="shared" si="112"/>
        <v>0</v>
      </c>
      <c r="Y110" s="142">
        <f t="shared" si="112"/>
        <v>0</v>
      </c>
      <c r="Z110" s="137">
        <f t="shared" si="112"/>
        <v>0</v>
      </c>
      <c r="AA110" s="137">
        <f>+SUM(AA108:AA109)</f>
        <v>0</v>
      </c>
      <c r="AB110" s="137">
        <f>+SUM(AB108:AB109)</f>
        <v>0</v>
      </c>
      <c r="AC110" s="138">
        <f t="shared" si="111"/>
        <v>0</v>
      </c>
      <c r="AD110" s="71"/>
      <c r="AE110" s="71"/>
      <c r="AF110" s="71"/>
      <c r="AG110" s="71"/>
      <c r="AH110" s="71"/>
      <c r="AI110" s="71"/>
      <c r="AJ110" s="71"/>
      <c r="AK110" s="71"/>
      <c r="AL110" s="71"/>
      <c r="AM110" s="71"/>
      <c r="AN110" s="71"/>
      <c r="AO110" s="71"/>
      <c r="AP110" s="71"/>
      <c r="AQ110" s="71"/>
      <c r="AR110" s="71"/>
      <c r="AS110" s="71"/>
      <c r="AT110" s="71"/>
      <c r="AU110" s="71"/>
      <c r="AV110" s="71"/>
      <c r="AW110" s="71"/>
      <c r="AX110" s="71"/>
      <c r="AY110" s="71"/>
      <c r="AZ110" s="71"/>
      <c r="BA110" s="71"/>
      <c r="BB110" s="71"/>
      <c r="BC110" s="71"/>
      <c r="BD110" s="71"/>
      <c r="BE110" s="71"/>
      <c r="BF110" s="71"/>
      <c r="BG110" s="71"/>
      <c r="BH110" s="71"/>
      <c r="BI110" s="71"/>
      <c r="BJ110" s="71"/>
    </row>
    <row r="111" spans="14:62" s="9" customFormat="1" ht="14.25" customHeight="1">
      <c r="N111" s="71"/>
      <c r="O111" s="87"/>
      <c r="P111" s="87"/>
      <c r="Q111" s="149" t="s">
        <v>77</v>
      </c>
      <c r="R111" s="312">
        <f t="shared" si="110"/>
        <v>0</v>
      </c>
      <c r="S111" s="313">
        <f>+SUMIF($O$62:$O$74,Lister!$D$30,C$62:C$74)</f>
        <v>0</v>
      </c>
      <c r="T111" s="327">
        <f>+SUMIF($O$62:$O$74,Lister!$D$30,D$62:D$74)</f>
        <v>0</v>
      </c>
      <c r="U111" s="327">
        <f>+SUMIF($O$62:$O$74,Lister!$D$30,E$62:E$74)</f>
        <v>0</v>
      </c>
      <c r="V111" s="327">
        <f>+SUMIF($O$62:$O$74,Lister!$D$30,F$62:F$74)</f>
        <v>0</v>
      </c>
      <c r="W111" s="327">
        <f>+SUMIF($O$62:$O$74,Lister!$D$30,G$62:G$74)</f>
        <v>0</v>
      </c>
      <c r="X111" s="328">
        <f>+SUMIF($O$62:$O$74,Lister!$D$30,H$62:H$74)</f>
        <v>0</v>
      </c>
      <c r="Y111" s="209">
        <f>+SUMIF($O$62:$O$74,Lister!$D$30,I$62:I$74)</f>
        <v>0</v>
      </c>
      <c r="Z111" s="208">
        <f>+SUMIF($O$62:$O$74,Lister!$D$30,J$62:J$74)</f>
        <v>0</v>
      </c>
      <c r="AA111" s="208">
        <f>+SUMIF($O$62:$O$74,Lister!$D$30,K$62:K$74)</f>
        <v>0</v>
      </c>
      <c r="AB111" s="208">
        <f>+SUMIF($O$62:$O$74,Lister!$D$30,L$62:L$74)</f>
        <v>0</v>
      </c>
      <c r="AC111" s="138">
        <f t="shared" si="111"/>
        <v>0</v>
      </c>
      <c r="AD111" s="71"/>
      <c r="AE111" s="71"/>
      <c r="AF111" s="71"/>
      <c r="AG111" s="71"/>
      <c r="AH111" s="71"/>
      <c r="AI111" s="71"/>
      <c r="AJ111" s="71"/>
      <c r="AK111" s="71"/>
      <c r="AL111" s="71"/>
      <c r="AM111" s="71"/>
      <c r="AN111" s="71"/>
      <c r="AO111" s="71"/>
      <c r="AP111" s="71"/>
      <c r="AQ111" s="71"/>
      <c r="AR111" s="71"/>
      <c r="AS111" s="71"/>
      <c r="AT111" s="71"/>
      <c r="AU111" s="71"/>
      <c r="AV111" s="71"/>
      <c r="AW111" s="71"/>
      <c r="AX111" s="71"/>
      <c r="AY111" s="71"/>
      <c r="AZ111" s="71"/>
      <c r="BA111" s="71"/>
      <c r="BB111" s="71"/>
      <c r="BC111" s="71"/>
      <c r="BD111" s="71"/>
      <c r="BE111" s="71"/>
      <c r="BF111" s="71"/>
      <c r="BG111" s="71"/>
      <c r="BH111" s="71"/>
      <c r="BI111" s="71"/>
      <c r="BJ111" s="71"/>
    </row>
    <row r="112" spans="14:62" s="9" customFormat="1" ht="14.25" customHeight="1">
      <c r="N112" s="71"/>
      <c r="O112" s="87"/>
      <c r="P112" s="87"/>
      <c r="Q112" s="149" t="s">
        <v>78</v>
      </c>
      <c r="R112" s="312">
        <f t="shared" si="110"/>
        <v>0</v>
      </c>
      <c r="S112" s="313">
        <f>+S111+S110</f>
        <v>0</v>
      </c>
      <c r="T112" s="329">
        <f t="shared" ref="T112:Z112" si="113">+T111+T110</f>
        <v>0</v>
      </c>
      <c r="U112" s="329">
        <f t="shared" si="113"/>
        <v>0</v>
      </c>
      <c r="V112" s="329">
        <f t="shared" si="113"/>
        <v>0</v>
      </c>
      <c r="W112" s="329">
        <f t="shared" si="113"/>
        <v>0</v>
      </c>
      <c r="X112" s="330">
        <f t="shared" si="113"/>
        <v>0</v>
      </c>
      <c r="Y112" s="146">
        <f t="shared" si="113"/>
        <v>0</v>
      </c>
      <c r="Z112" s="145">
        <f t="shared" si="113"/>
        <v>0</v>
      </c>
      <c r="AA112" s="145">
        <f>+AA111+AA110</f>
        <v>0</v>
      </c>
      <c r="AB112" s="145">
        <f>+AB111+AB110</f>
        <v>0</v>
      </c>
      <c r="AC112" s="138">
        <f t="shared" si="111"/>
        <v>0</v>
      </c>
      <c r="AD112" s="71"/>
      <c r="AE112" s="71"/>
      <c r="AF112" s="71"/>
      <c r="AG112" s="71"/>
      <c r="AH112" s="71"/>
      <c r="AI112" s="71"/>
      <c r="AJ112" s="71"/>
      <c r="AK112" s="71"/>
      <c r="AL112" s="71"/>
      <c r="AM112" s="71"/>
      <c r="AN112" s="71"/>
      <c r="AO112" s="71"/>
      <c r="AP112" s="71"/>
      <c r="AQ112" s="71"/>
      <c r="AR112" s="71"/>
      <c r="AS112" s="71"/>
      <c r="AT112" s="71"/>
      <c r="AU112" s="71"/>
      <c r="AV112" s="71"/>
      <c r="AW112" s="71"/>
      <c r="AX112" s="71"/>
      <c r="AY112" s="71"/>
      <c r="AZ112" s="71"/>
      <c r="BA112" s="71"/>
      <c r="BB112" s="71"/>
      <c r="BC112" s="71"/>
      <c r="BD112" s="71"/>
      <c r="BE112" s="71"/>
      <c r="BF112" s="71"/>
      <c r="BG112" s="71"/>
      <c r="BH112" s="71"/>
      <c r="BI112" s="71"/>
      <c r="BJ112" s="71"/>
    </row>
    <row r="113" spans="14:62" s="15" customFormat="1" ht="14.25" customHeight="1">
      <c r="N113" s="71"/>
      <c r="O113" s="87"/>
      <c r="P113" s="87"/>
      <c r="Q113" s="150" t="s">
        <v>0</v>
      </c>
      <c r="R113" s="312">
        <f t="shared" si="110"/>
        <v>0</v>
      </c>
      <c r="S113" s="153">
        <f>IF($C$12=2,S110*$C$6/100,
IF($G$6=Lister!$D$4,S110*$C$6/100,
IF($G$6=Lister!$D$5,S112*$C$6/100,
IF($G$6=Lister!$D$6,(S112-SUMIFS(C62:C74,$O$62:$O$74,Lister!$D$30,$A$62:$A$74,Lister!$M$10))*$C$6/100,
IF($G$6=Lister!$D$7,(S112-SUMIFS(C62:C74,$O$62:$O$74,Lister!$D$30,$A$62:$A$74,Lister!$M$10)-SUMIFS(C62:C74,$O$62:$O$74,Lister!$D$30,$A$62:$A$74,Lister!$M$7))*$C$6/100,
IF($G$6=Lister!$D$8,(S112+S114)*$C$6/100,
IF($G$6=Lister!$D$9,S111*$C$6/100,0)))))))</f>
        <v>0</v>
      </c>
      <c r="T113" s="323">
        <f>IF($C$12=2,T110*$C$6/100,
IF($G$6=Lister!$D$4,T110*$C$6/100,
IF($G$6=Lister!$D$5,T112*$C$6/100,
IF($G$6=Lister!$D$6,(T112-SUMIFS(D62:D74,$O$62:$O$74,Lister!$D$30,$A$62:$A$74,Lister!$M$10))*$C$6/100,
IF($G$6=Lister!$D$7,(T112-SUMIFS(D62:D74,$O$62:$O$74,Lister!$D$30,$A$62:$A$74,Lister!$M$10)-SUMIFS(D62:D74,$O$62:$O$74,Lister!$D$30,$A$62:$A$74,Lister!$M$7))*$C$6/100,
IF($G$6=Lister!$D$8,(T112+T114)*$C$6/100,
IF($G$6=Lister!$D$9,T111*$C$6/100,0)))))))</f>
        <v>0</v>
      </c>
      <c r="U113" s="323">
        <f>IF($C$12=2,U110*$C$6/100,
IF($G$6=Lister!$D$4,U110*$C$6/100,
IF($G$6=Lister!$D$5,U112*$C$6/100,
IF($G$6=Lister!$D$6,(U112-SUMIFS(E62:E74,$O$62:$O$74,Lister!$D$30,$A$62:$A$74,Lister!$M$10))*$C$6/100,
IF($G$6=Lister!$D$7,(U112-SUMIFS(E62:E74,$O$62:$O$74,Lister!$D$30,$A$62:$A$74,Lister!$M$10)-SUMIFS(E62:E74,$O$62:$O$74,Lister!$D$30,$A$62:$A$74,Lister!$M$7))*$C$6/100,
IF($G$6=Lister!$D$8,(U112+U114)*$C$6/100,
IF($G$6=Lister!$D$9,U111*$C$6/100,0)))))))</f>
        <v>0</v>
      </c>
      <c r="V113" s="323">
        <f>IF($C$12=2,V110*$C$6/100,
IF($G$6=Lister!$D$4,V110*$C$6/100,
IF($G$6=Lister!$D$5,V112*$C$6/100,
IF($G$6=Lister!$D$6,(V112-SUMIFS(F62:F74,$O$62:$O$74,Lister!$D$30,$A$62:$A$74,Lister!$M$10))*$C$6/100,
IF($G$6=Lister!$D$7,(V112-SUMIFS(F62:F74,$O$62:$O$74,Lister!$D$30,$A$62:$A$74,Lister!$M$10)-SUMIFS(F62:F74,$O$62:$O$74,Lister!$D$30,$A$62:$A$74,Lister!$M$7))*$C$6/100,
IF($G$6=Lister!$D$8,(V112+V114)*$C$6/100,
IF($G$6=Lister!$D$9,V111*$C$6/100,0)))))))</f>
        <v>0</v>
      </c>
      <c r="W113" s="323">
        <f>IF($C$12=2,W110*$C$6/100,
IF($G$6=Lister!$D$4,W110*$C$6/100,
IF($G$6=Lister!$D$5,W112*$C$6/100,
IF($G$6=Lister!$D$6,(W112-SUMIFS(G62:G74,$O$62:$O$74,Lister!$D$30,$A$62:$A$74,Lister!$M$10))*$C$6/100,
IF($G$6=Lister!$D$7,(W112-SUMIFS(G62:G74,$O$62:$O$74,Lister!$D$30,$A$62:$A$74,Lister!$M$10)-SUMIFS(G62:G74,$O$62:$O$74,Lister!$D$30,$A$62:$A$74,Lister!$M$7))*$C$6/100,
IF($G$6=Lister!$D$8,(W112+W114)*$C$6/100,
IF($G$6=Lister!$D$9,W111*$C$6/100,0)))))))</f>
        <v>0</v>
      </c>
      <c r="X113" s="324">
        <f>IF($C$12=2,X110*$C$6/100,
IF($G$6=Lister!$D$4,X110*$C$6/100,
IF($G$6=Lister!$D$5,X112*$C$6/100,
IF($G$6=Lister!$D$6,(X112-SUMIFS(H62:H74,$O$62:$O$74,Lister!$D$30,$A$62:$A$74,Lister!$M$10))*$C$6/100,
IF($G$6=Lister!$D$7,(X112-SUMIFS(H62:H74,$O$62:$O$74,Lister!$D$30,$A$62:$A$74,Lister!$M$10)-SUMIFS(H62:H74,$O$62:$O$74,Lister!$D$30,$A$62:$A$74,Lister!$M$7))*$C$6/100,
IF($G$6=Lister!$D$8,(X112+X114)*$C$6/100,
IF($G$6=Lister!$D$9,X111*$C$6/100,0)))))))</f>
        <v>0</v>
      </c>
      <c r="Y113" s="205">
        <f>IF($C$12=2,Y110*$C$6/100,
IF($G$6=Lister!$D$4,Y110*$C$6/100,
IF($G$6=Lister!$D$5,Y112*$C$6/100,
IF($G$6=Lister!$D$6,(Y112-SUMIFS(I62:I74,$O$62:$O$74,Lister!$D$30,$A$62:$A$74,Lister!$M$10))*$C$6/100,
IF($G$6=Lister!$D$7,(Y112-SUMIFS(I62:I74,$O$62:$O$74,Lister!$D$30,$A$62:$A$74,Lister!$M$10)-SUMIFS(I62:I74,$O$62:$O$74,Lister!$D$30,$A$62:$A$74,Lister!$M$7))*$C$6/100,
IF($G$6=Lister!$D$8,(Y112+Y114)*$C$6/100,
IF($G$6=Lister!$D$9,Y111*$C$6/100,0)))))))</f>
        <v>0</v>
      </c>
      <c r="Z113" s="204">
        <f>IF($C$12=2,Z110*$C$6/100,
IF($G$6=Lister!$D$4,Z110*$C$6/100,
IF($G$6=Lister!$D$5,Z112*$C$6/100,
IF($G$6=Lister!$D$6,(Z112-SUMIFS(J62:J74,$O$62:$O$74,Lister!$D$30,$A$62:$A$74,Lister!$M$10))*$C$6/100,
IF($G$6=Lister!$D$7,(Z112-SUMIFS(J62:J74,$O$62:$O$74,Lister!$D$30,$A$62:$A$74,Lister!$M$10)-SUMIFS(J62:J74,$O$62:$O$74,Lister!$D$30,$A$62:$A$74,Lister!$M$7))*$C$6/100,
IF($G$6=Lister!$D$8,(Z112+Z114)*$C$6/100,
IF($G$6=Lister!$D$9,Z111*$C$6/100,0)))))))</f>
        <v>0</v>
      </c>
      <c r="AA113" s="204">
        <f>IF($C$12=2,AA110*$C$6/100,
IF($G$6=Lister!$D$4,AA110*$C$6/100,
IF($G$6=Lister!$D$5,AA112*$C$6/100,
IF($G$6=Lister!$D$6,(AA112-SUMIFS(K62:K74,$O$62:$O$74,Lister!$D$30,$A$62:$A$74,Lister!$M$10))*$C$6/100,
IF($G$6=Lister!$D$7,(AA112-SUMIFS(K62:K74,$O$62:$O$74,Lister!$D$30,$A$62:$A$74,Lister!$M$10)-SUMIFS(K62:K74,$O$62:$O$74,Lister!$D$30,$A$62:$A$74,Lister!$M$7))*$C$6/100,
IF($G$6=Lister!$D$8,(AA112+AA114)*$C$6/100,
IF($G$6=Lister!$D$9,AA111*$C$6/100,0)))))))</f>
        <v>0</v>
      </c>
      <c r="AB113" s="204">
        <f>IF($C$12=2,AB110*$C$6/100,
IF($G$6=Lister!$D$4,AB110*$C$6/100,
IF($G$6=Lister!$D$5,AB112*$C$6/100,
IF($G$6=Lister!$D$6,(AB112-SUMIFS(L62:L74,$O$62:$O$74,Lister!$D$30,$A$62:$A$74,Lister!$M$10))*$C$6/100,
IF($G$6=Lister!$D$7,(AB112-SUMIFS(L62:L74,$O$62:$O$74,Lister!$D$30,$A$62:$A$74,Lister!$M$10)-SUMIFS(L62:L74,$O$62:$O$74,Lister!$D$30,$A$62:$A$74,Lister!$M$7))*$C$6/100,
IF($G$6=Lister!$D$8,(AB112+AB114)*$C$6/100,
IF($G$6=Lister!$D$9,AB111*$C$6/100,0)))))))</f>
        <v>0</v>
      </c>
      <c r="AC113" s="138">
        <f t="shared" si="111"/>
        <v>0</v>
      </c>
      <c r="AD113" s="71"/>
      <c r="AE113" s="71"/>
      <c r="AF113" s="71"/>
      <c r="AG113" s="71"/>
      <c r="AH113" s="71"/>
      <c r="AI113" s="71"/>
      <c r="AJ113" s="71"/>
      <c r="AK113" s="71"/>
      <c r="AL113" s="71"/>
      <c r="AM113" s="71"/>
      <c r="AN113" s="71"/>
      <c r="AO113" s="71"/>
      <c r="AP113" s="71"/>
      <c r="AQ113" s="71"/>
      <c r="AR113" s="71"/>
      <c r="AS113" s="71"/>
      <c r="AT113" s="71"/>
      <c r="AU113" s="71"/>
      <c r="AV113" s="71"/>
      <c r="AW113" s="71"/>
      <c r="AX113" s="71"/>
      <c r="AY113" s="71"/>
      <c r="AZ113" s="71"/>
      <c r="BA113" s="71"/>
      <c r="BB113" s="71"/>
      <c r="BC113" s="71"/>
      <c r="BD113" s="71"/>
      <c r="BE113" s="71"/>
      <c r="BF113" s="71"/>
      <c r="BG113" s="71"/>
      <c r="BH113" s="71"/>
      <c r="BI113" s="71"/>
      <c r="BJ113" s="71"/>
    </row>
    <row r="114" spans="14:62" s="9" customFormat="1" ht="14.25" customHeight="1">
      <c r="N114" s="71"/>
      <c r="O114" s="87"/>
      <c r="P114" s="87"/>
      <c r="Q114" s="151" t="s">
        <v>103</v>
      </c>
      <c r="R114" s="312">
        <f t="shared" si="110"/>
        <v>0</v>
      </c>
      <c r="S114" s="153">
        <f>+IF($C$8=Lister!$O$5,(SUMIF($O$20:$O$29,Lister!$D$30,C20:C29))*Takstblad!C$84,0)</f>
        <v>0</v>
      </c>
      <c r="T114" s="153">
        <f>+IF($C$8=Lister!$O$5,(SUMIF($O$20:$O$29,Lister!$D$30,D20:D29))*Takstblad!D$84,0)</f>
        <v>0</v>
      </c>
      <c r="U114" s="153">
        <f>+IF($C$8=Lister!$O$5,(SUMIF($O$20:$O$29,Lister!$D$30,E20:E29))*Takstblad!E$84,0)</f>
        <v>0</v>
      </c>
      <c r="V114" s="153">
        <f>+IF($C$8=Lister!$O$5,(SUMIF($O$20:$O$29,Lister!$D$30,F20:F29))*Takstblad!F$84,0)</f>
        <v>0</v>
      </c>
      <c r="W114" s="153">
        <f>+IF($C$8=Lister!$O$5,(SUMIF($O$20:$O$29,Lister!$D$30,G20:G29))*Takstblad!G$84,0)</f>
        <v>0</v>
      </c>
      <c r="X114" s="300">
        <f>+IF($C$8=Lister!$O$5,(SUMIF($O$20:$O$29,Lister!$D$30,H20:H29))*Takstblad!H$84,0)</f>
        <v>0</v>
      </c>
      <c r="Y114" s="297">
        <f>+IF($C$8=Lister!$O$5,(SUMIF($O$20:$O$29,Lister!$D$30,I20:I29))*Takstblad!I$84,0)</f>
        <v>0</v>
      </c>
      <c r="Z114" s="21">
        <f>+IF($C$8=Lister!$O$5,(SUMIF($O$20:$O$29,Lister!$D$30,J20:J29))*Takstblad!J$84,0)</f>
        <v>0</v>
      </c>
      <c r="AA114" s="21">
        <f>+IF($C$8=Lister!$O$5,(SUMIF($O$20:$O$29,Lister!$D$30,K20:K29))*Takstblad!K$84,0)</f>
        <v>0</v>
      </c>
      <c r="AB114" s="21">
        <f>+IF($C$8=Lister!$O$5,(SUMIF($O$20:$O$29,Lister!$D$30,L20:L29))*Takstblad!L$84,0)</f>
        <v>0</v>
      </c>
      <c r="AC114" s="138">
        <f t="shared" si="111"/>
        <v>0</v>
      </c>
      <c r="AD114" s="71"/>
      <c r="AE114" s="71"/>
      <c r="AF114" s="71"/>
      <c r="AG114" s="71"/>
      <c r="AH114" s="71"/>
      <c r="AI114" s="71"/>
      <c r="AJ114" s="71"/>
      <c r="AK114" s="71"/>
      <c r="AL114" s="71"/>
      <c r="AM114" s="71"/>
      <c r="AN114" s="71"/>
      <c r="AO114" s="71"/>
      <c r="AP114" s="71"/>
      <c r="AQ114" s="71"/>
      <c r="AR114" s="71"/>
      <c r="AS114" s="71"/>
      <c r="AT114" s="71"/>
      <c r="AU114" s="71"/>
      <c r="AV114" s="71"/>
      <c r="AW114" s="71"/>
      <c r="AX114" s="71"/>
      <c r="AY114" s="71"/>
      <c r="AZ114" s="71"/>
      <c r="BA114" s="71"/>
      <c r="BB114" s="71"/>
      <c r="BC114" s="71"/>
      <c r="BD114" s="71"/>
      <c r="BE114" s="71"/>
      <c r="BF114" s="71"/>
      <c r="BG114" s="71"/>
      <c r="BH114" s="71"/>
      <c r="BI114" s="71"/>
      <c r="BJ114" s="71"/>
    </row>
    <row r="115" spans="14:62" ht="14.25" customHeight="1">
      <c r="N115" s="82"/>
      <c r="O115" s="93"/>
      <c r="P115" s="93"/>
      <c r="Q115" s="151" t="s">
        <v>108</v>
      </c>
      <c r="R115" s="312">
        <f t="shared" si="110"/>
        <v>0</v>
      </c>
      <c r="S115" s="153">
        <f>+IF($C$8="Project-Supplement",((
SUMIFS(C20:C39,$O$20:$O$39,Lister!$D$30,$A$20:$A$39,Lister!$A$21)
+SUMIFS(C20:C39,$O$20:$O$39,Lister!$D$30,$A$20:$A$39,Lister!$A$31)
+SUMIFS(C20:C39,$O$20:$O$39,Lister!$D$30,$A$20:$A$39,Lister!$A$32)
+SUMIFS(C20:C39,$O$20:$O$39,Lister!$D$30,$A$20:$A$39,Lister!$A$22)
+SUMIFS(C20:C39,$O$20:$O$39,Lister!$D$30,$A$20:$A$39,Lister!$A$23)
+SUMIFS(C20:C39,$O$20:$O$39,Lister!$D$30,$A$20:$A$39,Lister!$A$20)
+SUMIFS(C20:C39,$O$20:$O$39,Lister!$D$30,$A$20:$A$39,Lister!$A$33)
+SUMIFS(C20:C39,$O$20:$O$39,Lister!$D$30,$A$20:$A$39,Lister!$A$34))
/12)*Takstblad!C$85,0)</f>
        <v>0</v>
      </c>
      <c r="T115" s="155">
        <f>+IF($C$8="Project-Supplement",((
SUMIFS(D20:D39,$O$20:$O$39,Lister!$D$30,$A$20:$A$39,Lister!$A$21)
+SUMIFS(D20:D39,$O$20:$O$39,Lister!$D$30,$A$20:$A$39,Lister!$A$31)
+SUMIFS(D20:D39,$O$20:$O$39,Lister!$D$30,$A$20:$A$39,Lister!$A$32)
+SUMIFS(D20:D39,$O$20:$O$39,Lister!$D$30,$A$20:$A$39,Lister!$A$22)
+SUMIFS(D20:D39,$O$20:$O$39,Lister!$D$30,$A$20:$A$39,Lister!$A$23)
+SUMIFS(D20:D39,$O$20:$O$39,Lister!$D$30,$A$20:$A$39,Lister!$A$20)
+SUMIFS(D20:D39,$O$20:$O$39,Lister!$D$30,$A$20:$A$39,Lister!$A$33)
+SUMIFS(D20:D39,$O$20:$O$39,Lister!$D$30,$A$20:$A$39,Lister!$A$34))
/12)*Takstblad!D$85,0)</f>
        <v>0</v>
      </c>
      <c r="U115" s="155">
        <f>+IF($C$8="Project-Supplement",((
SUMIFS(E20:E39,$O$20:$O$39,Lister!$D$30,$A$20:$A$39,Lister!$A$21)
+SUMIFS(E20:E39,$O$20:$O$39,Lister!$D$30,$A$20:$A$39,Lister!$A$31)
+SUMIFS(E20:E39,$O$20:$O$39,Lister!$D$30,$A$20:$A$39,Lister!$A$32)
+SUMIFS(E20:E39,$O$20:$O$39,Lister!$D$30,$A$20:$A$39,Lister!$A$22)
+SUMIFS(E20:E39,$O$20:$O$39,Lister!$D$30,$A$20:$A$39,Lister!$A$23)
+SUMIFS(E20:E39,$O$20:$O$39,Lister!$D$30,$A$20:$A$39,Lister!$A$20)
+SUMIFS(E20:E39,$O$20:$O$39,Lister!$D$30,$A$20:$A$39,Lister!$A$33)
+SUMIFS(E20:E39,$O$20:$O$39,Lister!$D$30,$A$20:$A$39,Lister!$A$34))
/12)*Takstblad!E$85,0)</f>
        <v>0</v>
      </c>
      <c r="V115" s="155">
        <f>+IF($C$8="Project-Supplement",((
SUMIFS(F20:F39,$O$20:$O$39,Lister!$D$30,$A$20:$A$39,Lister!$A$21)
+SUMIFS(F20:F39,$O$20:$O$39,Lister!$D$30,$A$20:$A$39,Lister!$A$31)
+SUMIFS(F20:F39,$O$20:$O$39,Lister!$D$30,$A$20:$A$39,Lister!$A$32)
+SUMIFS(F20:F39,$O$20:$O$39,Lister!$D$30,$A$20:$A$39,Lister!$A$22)
+SUMIFS(F20:F39,$O$20:$O$39,Lister!$D$30,$A$20:$A$39,Lister!$A$23)
+SUMIFS(F20:F39,$O$20:$O$39,Lister!$D$30,$A$20:$A$39,Lister!$A$20)
+SUMIFS(F20:F39,$O$20:$O$39,Lister!$D$30,$A$20:$A$39,Lister!$A$33)
+SUMIFS(F20:F39,$O$20:$O$39,Lister!$D$30,$A$20:$A$39,Lister!$A$34))
/12)*Takstblad!F$85,0)</f>
        <v>0</v>
      </c>
      <c r="W115" s="155">
        <f>+IF($C$8="Project-Supplement",((
SUMIFS(G20:G39,$O$20:$O$39,Lister!$D$30,$A$20:$A$39,Lister!$A$21)
+SUMIFS(G20:G39,$O$20:$O$39,Lister!$D$30,$A$20:$A$39,Lister!$A$31)
+SUMIFS(G20:G39,$O$20:$O$39,Lister!$D$30,$A$20:$A$39,Lister!$A$32)
+SUMIFS(G20:G39,$O$20:$O$39,Lister!$D$30,$A$20:$A$39,Lister!$A$22)
+SUMIFS(G20:G39,$O$20:$O$39,Lister!$D$30,$A$20:$A$39,Lister!$A$23)
+SUMIFS(G20:G39,$O$20:$O$39,Lister!$D$30,$A$20:$A$39,Lister!$A$20)
+SUMIFS(G20:G39,$O$20:$O$39,Lister!$D$30,$A$20:$A$39,Lister!$A$33)
+SUMIFS(G20:G39,$O$20:$O$39,Lister!$D$30,$A$20:$A$39,Lister!$A$34))
/12)*Takstblad!G$85,0)</f>
        <v>0</v>
      </c>
      <c r="X115" s="308">
        <f>+IF($C$8="Project-Supplement",((
SUMIFS(H20:H39,$O$20:$O$39,Lister!$D$30,$A$20:$A$39,Lister!$A$21)
+SUMIFS(H20:H39,$O$20:$O$39,Lister!$D$30,$A$20:$A$39,Lister!$A$31)
+SUMIFS(H20:H39,$O$20:$O$39,Lister!$D$30,$A$20:$A$39,Lister!$A$32)
+SUMIFS(H20:H39,$O$20:$O$39,Lister!$D$30,$A$20:$A$39,Lister!$A$22)
+SUMIFS(H20:H39,$O$20:$O$39,Lister!$D$30,$A$20:$A$39,Lister!$A$23)
+SUMIFS(H20:H39,$O$20:$O$39,Lister!$D$30,$A$20:$A$39,Lister!$A$20)
+SUMIFS(H20:H39,$O$20:$O$39,Lister!$D$30,$A$20:$A$39,Lister!$A$33)
+SUMIFS(H20:H39,$O$20:$O$39,Lister!$D$30,$A$20:$A$39,Lister!$A$34))
/12)*Takstblad!H$85,0)</f>
        <v>0</v>
      </c>
      <c r="Y115" s="114">
        <f>+IF($C$8="Project-Supplement",((
SUMIFS(I20:I39,$O$20:$O$39,Lister!$D$30,$A$20:$A$39,Lister!$A$21)
+SUMIFS(I20:I39,$O$20:$O$39,Lister!$D$30,$A$20:$A$39,Lister!$A$31)
+SUMIFS(I20:I39,$O$20:$O$39,Lister!$D$30,$A$20:$A$39,Lister!$A$32)
+SUMIFS(I20:I39,$O$20:$O$39,Lister!$D$30,$A$20:$A$39,Lister!$A$22)
+SUMIFS(I20:I39,$O$20:$O$39,Lister!$D$30,$A$20:$A$39,Lister!$A$23)
+SUMIFS(I20:I39,$O$20:$O$39,Lister!$D$30,$A$20:$A$39,Lister!$A$20)
+SUMIFS(I20:I39,$O$20:$O$39,Lister!$D$30,$A$20:$A$39,Lister!$A$33)
+SUMIFS(I20:I39,$O$20:$O$39,Lister!$D$30,$A$20:$A$39,Lister!$A$34))
/12)*Takstblad!I$85,0)</f>
        <v>0</v>
      </c>
      <c r="Z115" s="115">
        <f>+IF($C$8="Project-Supplement",((
SUMIFS(J20:J39,$O$20:$O$39,Lister!$D$30,$A$20:$A$39,Lister!$A$21)
+SUMIFS(J20:J39,$O$20:$O$39,Lister!$D$30,$A$20:$A$39,Lister!$A$31)
+SUMIFS(J20:J39,$O$20:$O$39,Lister!$D$30,$A$20:$A$39,Lister!$A$32)
+SUMIFS(J20:J39,$O$20:$O$39,Lister!$D$30,$A$20:$A$39,Lister!$A$22)
+SUMIFS(J20:J39,$O$20:$O$39,Lister!$D$30,$A$20:$A$39,Lister!$A$23)
+SUMIFS(J20:J39,$O$20:$O$39,Lister!$D$30,$A$20:$A$39,Lister!$A$20)
+SUMIFS(J20:J39,$O$20:$O$39,Lister!$D$30,$A$20:$A$39,Lister!$A$33)
+SUMIFS(J20:J39,$O$20:$O$39,Lister!$D$30,$A$20:$A$39,Lister!$A$34))
/12)*Takstblad!J$85,0)</f>
        <v>0</v>
      </c>
      <c r="AA115" s="115">
        <f>+IF($C$8="Project-Supplement",((
SUMIFS(K20:K39,$O$20:$O$39,Lister!$D$30,$A$20:$A$39,Lister!$A$21)
+SUMIFS(K20:K39,$O$20:$O$39,Lister!$D$30,$A$20:$A$39,Lister!$A$31)
+SUMIFS(K20:K39,$O$20:$O$39,Lister!$D$30,$A$20:$A$39,Lister!$A$32)
+SUMIFS(K20:K39,$O$20:$O$39,Lister!$D$30,$A$20:$A$39,Lister!$A$22)
+SUMIFS(K20:K39,$O$20:$O$39,Lister!$D$30,$A$20:$A$39,Lister!$A$23)
+SUMIFS(K20:K39,$O$20:$O$39,Lister!$D$30,$A$20:$A$39,Lister!$A$20)
+SUMIFS(K20:K39,$O$20:$O$39,Lister!$D$30,$A$20:$A$39,Lister!$A$33)
+SUMIFS(K20:K39,$O$20:$O$39,Lister!$D$30,$A$20:$A$39,Lister!$A$34))
/12)*Takstblad!K$85,0)</f>
        <v>0</v>
      </c>
      <c r="AB115" s="115">
        <f>+IF($C$8="Project-Supplement",((
SUMIFS(L20:L39,$O$20:$O$39,Lister!$D$30,$A$20:$A$39,Lister!$A$21)
+SUMIFS(L20:L39,$O$20:$O$39,Lister!$D$30,$A$20:$A$39,Lister!$A$31)
+SUMIFS(L20:L39,$O$20:$O$39,Lister!$D$30,$A$20:$A$39,Lister!$A$32)
+SUMIFS(L20:L39,$O$20:$O$39,Lister!$D$30,$A$20:$A$39,Lister!$A$22)
+SUMIFS(L20:L39,$O$20:$O$39,Lister!$D$30,$A$20:$A$39,Lister!$A$23)
+SUMIFS(L20:L39,$O$20:$O$39,Lister!$D$30,$A$20:$A$39,Lister!$A$20)
+SUMIFS(L20:L39,$O$20:$O$39,Lister!$D$30,$A$20:$A$39,Lister!$A$33)
+SUMIFS(L20:L39,$O$20:$O$39,Lister!$D$30,$A$20:$A$39,Lister!$A$34))
/12)*Takstblad!L$85,0)</f>
        <v>0</v>
      </c>
      <c r="AC115" s="138">
        <f t="shared" si="111"/>
        <v>0</v>
      </c>
      <c r="AD115" s="71"/>
      <c r="AE115" s="71"/>
      <c r="AF115" s="71"/>
      <c r="AG115" s="71"/>
      <c r="AH115" s="71"/>
      <c r="AI115" s="82"/>
      <c r="AJ115" s="82"/>
      <c r="AK115" s="82"/>
      <c r="AL115" s="82"/>
      <c r="AM115" s="82"/>
      <c r="AN115" s="82"/>
      <c r="AO115" s="82"/>
      <c r="AP115" s="82"/>
      <c r="AQ115" s="82"/>
      <c r="AR115" s="82"/>
      <c r="AS115" s="82"/>
      <c r="AT115" s="82"/>
      <c r="AU115" s="82"/>
      <c r="AV115" s="82"/>
      <c r="AW115" s="82"/>
      <c r="AX115" s="82"/>
      <c r="AY115" s="82"/>
      <c r="AZ115" s="82"/>
      <c r="BA115" s="82"/>
      <c r="BB115" s="82"/>
      <c r="BC115" s="82"/>
      <c r="BD115" s="82"/>
      <c r="BE115" s="82"/>
      <c r="BF115" s="82"/>
      <c r="BG115" s="82"/>
      <c r="BH115" s="82"/>
      <c r="BI115" s="82"/>
      <c r="BJ115" s="82"/>
    </row>
    <row r="116" spans="14:62" ht="14.25" customHeight="1">
      <c r="N116" s="71"/>
      <c r="O116" s="87"/>
      <c r="P116" s="87"/>
      <c r="Q116" s="150" t="s">
        <v>531</v>
      </c>
      <c r="R116" s="312">
        <f t="shared" si="110"/>
        <v>0</v>
      </c>
      <c r="S116" s="153" t="str">
        <f>IF($C$12=2,(SUM(S112:S115)*$C$13)/100,"0")</f>
        <v>0</v>
      </c>
      <c r="T116" s="155" t="str">
        <f>IF($C$12=2,(SUM(T112:T115)*$C$13)/100,"0")</f>
        <v>0</v>
      </c>
      <c r="U116" s="155" t="str">
        <f t="shared" ref="U116:Z116" si="114">IF($C$12=2,(SUM(U112:U115)*$C$13)/100,"0")</f>
        <v>0</v>
      </c>
      <c r="V116" s="155" t="str">
        <f t="shared" si="114"/>
        <v>0</v>
      </c>
      <c r="W116" s="155" t="str">
        <f t="shared" si="114"/>
        <v>0</v>
      </c>
      <c r="X116" s="308" t="str">
        <f t="shared" si="114"/>
        <v>0</v>
      </c>
      <c r="Y116" s="156" t="str">
        <f t="shared" si="114"/>
        <v>0</v>
      </c>
      <c r="Z116" s="155" t="str">
        <f t="shared" si="114"/>
        <v>0</v>
      </c>
      <c r="AA116" s="155" t="str">
        <f>IF($C$12=2,(SUM(AA112:AA115)*$C$13)/100,"0")</f>
        <v>0</v>
      </c>
      <c r="AB116" s="155" t="str">
        <f>IF($C$12=2,(SUM(AB112:AB115)*$C$13)/100,"0")</f>
        <v>0</v>
      </c>
      <c r="AC116" s="138">
        <f t="shared" si="111"/>
        <v>0</v>
      </c>
      <c r="AD116" s="71"/>
      <c r="AE116" s="71"/>
      <c r="AF116" s="71"/>
      <c r="AG116" s="71"/>
      <c r="AH116" s="71"/>
      <c r="AI116" s="71"/>
      <c r="AJ116" s="71"/>
      <c r="AK116" s="71"/>
      <c r="AL116" s="71"/>
      <c r="AM116" s="71"/>
      <c r="AN116" s="71"/>
      <c r="AO116" s="71"/>
      <c r="AP116" s="71"/>
      <c r="AQ116" s="71"/>
      <c r="AR116" s="71"/>
      <c r="AS116" s="71"/>
      <c r="AT116" s="71"/>
      <c r="AU116" s="71"/>
      <c r="AV116" s="71"/>
      <c r="AW116" s="71"/>
      <c r="AX116" s="71"/>
      <c r="AY116" s="71"/>
      <c r="AZ116" s="71"/>
      <c r="BA116" s="71"/>
      <c r="BB116" s="71"/>
      <c r="BC116" s="71"/>
      <c r="BD116" s="71"/>
      <c r="BE116" s="71"/>
      <c r="BF116" s="71"/>
      <c r="BG116" s="71"/>
      <c r="BH116" s="71"/>
      <c r="BI116" s="71"/>
      <c r="BJ116" s="71"/>
    </row>
    <row r="117" spans="14:62" ht="14.25" customHeight="1">
      <c r="N117" s="70"/>
      <c r="O117" s="85"/>
      <c r="P117" s="85"/>
      <c r="Q117" s="149" t="s">
        <v>101</v>
      </c>
      <c r="R117" s="312">
        <f t="shared" si="110"/>
        <v>0</v>
      </c>
      <c r="S117" s="313">
        <f>+SUM(S112:S116)</f>
        <v>0</v>
      </c>
      <c r="T117" s="313">
        <f t="shared" ref="T117:Z117" si="115">+SUM(T112:T116)</f>
        <v>0</v>
      </c>
      <c r="U117" s="313">
        <f t="shared" si="115"/>
        <v>0</v>
      </c>
      <c r="V117" s="313">
        <f t="shared" si="115"/>
        <v>0</v>
      </c>
      <c r="W117" s="313">
        <f t="shared" si="115"/>
        <v>0</v>
      </c>
      <c r="X117" s="314">
        <f t="shared" si="115"/>
        <v>0</v>
      </c>
      <c r="Y117" s="296">
        <f t="shared" si="115"/>
        <v>0</v>
      </c>
      <c r="Z117" s="137">
        <f t="shared" si="115"/>
        <v>0</v>
      </c>
      <c r="AA117" s="137">
        <f>+SUM(AA112:AA116)</f>
        <v>0</v>
      </c>
      <c r="AB117" s="137">
        <f>+SUM(AB112:AB116)</f>
        <v>0</v>
      </c>
      <c r="AC117" s="138">
        <f t="shared" si="111"/>
        <v>0</v>
      </c>
      <c r="AD117" s="71"/>
      <c r="AE117" s="82"/>
      <c r="AF117" s="82"/>
      <c r="AG117" s="82"/>
      <c r="AH117" s="82"/>
      <c r="AI117" s="70"/>
      <c r="AJ117" s="70"/>
      <c r="AK117" s="70"/>
      <c r="AL117" s="70"/>
      <c r="AM117" s="70"/>
      <c r="AN117" s="70"/>
      <c r="AO117" s="70"/>
      <c r="AP117" s="70"/>
      <c r="AQ117" s="70"/>
      <c r="AR117" s="70"/>
      <c r="AS117" s="70"/>
      <c r="AT117" s="70"/>
      <c r="AU117" s="70"/>
      <c r="AV117" s="70"/>
      <c r="AW117" s="70"/>
      <c r="AX117" s="70"/>
      <c r="AY117" s="70"/>
      <c r="AZ117" s="70"/>
      <c r="BA117" s="70"/>
      <c r="BB117" s="70"/>
      <c r="BC117" s="70"/>
      <c r="BD117" s="70"/>
      <c r="BE117" s="70"/>
      <c r="BF117" s="70"/>
      <c r="BG117" s="70"/>
      <c r="BH117" s="70"/>
      <c r="BI117" s="70"/>
      <c r="BJ117" s="70"/>
    </row>
    <row r="118" spans="14:62" s="9" customFormat="1" ht="14.25" customHeight="1">
      <c r="N118" s="70"/>
      <c r="O118" s="85"/>
      <c r="P118" s="85"/>
      <c r="Q118" s="227"/>
      <c r="R118" s="133"/>
      <c r="S118" s="76"/>
      <c r="T118" s="76"/>
      <c r="U118" s="76"/>
      <c r="V118" s="76"/>
      <c r="W118" s="76"/>
      <c r="X118" s="133"/>
      <c r="Y118" s="76"/>
      <c r="Z118" s="76"/>
      <c r="AA118" s="76"/>
      <c r="AB118" s="76"/>
      <c r="AC118" s="133"/>
      <c r="AD118" s="82"/>
      <c r="AE118" s="71"/>
      <c r="AF118" s="71"/>
      <c r="AG118" s="71"/>
      <c r="AH118" s="71"/>
      <c r="AI118" s="70"/>
      <c r="AJ118" s="70"/>
      <c r="AK118" s="70"/>
      <c r="AL118" s="70"/>
      <c r="AM118" s="70"/>
      <c r="AN118" s="70"/>
      <c r="AO118" s="70"/>
      <c r="AP118" s="70"/>
      <c r="AQ118" s="70"/>
      <c r="AR118" s="70"/>
      <c r="AS118" s="70"/>
      <c r="AT118" s="70"/>
      <c r="AU118" s="70"/>
      <c r="AV118" s="70"/>
      <c r="AW118" s="70"/>
      <c r="AX118" s="70"/>
      <c r="AY118" s="70"/>
      <c r="AZ118" s="70"/>
      <c r="BA118" s="70"/>
      <c r="BB118" s="70"/>
      <c r="BC118" s="70"/>
      <c r="BD118" s="70"/>
      <c r="BE118" s="70"/>
      <c r="BF118" s="70"/>
      <c r="BG118" s="70"/>
      <c r="BH118" s="70"/>
      <c r="BI118" s="70"/>
      <c r="BJ118" s="70"/>
    </row>
    <row r="119" spans="14:62" ht="14.25" customHeight="1">
      <c r="N119" s="70"/>
      <c r="O119" s="85"/>
      <c r="P119" s="85"/>
      <c r="Q119" s="130" t="s">
        <v>606</v>
      </c>
      <c r="R119" s="131"/>
      <c r="S119" s="230"/>
      <c r="T119" s="136"/>
      <c r="U119" s="136"/>
      <c r="V119" s="136"/>
      <c r="W119" s="136"/>
      <c r="X119" s="305"/>
      <c r="Y119" s="136"/>
      <c r="Z119" s="136"/>
      <c r="AA119" s="136"/>
      <c r="AB119" s="136"/>
      <c r="AC119" s="131"/>
      <c r="AD119" s="71"/>
      <c r="AE119" s="70"/>
      <c r="AF119" s="70"/>
      <c r="AG119" s="70"/>
      <c r="AH119" s="70"/>
      <c r="AI119" s="70"/>
      <c r="AJ119" s="70"/>
      <c r="AK119" s="70"/>
      <c r="AL119" s="70"/>
      <c r="AM119" s="70"/>
      <c r="AN119" s="70"/>
      <c r="AO119" s="70"/>
      <c r="AP119" s="70"/>
      <c r="AQ119" s="70"/>
      <c r="AR119" s="70"/>
      <c r="AS119" s="70"/>
      <c r="AT119" s="70"/>
      <c r="AU119" s="70"/>
      <c r="AV119" s="70"/>
      <c r="AW119" s="70"/>
      <c r="AX119" s="70"/>
      <c r="AY119" s="70"/>
      <c r="AZ119" s="70"/>
      <c r="BA119" s="70"/>
      <c r="BB119" s="70"/>
      <c r="BC119" s="70"/>
      <c r="BD119" s="70"/>
      <c r="BE119" s="70"/>
      <c r="BF119" s="70"/>
      <c r="BG119" s="70"/>
      <c r="BH119" s="70"/>
      <c r="BI119" s="70"/>
      <c r="BJ119" s="70"/>
    </row>
    <row r="120" spans="14:62" ht="14.25" customHeight="1">
      <c r="N120" s="9"/>
      <c r="O120" s="9"/>
      <c r="P120" s="9"/>
      <c r="Q120" s="134"/>
      <c r="R120" s="133"/>
      <c r="S120" s="16"/>
      <c r="T120" s="76"/>
      <c r="U120" s="76"/>
      <c r="V120" s="76"/>
      <c r="W120" s="76"/>
      <c r="X120" s="133"/>
      <c r="Y120" s="76"/>
      <c r="Z120" s="76"/>
      <c r="AA120" s="76"/>
      <c r="AB120" s="76"/>
      <c r="AC120" s="133"/>
      <c r="AD120" s="70"/>
      <c r="AE120" s="70"/>
      <c r="AF120" s="70"/>
      <c r="AG120" s="70"/>
      <c r="AH120" s="70"/>
      <c r="AI120" s="71"/>
      <c r="AJ120" s="71"/>
      <c r="AK120" s="71"/>
      <c r="AL120" s="71"/>
      <c r="AM120" s="71"/>
      <c r="AN120" s="71"/>
      <c r="AO120" s="71"/>
      <c r="AP120" s="71"/>
      <c r="AQ120" s="71"/>
      <c r="AR120" s="71"/>
      <c r="AS120" s="71"/>
      <c r="AT120" s="71"/>
      <c r="AU120" s="71"/>
      <c r="AV120" s="71"/>
      <c r="AW120" s="71"/>
      <c r="AX120" s="71"/>
      <c r="AY120" s="71"/>
      <c r="AZ120" s="71"/>
      <c r="BA120" s="71"/>
      <c r="BB120" s="71"/>
      <c r="BC120" s="71"/>
      <c r="BD120" s="71"/>
      <c r="BE120" s="71"/>
      <c r="BF120" s="71"/>
      <c r="BG120" s="71"/>
      <c r="BH120" s="71"/>
      <c r="BI120" s="71"/>
      <c r="BJ120" s="71"/>
    </row>
    <row r="121" spans="14:62" ht="14.25" customHeight="1">
      <c r="Q121" s="152" t="s">
        <v>22</v>
      </c>
      <c r="R121" s="124" t="s">
        <v>34</v>
      </c>
      <c r="S121" s="45">
        <f>+S107</f>
        <v>2026</v>
      </c>
      <c r="T121" s="8">
        <f t="shared" ref="T121:Z121" si="116">+T107</f>
        <v>2027</v>
      </c>
      <c r="U121" s="8">
        <f t="shared" si="116"/>
        <v>2028</v>
      </c>
      <c r="V121" s="8">
        <f t="shared" si="116"/>
        <v>2029</v>
      </c>
      <c r="W121" s="8">
        <f t="shared" si="116"/>
        <v>2030</v>
      </c>
      <c r="X121" s="124">
        <f t="shared" si="116"/>
        <v>2031</v>
      </c>
      <c r="Y121" s="8">
        <f t="shared" si="116"/>
        <v>2032</v>
      </c>
      <c r="Z121" s="8">
        <f t="shared" si="116"/>
        <v>2033</v>
      </c>
      <c r="AA121" s="8">
        <f>+AA107</f>
        <v>2034</v>
      </c>
      <c r="AB121" s="8">
        <f>+AB107</f>
        <v>2035</v>
      </c>
      <c r="AC121" s="124" t="s">
        <v>34</v>
      </c>
      <c r="AD121" s="70"/>
      <c r="AE121" s="70"/>
      <c r="AF121" s="70"/>
      <c r="AG121" s="70"/>
      <c r="AH121" s="70"/>
    </row>
    <row r="122" spans="14:62" ht="14.25" customHeight="1">
      <c r="Q122" s="147" t="s">
        <v>74</v>
      </c>
      <c r="R122" s="315">
        <f t="shared" ref="R122:R131" si="117">+AC122</f>
        <v>0</v>
      </c>
      <c r="S122" s="316">
        <f>+SUMIF($O$20:$O$39,Lister!$D$31,S$20:S$39)</f>
        <v>0</v>
      </c>
      <c r="T122" s="316">
        <f>+SUMIF($O$20:$O$39,Lister!$D$31,T$20:T$39)</f>
        <v>0</v>
      </c>
      <c r="U122" s="316">
        <f>+SUMIF($O$20:$O$39,Lister!$D$31,U$20:U$39)</f>
        <v>0</v>
      </c>
      <c r="V122" s="316">
        <f>+SUMIF($O$20:$O$39,Lister!$D$31,V$20:V$39)</f>
        <v>0</v>
      </c>
      <c r="W122" s="316">
        <f>+SUMIF($O$20:$O$39,Lister!$D$31,W$20:W$39)</f>
        <v>0</v>
      </c>
      <c r="X122" s="316">
        <f>+SUMIF($O$20:$O$39,Lister!$D$31,X$20:X$39)</f>
        <v>0</v>
      </c>
      <c r="Y122" s="316">
        <f>+SUMIF($O$20:$O$39,Lister!$D$31,Y$20:Y$39)</f>
        <v>0</v>
      </c>
      <c r="Z122" s="316">
        <f>+SUMIF($O$20:$O$39,Lister!$D$31,Z$20:Z$39)</f>
        <v>0</v>
      </c>
      <c r="AA122" s="316">
        <f>+SUMIF($O$20:$O$39,Lister!$D$31,AA$20:AA$39)</f>
        <v>0</v>
      </c>
      <c r="AB122" s="316">
        <f>+SUMIF($O$20:$O$39,Lister!$D$31,AB$20:AB$39)</f>
        <v>0</v>
      </c>
      <c r="AC122" s="140">
        <f t="shared" ref="AC122:AC131" si="118">SUM(S122:Z122)</f>
        <v>0</v>
      </c>
      <c r="AD122" s="70"/>
      <c r="AE122" s="71"/>
      <c r="AF122" s="71"/>
      <c r="AG122" s="71"/>
      <c r="AH122" s="71"/>
    </row>
    <row r="123" spans="14:62" ht="14.25" customHeight="1">
      <c r="Q123" s="148" t="s">
        <v>75</v>
      </c>
      <c r="R123" s="309">
        <f t="shared" si="117"/>
        <v>0</v>
      </c>
      <c r="S123" s="310">
        <f>+SUMIF($O$43:$O$55,Lister!$D$31,S$43:S$55)</f>
        <v>0</v>
      </c>
      <c r="T123" s="319">
        <f>+SUMIF($O$43:$O$55,Lister!$D$31,T$43:T$55)</f>
        <v>0</v>
      </c>
      <c r="U123" s="310">
        <f>+SUMIF($O$43:$O$55,Lister!$D$31,U$43:U$55)</f>
        <v>0</v>
      </c>
      <c r="V123" s="319">
        <f>+SUMIF($O$43:$O$55,Lister!$D$31,V$43:V$55)</f>
        <v>0</v>
      </c>
      <c r="W123" s="310">
        <f>+SUMIF($O$43:$O$55,Lister!$D$31,W$43:W$55)</f>
        <v>0</v>
      </c>
      <c r="X123" s="320">
        <f>+SUMIF($O$43:$O$55,Lister!$D$31,X$43:X$55)</f>
        <v>0</v>
      </c>
      <c r="Y123" s="295">
        <f>+SUMIF($O$43:$O$55,Lister!$D$31,Y$43:Y$55)</f>
        <v>0</v>
      </c>
      <c r="Z123" s="113">
        <f>+SUMIF($O$43:$O$55,Lister!$D$31,Z$43:Z$55)</f>
        <v>0</v>
      </c>
      <c r="AA123" s="113">
        <f>+SUMIF($O$43:$O$55,Lister!$D$31,AA$43:AA$55)</f>
        <v>0</v>
      </c>
      <c r="AB123" s="113">
        <f>+SUMIF($O$43:$O$55,Lister!$D$31,AB$43:AB$55)</f>
        <v>0</v>
      </c>
      <c r="AC123" s="141">
        <f t="shared" si="118"/>
        <v>0</v>
      </c>
      <c r="AD123" s="71"/>
    </row>
    <row r="124" spans="14:62" ht="14.25" customHeight="1">
      <c r="Q124" s="149" t="s">
        <v>76</v>
      </c>
      <c r="R124" s="312">
        <f t="shared" si="117"/>
        <v>0</v>
      </c>
      <c r="S124" s="313">
        <f>+S123+S122</f>
        <v>0</v>
      </c>
      <c r="T124" s="313">
        <f t="shared" ref="T124:Z124" si="119">+T123+T122</f>
        <v>0</v>
      </c>
      <c r="U124" s="313">
        <f t="shared" si="119"/>
        <v>0</v>
      </c>
      <c r="V124" s="313">
        <f t="shared" si="119"/>
        <v>0</v>
      </c>
      <c r="W124" s="313">
        <f t="shared" si="119"/>
        <v>0</v>
      </c>
      <c r="X124" s="314">
        <f t="shared" si="119"/>
        <v>0</v>
      </c>
      <c r="Y124" s="296">
        <f t="shared" si="119"/>
        <v>0</v>
      </c>
      <c r="Z124" s="137">
        <f t="shared" si="119"/>
        <v>0</v>
      </c>
      <c r="AA124" s="137">
        <f>+AA123+AA122</f>
        <v>0</v>
      </c>
      <c r="AB124" s="137">
        <f>+AB123+AB122</f>
        <v>0</v>
      </c>
      <c r="AC124" s="138">
        <f t="shared" si="118"/>
        <v>0</v>
      </c>
    </row>
    <row r="125" spans="14:62" ht="14.25" customHeight="1">
      <c r="Q125" s="149" t="s">
        <v>77</v>
      </c>
      <c r="R125" s="312">
        <f t="shared" si="117"/>
        <v>0</v>
      </c>
      <c r="S125" s="313">
        <f>+SUMIF($O$62:$O$74,Lister!$D$31,C$62:C$74)</f>
        <v>0</v>
      </c>
      <c r="T125" s="327">
        <f>+SUMIF($O$62:$O$74,Lister!$D$31,D$62:D$74)</f>
        <v>0</v>
      </c>
      <c r="U125" s="327">
        <f>+SUMIF($O$62:$O$74,Lister!$D$31,E$62:E$74)</f>
        <v>0</v>
      </c>
      <c r="V125" s="327">
        <f>+SUMIF($O$62:$O$74,Lister!$D$31,F$62:F$74)</f>
        <v>0</v>
      </c>
      <c r="W125" s="327">
        <f>+SUMIF($O$62:$O$74,Lister!$D$31,G$62:G$74)</f>
        <v>0</v>
      </c>
      <c r="X125" s="328">
        <f>+SUMIF($O$62:$O$74,Lister!$D$31,H$62:H$74)</f>
        <v>0</v>
      </c>
      <c r="Y125" s="209">
        <f>+SUMIF($O$62:$O$74,Lister!$D$31,I$62:I$74)</f>
        <v>0</v>
      </c>
      <c r="Z125" s="208">
        <f>+SUMIF($O$62:$O$74,Lister!$D$31,J$62:J$74)</f>
        <v>0</v>
      </c>
      <c r="AA125" s="208">
        <f>+SUMIF($O$62:$O$74,Lister!$D$31,K$62:K$74)</f>
        <v>0</v>
      </c>
      <c r="AB125" s="208">
        <f>+SUMIF($O$62:$O$74,Lister!$D$31,L$62:L$74)</f>
        <v>0</v>
      </c>
      <c r="AC125" s="138">
        <f t="shared" si="118"/>
        <v>0</v>
      </c>
    </row>
    <row r="126" spans="14:62" ht="14.25" customHeight="1">
      <c r="Q126" s="149" t="s">
        <v>78</v>
      </c>
      <c r="R126" s="312">
        <f t="shared" si="117"/>
        <v>0</v>
      </c>
      <c r="S126" s="313">
        <f>+S125+S124</f>
        <v>0</v>
      </c>
      <c r="T126" s="329">
        <f t="shared" ref="T126:Z126" si="120">+T125+T124</f>
        <v>0</v>
      </c>
      <c r="U126" s="329">
        <f t="shared" si="120"/>
        <v>0</v>
      </c>
      <c r="V126" s="329">
        <f t="shared" si="120"/>
        <v>0</v>
      </c>
      <c r="W126" s="329">
        <f t="shared" si="120"/>
        <v>0</v>
      </c>
      <c r="X126" s="330">
        <f t="shared" si="120"/>
        <v>0</v>
      </c>
      <c r="Y126" s="146">
        <f t="shared" si="120"/>
        <v>0</v>
      </c>
      <c r="Z126" s="145">
        <f t="shared" si="120"/>
        <v>0</v>
      </c>
      <c r="AA126" s="145">
        <f>+AA125+AA124</f>
        <v>0</v>
      </c>
      <c r="AB126" s="145">
        <f>+AB125+AB124</f>
        <v>0</v>
      </c>
      <c r="AC126" s="138">
        <f t="shared" si="118"/>
        <v>0</v>
      </c>
    </row>
    <row r="127" spans="14:62" ht="14.25" customHeight="1">
      <c r="Q127" s="150" t="s">
        <v>0</v>
      </c>
      <c r="R127" s="312">
        <f t="shared" si="117"/>
        <v>0</v>
      </c>
      <c r="S127" s="153">
        <f>IF($C$12=2,S124*$C$6/100,
IF($G$6=Lister!$D$4,S124*$C$6/100,
IF($G$6=Lister!$D$5,S126*$C$6/100,
IF($G$6=Lister!$D$6,(S126-SUMIFS(C62:C74,$O$62:$O$74,Lister!$D$31,$A$62:$A$74,Lister!$M$10))*$C$6/100,
IF($G$6=Lister!$D$7,(S126-SUMIFS(C62:C74,$O$62:$O$74,Lister!$D$31,$A$62:$A$74,Lister!$M$10)-SUMIFS(C62:C74,$O$62:$O$74,Lister!$D$31,$A$62:$A$74,Lister!$M$7))*$C$6/100,
IF($G$6=Lister!$D$8,(S126+S128)*$C$6/100,
IF($G$6=Lister!$D$9,S125*$C$6/100,0)))))))</f>
        <v>0</v>
      </c>
      <c r="T127" s="323">
        <f>IF($C$12=2,T124*$C$6/100,
IF($G$6=Lister!$D$4,T124*$C$6/100,
IF($G$6=Lister!$D$5,T126*$C$6/100,
IF($G$6=Lister!$D$6,(T126-SUMIFS(D62:D74,$O$62:$O$74,Lister!$D$31,$A$62:$A$74,Lister!$M$10))*$C$6/100,
IF($G$6=Lister!$D$7,(T126-SUMIFS(D62:D74,$O$62:$O$74,Lister!$D$31,$A$62:$A$74,Lister!$M$10)-SUMIFS(D62:D74,$O$62:$O$74,Lister!$D$31,$A$62:$A$74,Lister!$M$7))*$C$6/100,
IF($G$6=Lister!$D$8,(T126+T128)*$C$6/100,
IF($G$6=Lister!$D$9,T125*$C$6/100,0)))))))</f>
        <v>0</v>
      </c>
      <c r="U127" s="323">
        <f>IF($C$12=2,U124*$C$6/100,
IF($G$6=Lister!$D$4,U124*$C$6/100,
IF($G$6=Lister!$D$5,U126*$C$6/100,
IF($G$6=Lister!$D$6,(U126-SUMIFS(E62:E74,$O$62:$O$74,Lister!$D$31,$A$62:$A$74,Lister!$M$10))*$C$6/100,
IF($G$6=Lister!$D$7,(U126-SUMIFS(E62:E74,$O$62:$O$74,Lister!$D$31,$A$62:$A$74,Lister!$M$10)-SUMIFS(E62:E74,$O$62:$O$74,Lister!$D$31,$A$62:$A$74,Lister!$M$7))*$C$6/100,
IF($G$6=Lister!$D$8,(U126+U128)*$C$6/100,
IF($G$6=Lister!$D$9,U125*$C$6/100,0)))))))</f>
        <v>0</v>
      </c>
      <c r="V127" s="323">
        <f>IF($C$12=2,V124*$C$6/100,
IF($G$6=Lister!$D$4,V124*$C$6/100,
IF($G$6=Lister!$D$5,V126*$C$6/100,
IF($G$6=Lister!$D$6,(V126-SUMIFS(F62:F74,$O$62:$O$74,Lister!$D$31,$A$62:$A$74,Lister!$M$10))*$C$6/100,
IF($G$6=Lister!$D$7,(V126-SUMIFS(F62:F74,$O$62:$O$74,Lister!$D$31,$A$62:$A$74,Lister!$M$10)-SUMIFS(F62:F74,$O$62:$O$74,Lister!$D$31,$A$62:$A$74,Lister!$M$7))*$C$6/100,
IF($G$6=Lister!$D$8,(V126+V128)*$C$6/100,
IF($G$6=Lister!$D$9,V125*$C$6/100,0)))))))</f>
        <v>0</v>
      </c>
      <c r="W127" s="323">
        <f>IF($C$12=2,W124*$C$6/100,
IF($G$6=Lister!$D$4,W124*$C$6/100,
IF($G$6=Lister!$D$5,W126*$C$6/100,
IF($G$6=Lister!$D$6,(W126-SUMIFS(G62:G74,$O$62:$O$74,Lister!$D$31,$A$62:$A$74,Lister!$M$10))*$C$6/100,
IF($G$6=Lister!$D$7,(W126-SUMIFS(G62:G74,$O$62:$O$74,Lister!$D$31,$A$62:$A$74,Lister!$M$10)-SUMIFS(G62:G74,$O$62:$O$74,Lister!$D$31,$A$62:$A$74,Lister!$M$7))*$C$6/100,
IF($G$6=Lister!$D$8,(W126+W128)*$C$6/100,
IF($G$6=Lister!$D$9,W125*$C$6/100,0)))))))</f>
        <v>0</v>
      </c>
      <c r="X127" s="324">
        <f>IF($C$12=2,X124*$C$6/100,
IF($G$6=Lister!$D$4,X124*$C$6/100,
IF($G$6=Lister!$D$5,X126*$C$6/100,
IF($G$6=Lister!$D$6,(X126-SUMIFS(H62:H74,$O$62:$O$74,Lister!$D$31,$A$62:$A$74,Lister!$M$10))*$C$6/100,
IF($G$6=Lister!$D$7,(X126-SUMIFS(H62:H74,$O$62:$O$74,Lister!$D$31,$A$62:$A$74,Lister!$M$10)-SUMIFS(H62:H74,$O$62:$O$74,Lister!$D$31,$A$62:$A$74,Lister!$M$7))*$C$6/100,
IF($G$6=Lister!$D$8,(X126+X128)*$C$6/100,
IF($G$6=Lister!$D$9,X125*$C$6/100,0)))))))</f>
        <v>0</v>
      </c>
      <c r="Y127" s="205">
        <f>IF($C$12=2,Y124*$C$6/100,
IF($G$6=Lister!$D$4,Y124*$C$6/100,
IF($G$6=Lister!$D$5,Y126*$C$6/100,
IF($G$6=Lister!$D$6,(Y126-SUMIFS(I62:I74,$O$62:$O$74,Lister!$D$31,$A$62:$A$74,Lister!$M$10))*$C$6/100,
IF($G$6=Lister!$D$7,(Y126-SUMIFS(I62:I74,$O$62:$O$74,Lister!$D$31,$A$62:$A$74,Lister!$M$10)-SUMIFS(I62:I74,$O$62:$O$74,Lister!$D$31,$A$62:$A$74,Lister!$M$7))*$C$6/100,
IF($G$6=Lister!$D$8,(Y126+Y128)*$C$6/100,
IF($G$6=Lister!$D$9,Y125*$C$6/100,0)))))))</f>
        <v>0</v>
      </c>
      <c r="Z127" s="204">
        <f>IF($C$12=2,Z124*$C$6/100,
IF($G$6=Lister!$D$4,Z124*$C$6/100,
IF($G$6=Lister!$D$5,Z126*$C$6/100,
IF($G$6=Lister!$D$6,(Z126-SUMIFS(J62:J74,$O$62:$O$74,Lister!$D$31,$A$62:$A$74,Lister!$M$10))*$C$6/100,
IF($G$6=Lister!$D$7,(Z126-SUMIFS(J62:J74,$O$62:$O$74,Lister!$D$31,$A$62:$A$74,Lister!$M$10)-SUMIFS(J62:J74,$O$62:$O$74,Lister!$D$31,$A$62:$A$74,Lister!$M$7))*$C$6/100,
IF($G$6=Lister!$D$8,(Z126+Z128)*$C$6/100,
IF($G$6=Lister!$D$9,Z125*$C$6/100,0)))))))</f>
        <v>0</v>
      </c>
      <c r="AA127" s="204">
        <f>IF($C$12=2,AA124*$C$6/100,
IF($G$6=Lister!$D$4,AA124*$C$6/100,
IF($G$6=Lister!$D$5,AA126*$C$6/100,
IF($G$6=Lister!$D$6,(AA126-SUMIFS(K62:K74,$O$62:$O$74,Lister!$D$31,$A$62:$A$74,Lister!$M$10))*$C$6/100,
IF($G$6=Lister!$D$7,(AA126-SUMIFS(K62:K74,$O$62:$O$74,Lister!$D$31,$A$62:$A$74,Lister!$M$10)-SUMIFS(K62:K74,$O$62:$O$74,Lister!$D$31,$A$62:$A$74,Lister!$M$7))*$C$6/100,
IF($G$6=Lister!$D$8,(AA126+AA128)*$C$6/100,
IF($G$6=Lister!$D$9,AA125*$C$6/100,0)))))))</f>
        <v>0</v>
      </c>
      <c r="AB127" s="204">
        <f>IF($C$12=2,AB124*$C$6/100,
IF($G$6=Lister!$D$4,AB124*$C$6/100,
IF($G$6=Lister!$D$5,AB126*$C$6/100,
IF($G$6=Lister!$D$6,(AB126-SUMIFS(L62:L74,$O$62:$O$74,Lister!$D$31,$A$62:$A$74,Lister!$M$10))*$C$6/100,
IF($G$6=Lister!$D$7,(AB126-SUMIFS(L62:L74,$O$62:$O$74,Lister!$D$31,$A$62:$A$74,Lister!$M$10)-SUMIFS(L62:L74,$O$62:$O$74,Lister!$D$31,$A$62:$A$74,Lister!$M$7))*$C$6/100,
IF($G$6=Lister!$D$8,(AB126+AB128)*$C$6/100,
IF($G$6=Lister!$D$9,AB125*$C$6/100,0)))))))</f>
        <v>0</v>
      </c>
      <c r="AC127" s="138">
        <f t="shared" si="118"/>
        <v>0</v>
      </c>
    </row>
    <row r="128" spans="14:62" ht="14.25" customHeight="1">
      <c r="Q128" s="151" t="s">
        <v>103</v>
      </c>
      <c r="R128" s="312">
        <f t="shared" si="117"/>
        <v>0</v>
      </c>
      <c r="S128" s="153">
        <f>+IF($C$8=Lister!$O$5,(SUMIF($O$20:$O$29,Lister!$D$31,C20:C29))*Takstblad!C$84,0)</f>
        <v>0</v>
      </c>
      <c r="T128" s="153">
        <f>+IF($C$8=Lister!$O$5,(SUMIF($O$20:$O$29,Lister!$D$31,D20:D29))*Takstblad!D$84,0)</f>
        <v>0</v>
      </c>
      <c r="U128" s="153">
        <f>+IF($C$8=Lister!$O$5,(SUMIF($O$20:$O$29,Lister!$D$31,E20:E29))*Takstblad!E$84,0)</f>
        <v>0</v>
      </c>
      <c r="V128" s="153">
        <f>+IF($C$8=Lister!$O$5,(SUMIF($O$20:$O$29,Lister!$D$31,F20:F29))*Takstblad!F$84,0)</f>
        <v>0</v>
      </c>
      <c r="W128" s="153">
        <f>+IF($C$8=Lister!$O$5,(SUMIF($O$20:$O$29,Lister!$D$31,G20:G29))*Takstblad!G$84,0)</f>
        <v>0</v>
      </c>
      <c r="X128" s="300">
        <f>+IF($C$8=Lister!$O$5,(SUMIF($O$20:$O$29,Lister!$D$31,H20:H29))*Takstblad!H$84,0)</f>
        <v>0</v>
      </c>
      <c r="Y128" s="297">
        <f>+IF($C$8=Lister!$O$5,(SUMIF($O$20:$O$29,Lister!$D$31,I20:I29))*Takstblad!I$84,0)</f>
        <v>0</v>
      </c>
      <c r="Z128" s="21">
        <f>+IF($C$8=Lister!$O$5,(SUMIF($O$20:$O$29,Lister!$D$31,J20:J29))*Takstblad!J$84,0)</f>
        <v>0</v>
      </c>
      <c r="AA128" s="21">
        <f>+IF($C$8=Lister!$O$5,(SUMIF($O$20:$O$29,Lister!$D$31,K20:K29))*Takstblad!K$84,0)</f>
        <v>0</v>
      </c>
      <c r="AB128" s="21">
        <f>+IF($C$8=Lister!$O$5,(SUMIF($O$20:$O$29,Lister!$D$31,L20:L29))*Takstblad!L$84,0)</f>
        <v>0</v>
      </c>
      <c r="AC128" s="138">
        <f t="shared" si="118"/>
        <v>0</v>
      </c>
    </row>
    <row r="129" spans="17:29" ht="14.25" customHeight="1">
      <c r="Q129" s="151" t="s">
        <v>108</v>
      </c>
      <c r="R129" s="312">
        <f t="shared" si="117"/>
        <v>0</v>
      </c>
      <c r="S129" s="153"/>
      <c r="T129" s="155"/>
      <c r="U129" s="155"/>
      <c r="V129" s="155"/>
      <c r="W129" s="155"/>
      <c r="X129" s="308"/>
      <c r="Y129" s="114"/>
      <c r="Z129" s="115"/>
      <c r="AA129" s="115"/>
      <c r="AB129" s="115"/>
      <c r="AC129" s="138">
        <f t="shared" si="118"/>
        <v>0</v>
      </c>
    </row>
    <row r="130" spans="17:29" ht="14.25" customHeight="1">
      <c r="Q130" s="150" t="s">
        <v>531</v>
      </c>
      <c r="R130" s="312">
        <f t="shared" si="117"/>
        <v>0</v>
      </c>
      <c r="S130" s="153" t="str">
        <f>IF($C$12=2,(SUM(S126:S129)*$C$13)/100,"0")</f>
        <v>0</v>
      </c>
      <c r="T130" s="155" t="str">
        <f t="shared" ref="T130:Z130" si="121">IF($C$12=2,(SUM(T126:T129)*$C$13)/100,"0")</f>
        <v>0</v>
      </c>
      <c r="U130" s="155" t="str">
        <f t="shared" si="121"/>
        <v>0</v>
      </c>
      <c r="V130" s="155" t="str">
        <f t="shared" si="121"/>
        <v>0</v>
      </c>
      <c r="W130" s="155" t="str">
        <f t="shared" si="121"/>
        <v>0</v>
      </c>
      <c r="X130" s="308" t="str">
        <f t="shared" si="121"/>
        <v>0</v>
      </c>
      <c r="Y130" s="156" t="str">
        <f t="shared" si="121"/>
        <v>0</v>
      </c>
      <c r="Z130" s="155" t="str">
        <f t="shared" si="121"/>
        <v>0</v>
      </c>
      <c r="AA130" s="155" t="str">
        <f>IF($C$12=2,(SUM(AA126:AA129)*$C$13)/100,"0")</f>
        <v>0</v>
      </c>
      <c r="AB130" s="155" t="str">
        <f>IF($C$12=2,(SUM(AB126:AB129)*$C$13)/100,"0")</f>
        <v>0</v>
      </c>
      <c r="AC130" s="138">
        <f t="shared" si="118"/>
        <v>0</v>
      </c>
    </row>
    <row r="131" spans="17:29" ht="14.25" customHeight="1" thickBot="1">
      <c r="Q131" s="303" t="s">
        <v>101</v>
      </c>
      <c r="R131" s="331">
        <f t="shared" si="117"/>
        <v>0</v>
      </c>
      <c r="S131" s="332">
        <f>+SUM(S126:S130)</f>
        <v>0</v>
      </c>
      <c r="T131" s="332">
        <f t="shared" ref="T131:Z131" si="122">+SUM(T126:T130)</f>
        <v>0</v>
      </c>
      <c r="U131" s="332">
        <f t="shared" si="122"/>
        <v>0</v>
      </c>
      <c r="V131" s="332">
        <f t="shared" si="122"/>
        <v>0</v>
      </c>
      <c r="W131" s="332">
        <f t="shared" si="122"/>
        <v>0</v>
      </c>
      <c r="X131" s="333">
        <f t="shared" si="122"/>
        <v>0</v>
      </c>
      <c r="Y131" s="299">
        <f t="shared" si="122"/>
        <v>0</v>
      </c>
      <c r="Z131" s="143">
        <f t="shared" si="122"/>
        <v>0</v>
      </c>
      <c r="AA131" s="143">
        <f>+SUM(AA126:AA130)</f>
        <v>0</v>
      </c>
      <c r="AB131" s="143">
        <f>+SUM(AB126:AB130)</f>
        <v>0</v>
      </c>
      <c r="AC131" s="144">
        <f t="shared" si="118"/>
        <v>0</v>
      </c>
    </row>
    <row r="132" spans="17:29" ht="12.5">
      <c r="Q132" s="7"/>
      <c r="R132" s="7"/>
    </row>
    <row r="133" spans="17:29" ht="12.5">
      <c r="Q133" s="7"/>
      <c r="R133" s="7"/>
    </row>
    <row r="134" spans="17:29" ht="12.5">
      <c r="Q134" s="7"/>
      <c r="R134" s="7"/>
    </row>
    <row r="142" spans="17:29" ht="12.5">
      <c r="Q142" s="7"/>
      <c r="R142" s="7"/>
    </row>
    <row r="143" spans="17:29" ht="12.5">
      <c r="Q143" s="7"/>
      <c r="R143" s="7"/>
    </row>
    <row r="144" spans="17:29" ht="12.5">
      <c r="Q144" s="7"/>
      <c r="R144" s="7"/>
    </row>
    <row r="145" s="7" customFormat="1" ht="12.5"/>
    <row r="146" s="7" customFormat="1" ht="12.5"/>
    <row r="147" s="7" customFormat="1" ht="12.5"/>
    <row r="148" s="7" customFormat="1" ht="12.5"/>
    <row r="149" s="7" customFormat="1" ht="12.5"/>
    <row r="150" s="7" customFormat="1" ht="12.5"/>
    <row r="151" s="7" customFormat="1" ht="12.5"/>
    <row r="152" s="7" customFormat="1" ht="12.5"/>
  </sheetData>
  <sheetProtection algorithmName="SHA-512" hashValue="7GxPaNpRcqr5G6TkpHElXTRbntHgELCx+y8GzcJaoAxrvk4On3hxEVU3XIiLiIavnaYn8yD0TfezSQnTjM5z9Q==" saltValue="0l5696WormWvF+mcGwLwzA==" spinCount="100000" sheet="1" objects="1" scenarios="1"/>
  <mergeCells count="35">
    <mergeCell ref="BF19:BG19"/>
    <mergeCell ref="BF42:BG42"/>
    <mergeCell ref="BI19:BJ19"/>
    <mergeCell ref="BI42:BJ42"/>
    <mergeCell ref="AE42:AF42"/>
    <mergeCell ref="AH42:AI42"/>
    <mergeCell ref="AK42:AL42"/>
    <mergeCell ref="AN42:AO42"/>
    <mergeCell ref="AQ42:AR42"/>
    <mergeCell ref="AZ19:BA19"/>
    <mergeCell ref="AZ42:BA42"/>
    <mergeCell ref="BC19:BD19"/>
    <mergeCell ref="BC42:BD42"/>
    <mergeCell ref="AT19:AU19"/>
    <mergeCell ref="AW19:AX19"/>
    <mergeCell ref="AT42:AU42"/>
    <mergeCell ref="AW42:AX42"/>
    <mergeCell ref="AN19:AO19"/>
    <mergeCell ref="AQ19:AR19"/>
    <mergeCell ref="D6:F6"/>
    <mergeCell ref="G6:H6"/>
    <mergeCell ref="G7:H7"/>
    <mergeCell ref="D12:G12"/>
    <mergeCell ref="D13:G13"/>
    <mergeCell ref="J12:O12"/>
    <mergeCell ref="C8:D8"/>
    <mergeCell ref="C3:H3"/>
    <mergeCell ref="C4:H4"/>
    <mergeCell ref="C5:H5"/>
    <mergeCell ref="AH19:AI19"/>
    <mergeCell ref="AK19:AL19"/>
    <mergeCell ref="AE19:AF19"/>
    <mergeCell ref="D7:F7"/>
    <mergeCell ref="D14:H14"/>
    <mergeCell ref="D16:H16"/>
  </mergeCells>
  <dataValidations count="3">
    <dataValidation errorStyle="information" allowBlank="1" showInputMessage="1" showErrorMessage="1" sqref="O73:O74" xr:uid="{DCFF126E-E5BC-4E90-B54A-B522C07EB758}"/>
    <dataValidation type="decimal" operator="lessThan" allowBlank="1" showInputMessage="1" showErrorMessage="1" errorTitle="Too High Value" error="Value can't exceed 12 months" sqref="C43:L52 C20:L39" xr:uid="{4E568FDA-A5C1-4C36-A1AF-FB9DFD5FEA6C}">
      <formula1>13</formula1>
    </dataValidation>
    <dataValidation type="date" allowBlank="1" showInputMessage="1" showErrorMessage="1" sqref="C9 D9:D10 I9:I10 H9" xr:uid="{42304569-96E7-4C45-89E1-890F1764CE5A}">
      <formula1>45292</formula1>
      <formula2>73050</formula2>
    </dataValidation>
  </dataValidations>
  <pageMargins left="0.15748031496062992" right="0.23622047244094491" top="0.27559055118110237" bottom="0.19685039370078741" header="0" footer="0"/>
  <pageSetup paperSize="9" scale="55" orientation="landscape" r:id="rId1"/>
  <headerFooter alignWithMargins="0">
    <oddFooter>&amp;R&amp;A
&amp;D</oddFooter>
  </headerFooter>
  <rowBreaks count="1" manualBreakCount="1">
    <brk id="118" max="16383" man="1"/>
  </rowBreaks>
  <legacyDrawing r:id="rId2"/>
  <extLst>
    <ext xmlns:x14="http://schemas.microsoft.com/office/spreadsheetml/2009/9/main" uri="{CCE6A557-97BC-4b89-ADB6-D9C93CAAB3DF}">
      <x14:dataValidations xmlns:xm="http://schemas.microsoft.com/office/excel/2006/main" count="20">
        <x14:dataValidation type="list" allowBlank="1" showInputMessage="1" showErrorMessage="1" xr:uid="{00000000-0002-0000-0C00-000000000000}">
          <x14:formula1>
            <xm:f>Takstblad!$A$5:$A$30</xm:f>
          </x14:formula1>
          <xm:sqref>A20:A39</xm:sqref>
        </x14:dataValidation>
        <x14:dataValidation type="list" allowBlank="1" showInputMessage="1" showErrorMessage="1" errorTitle="STOP" error="Du kan kun vælge fra listen" xr:uid="{00000000-0002-0000-0C00-000002000000}">
          <x14:formula1>
            <xm:f>Lister!$I$4:$I$7</xm:f>
          </x14:formula1>
          <xm:sqref>I7</xm:sqref>
        </x14:dataValidation>
        <x14:dataValidation type="list" allowBlank="1" showInputMessage="1" xr:uid="{E8D1C760-2DA7-4AB9-B521-A6984BA89545}">
          <x14:formula1>
            <xm:f>Lister!$O$4:$O$5</xm:f>
          </x14:formula1>
          <xm:sqref>C11</xm:sqref>
        </x14:dataValidation>
        <x14:dataValidation type="list" allowBlank="1" showInputMessage="1" showErrorMessage="1" errorTitle="Information" error="Please choose a department from the list" xr:uid="{00000000-0002-0000-0C00-000004000000}">
          <x14:formula1>
            <xm:f>Lister!$A$4:$A$16</xm:f>
          </x14:formula1>
          <xm:sqref>C2</xm:sqref>
        </x14:dataValidation>
        <x14:dataValidation type="list" allowBlank="1" showInputMessage="1" xr:uid="{00000000-0002-0000-0C00-000008000000}">
          <x14:formula1>
            <xm:f>Lister!$I$21:$I$40</xm:f>
          </x14:formula1>
          <xm:sqref>I5</xm:sqref>
        </x14:dataValidation>
        <x14:dataValidation type="list" errorStyle="warning" allowBlank="1" showInputMessage="1" showErrorMessage="1" errorTitle="Are you sure" error="You are about to select a number of hours that is not on the list. Are you sure you want to continue?" xr:uid="{F601772E-67B7-4B7A-A046-5F64DBAD7201}">
          <x14:formula1>
            <xm:f>Lister!$F$4:$F$10</xm:f>
          </x14:formula1>
          <xm:sqref>C7</xm:sqref>
        </x14:dataValidation>
        <x14:dataValidation type="list" allowBlank="1" showInputMessage="1" showErrorMessage="1" errorTitle="STOP" error="You can only select a value from the list." xr:uid="{467D5D6E-50B1-4D77-AEAB-570BCFBF421B}">
          <x14:formula1>
            <xm:f>Lister!$I$4:$I$7</xm:f>
          </x14:formula1>
          <xm:sqref>G7:H7</xm:sqref>
        </x14:dataValidation>
        <x14:dataValidation type="list" allowBlank="1" showInputMessage="1" showErrorMessage="1" errorTitle="STOP" error="You can only select a value from the list." xr:uid="{1FF9EB8B-98B5-4421-864E-F99EC1CA0959}">
          <x14:formula1>
            <xm:f>Lister!$A$40:$A$41</xm:f>
          </x14:formula1>
          <xm:sqref>H8 H15</xm:sqref>
        </x14:dataValidation>
        <x14:dataValidation type="list" allowBlank="1" showInputMessage="1" showErrorMessage="1" errorTitle="STOP" error="You can only select a value from the list." xr:uid="{49125B3D-F472-43C0-A30D-3960FD88BC7A}">
          <x14:formula1>
            <xm:f>Lister!$A$49:$A$50</xm:f>
          </x14:formula1>
          <xm:sqref>C12</xm:sqref>
        </x14:dataValidation>
        <x14:dataValidation type="list" errorStyle="warning" allowBlank="1" showErrorMessage="1" errorTitle="Are you sure" error="You are about to select an EBIT that is different from 10. Are you sure you want to continue?" xr:uid="{887761D4-1FED-4AE1-8B17-998C401AF58F}">
          <x14:formula1>
            <xm:f>Lister!$A$53:$A$53</xm:f>
          </x14:formula1>
          <xm:sqref>C13</xm:sqref>
        </x14:dataValidation>
        <x14:dataValidation type="list" allowBlank="1" showInputMessage="1" xr:uid="{80EB87ED-49AC-4547-9EB9-B2C3072BAD1D}">
          <x14:formula1>
            <xm:f>Lister!$I$20:$I$45</xm:f>
          </x14:formula1>
          <xm:sqref>C5:H5</xm:sqref>
        </x14:dataValidation>
        <x14:dataValidation type="list" errorStyle="warning" allowBlank="1" showInputMessage="1" showErrorMessage="1" errorTitle="Are you sure" error="You are about to select an EBIT that is different from 10. Are you sure you want to continue?" xr:uid="{2E3A3B57-F22C-48F4-9628-E85CF3DC4F12}">
          <x14:formula1>
            <xm:f>Lister!$A$40:$A$41</xm:f>
          </x14:formula1>
          <xm:sqref>C14:C16</xm:sqref>
        </x14:dataValidation>
        <x14:dataValidation type="list" allowBlank="1" showInputMessage="1" xr:uid="{A831B03E-CFF9-4B52-978A-2F410EF67350}">
          <x14:formula1>
            <xm:f>Lister!$O$4:$O$6</xm:f>
          </x14:formula1>
          <xm:sqref>C8:D8</xm:sqref>
        </x14:dataValidation>
        <x14:dataValidation type="list" allowBlank="1" showInputMessage="1" showErrorMessage="1" errorTitle="STOP" error="You can only select a value from the list." xr:uid="{BF14486B-2231-45CB-8B64-188867ACFDFB}">
          <x14:formula1>
            <xm:f>Lister!$D$29:$D$32</xm:f>
          </x14:formula1>
          <xm:sqref>O62:P72 O43:P52 O20:P39</xm:sqref>
        </x14:dataValidation>
        <x14:dataValidation type="list" allowBlank="1" showInputMessage="1" xr:uid="{617FC91A-9461-4360-818F-F750DDCCEAB1}">
          <x14:formula1>
            <xm:f>Lister!$A$61:$A$62</xm:f>
          </x14:formula1>
          <xm:sqref>C10</xm:sqref>
        </x14:dataValidation>
        <x14:dataValidation type="list" allowBlank="1" showInputMessage="1" showErrorMessage="1" xr:uid="{A7F19FDA-F715-4F67-93D0-9D1629026EBF}">
          <x14:formula1>
            <xm:f>Lister!$A$65:$A$66</xm:f>
          </x14:formula1>
          <xm:sqref>H10</xm:sqref>
        </x14:dataValidation>
        <x14:dataValidation type="list" allowBlank="1" showInputMessage="1" showErrorMessage="1" xr:uid="{F2D975A8-DBCF-45D3-B473-F9F028561452}">
          <x14:formula1>
            <xm:f>Takstblad!$A$33:$A$47</xm:f>
          </x14:formula1>
          <xm:sqref>A43:A52</xm:sqref>
        </x14:dataValidation>
        <x14:dataValidation type="list" allowBlank="1" showInputMessage="1" showErrorMessage="1" xr:uid="{46E1BBE3-75DD-4EA0-B802-374C50D45CE2}">
          <x14:formula1>
            <xm:f>Lister!$M$4:$M$17</xm:f>
          </x14:formula1>
          <xm:sqref>A62:A72</xm:sqref>
        </x14:dataValidation>
        <x14:dataValidation type="list" errorStyle="warning" allowBlank="1" showInputMessage="1" showErrorMessage="1" errorTitle="Are you sure" error="You are about to select an overhead rate that is not on the list. Are you sure you want to continue?" xr:uid="{DBDC262A-585E-4AB3-9B3B-BCC345BFEF97}">
          <x14:formula1>
            <xm:f>Lister!$D$37:$D$44</xm:f>
          </x14:formula1>
          <xm:sqref>C6</xm:sqref>
        </x14:dataValidation>
        <x14:dataValidation type="list" allowBlank="1" showInputMessage="1" showErrorMessage="1" errorTitle="STOP" error="You can only select a value from the list." xr:uid="{7A211903-C791-411E-AB1D-15096B3E7DAF}">
          <x14:formula1>
            <xm:f>Lister!$D$4:$D$9</xm:f>
          </x14:formula1>
          <xm:sqref>G6:H6</xm:sqref>
        </x14:dataValidation>
      </x14:dataValidations>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Ark14">
    <tabColor theme="8" tint="0.59999389629810485"/>
  </sheetPr>
  <dimension ref="A1:BN152"/>
  <sheetViews>
    <sheetView showGridLines="0" showZeros="0" zoomScale="80" zoomScaleNormal="80" workbookViewId="0">
      <pane xSplit="2" ySplit="17" topLeftCell="C18" activePane="bottomRight" state="frozen"/>
      <selection activeCell="C6" sqref="C6"/>
      <selection pane="topRight" activeCell="C6" sqref="C6"/>
      <selection pane="bottomLeft" activeCell="C6" sqref="C6"/>
      <selection pane="bottomRight" activeCell="C2" sqref="C2"/>
    </sheetView>
  </sheetViews>
  <sheetFormatPr defaultColWidth="16.75" defaultRowHeight="13" outlineLevelRow="1" outlineLevelCol="1"/>
  <cols>
    <col min="1" max="1" width="53.58203125" style="7" customWidth="1"/>
    <col min="2" max="2" width="11.58203125" style="7" hidden="1" customWidth="1"/>
    <col min="3" max="8" width="11.58203125" style="7" customWidth="1"/>
    <col min="9" max="12" width="11.58203125" style="7" hidden="1" customWidth="1" outlineLevel="1"/>
    <col min="13" max="13" width="11.58203125" style="7" customWidth="1" collapsed="1"/>
    <col min="14" max="14" width="35.25" style="7" customWidth="1"/>
    <col min="15" max="15" width="27.08203125" style="7" customWidth="1"/>
    <col min="16" max="16" width="6" style="7" customWidth="1"/>
    <col min="17" max="18" width="25.08203125" style="6" customWidth="1"/>
    <col min="19" max="24" width="12.58203125" style="7" customWidth="1"/>
    <col min="25" max="29" width="12.58203125" style="7" hidden="1" customWidth="1" outlineLevel="1"/>
    <col min="30" max="30" width="4.08203125" style="7" customWidth="1" collapsed="1"/>
    <col min="31" max="31" width="10.75" style="7" bestFit="1" customWidth="1"/>
    <col min="32" max="32" width="14.75" style="7" bestFit="1" customWidth="1"/>
    <col min="33" max="33" width="1.25" style="7" customWidth="1"/>
    <col min="34" max="34" width="10.75" style="7" bestFit="1" customWidth="1"/>
    <col min="35" max="35" width="14.75" style="7" bestFit="1" customWidth="1"/>
    <col min="36" max="36" width="1.25" style="7" customWidth="1"/>
    <col min="37" max="37" width="10.75" style="7" bestFit="1" customWidth="1"/>
    <col min="38" max="38" width="14.75" style="7" bestFit="1" customWidth="1"/>
    <col min="39" max="39" width="1.25" style="7" customWidth="1"/>
    <col min="40" max="40" width="10.75" style="7" bestFit="1" customWidth="1"/>
    <col min="41" max="41" width="14.75" style="7" bestFit="1" customWidth="1"/>
    <col min="42" max="42" width="1.25" style="7" customWidth="1"/>
    <col min="43" max="43" width="10.75" style="7" bestFit="1" customWidth="1"/>
    <col min="44" max="44" width="14.75" style="7" bestFit="1" customWidth="1"/>
    <col min="45" max="45" width="1.25" style="7" customWidth="1"/>
    <col min="46" max="46" width="10.75" style="7" bestFit="1" customWidth="1"/>
    <col min="47" max="47" width="14.75" style="7" bestFit="1" customWidth="1"/>
    <col min="48" max="48" width="1.25" style="7" customWidth="1"/>
    <col min="49" max="49" width="10.75" style="7" bestFit="1" customWidth="1"/>
    <col min="50" max="50" width="14.75" style="7" bestFit="1" customWidth="1"/>
    <col min="51" max="51" width="1.25" style="7" customWidth="1"/>
    <col min="52" max="52" width="10.75" style="7" hidden="1" customWidth="1" outlineLevel="1"/>
    <col min="53" max="53" width="14.75" style="7" hidden="1" customWidth="1" outlineLevel="1"/>
    <col min="54" max="54" width="1.25" style="7" hidden="1" customWidth="1" outlineLevel="1"/>
    <col min="55" max="55" width="10.75" style="7" hidden="1" customWidth="1" outlineLevel="1"/>
    <col min="56" max="56" width="14.75" style="7" hidden="1" customWidth="1" outlineLevel="1"/>
    <col min="57" max="57" width="1.25" style="7" hidden="1" customWidth="1" outlineLevel="1"/>
    <col min="58" max="58" width="10.75" style="7" hidden="1" customWidth="1" outlineLevel="1"/>
    <col min="59" max="59" width="14.75" style="7" hidden="1" customWidth="1" outlineLevel="1"/>
    <col min="60" max="60" width="1.25" style="7" hidden="1" customWidth="1" outlineLevel="1"/>
    <col min="61" max="61" width="10.75" style="7" hidden="1" customWidth="1" outlineLevel="1"/>
    <col min="62" max="62" width="14.75" style="7" hidden="1" customWidth="1" outlineLevel="1"/>
    <col min="63" max="63" width="16.75" style="7" collapsed="1"/>
    <col min="64" max="16384" width="16.75" style="7"/>
  </cols>
  <sheetData>
    <row r="1" spans="1:62" s="5" customFormat="1" ht="22.4" customHeight="1">
      <c r="A1" s="40" t="s">
        <v>28</v>
      </c>
      <c r="B1" s="7"/>
      <c r="E1" s="339" t="s">
        <v>732</v>
      </c>
      <c r="I1" s="7"/>
      <c r="N1" s="339"/>
      <c r="Q1" s="16"/>
      <c r="R1" s="16"/>
    </row>
    <row r="2" spans="1:62" s="5" customFormat="1" ht="15.65" customHeight="1">
      <c r="A2" s="340" t="s">
        <v>160</v>
      </c>
      <c r="B2" s="7"/>
      <c r="C2" s="278"/>
      <c r="D2" s="339"/>
      <c r="E2" s="339" t="s">
        <v>32</v>
      </c>
      <c r="I2" s="7"/>
      <c r="M2" s="344"/>
      <c r="N2" s="339"/>
      <c r="O2" s="339"/>
      <c r="P2" s="339"/>
      <c r="Q2" s="16"/>
      <c r="R2" s="16"/>
    </row>
    <row r="3" spans="1:62" s="5" customFormat="1" ht="15.65" customHeight="1" thickBot="1">
      <c r="A3" s="340" t="s">
        <v>151</v>
      </c>
      <c r="B3" s="7"/>
      <c r="C3" s="541">
        <f>+'B1'!C3</f>
        <v>0</v>
      </c>
      <c r="D3" s="542"/>
      <c r="E3" s="542"/>
      <c r="F3" s="542"/>
      <c r="G3" s="542"/>
      <c r="H3" s="543"/>
      <c r="I3" s="69"/>
      <c r="J3" s="353"/>
      <c r="K3" s="353"/>
      <c r="L3" s="353"/>
      <c r="M3" s="191"/>
      <c r="N3" s="179"/>
      <c r="O3" s="351"/>
      <c r="P3" s="351"/>
      <c r="Q3" s="168"/>
      <c r="R3" s="168"/>
      <c r="S3" s="345"/>
      <c r="T3" s="179"/>
      <c r="U3" s="352"/>
      <c r="V3" s="179"/>
      <c r="W3" s="179"/>
      <c r="X3" s="179"/>
      <c r="Y3" s="179"/>
      <c r="Z3" s="179"/>
      <c r="AA3" s="179"/>
      <c r="AB3" s="179"/>
      <c r="AC3" s="179"/>
      <c r="AD3" s="179"/>
      <c r="AE3" s="179"/>
      <c r="AF3" s="179"/>
      <c r="AG3" s="179"/>
      <c r="AH3" s="179"/>
      <c r="AI3" s="179"/>
      <c r="AJ3" s="179"/>
      <c r="AK3" s="179"/>
      <c r="AL3" s="179"/>
      <c r="AM3" s="179"/>
      <c r="AN3" s="179"/>
      <c r="AO3" s="179"/>
      <c r="AP3" s="179"/>
      <c r="AQ3" s="179"/>
      <c r="AR3" s="179"/>
      <c r="AS3" s="179"/>
      <c r="AT3" s="179"/>
      <c r="AU3" s="179"/>
      <c r="AV3" s="179"/>
      <c r="AW3" s="179"/>
      <c r="AX3" s="179"/>
      <c r="AY3" s="179"/>
      <c r="AZ3" s="179"/>
      <c r="BA3" s="179"/>
      <c r="BB3" s="179"/>
      <c r="BC3" s="179"/>
      <c r="BD3" s="179"/>
      <c r="BE3" s="179"/>
      <c r="BF3" s="179"/>
      <c r="BG3" s="179"/>
      <c r="BH3" s="179"/>
      <c r="BI3" s="179"/>
      <c r="BJ3" s="179"/>
    </row>
    <row r="4" spans="1:62" s="5" customFormat="1" ht="15.65" customHeight="1" thickBot="1">
      <c r="A4" s="340" t="s">
        <v>737</v>
      </c>
      <c r="B4" s="7"/>
      <c r="C4" s="541">
        <f>+'B1'!C4</f>
        <v>0</v>
      </c>
      <c r="D4" s="542"/>
      <c r="E4" s="542"/>
      <c r="F4" s="542"/>
      <c r="G4" s="542"/>
      <c r="H4" s="543"/>
      <c r="I4" s="69"/>
      <c r="J4" s="336"/>
      <c r="K4" s="336"/>
      <c r="L4" s="354"/>
      <c r="M4" s="396"/>
      <c r="N4" s="334" t="s">
        <v>586</v>
      </c>
      <c r="O4" s="394">
        <f>IFERROR((R89-R84+R112-R126)/(R84-R112+R126),0)</f>
        <v>0</v>
      </c>
      <c r="P4" s="351"/>
      <c r="Q4" s="168"/>
      <c r="R4" s="168"/>
      <c r="S4"/>
      <c r="T4" s="179"/>
      <c r="U4" s="352"/>
      <c r="V4" s="179"/>
      <c r="W4" s="179"/>
      <c r="X4" s="179"/>
      <c r="Y4" s="179"/>
      <c r="Z4" s="179"/>
      <c r="AA4" s="179"/>
      <c r="AB4" s="179"/>
      <c r="AC4" s="179"/>
      <c r="AD4" s="179"/>
      <c r="AE4" s="179"/>
      <c r="AF4" s="179"/>
      <c r="AG4" s="179"/>
      <c r="AH4" s="179"/>
      <c r="AI4" s="179"/>
      <c r="AJ4" s="179"/>
      <c r="AK4" s="179"/>
      <c r="AL4" s="179"/>
      <c r="AM4" s="179"/>
      <c r="AN4" s="179"/>
      <c r="AO4" s="179"/>
      <c r="AP4" s="179"/>
      <c r="AQ4" s="179"/>
      <c r="AR4" s="179"/>
      <c r="AS4" s="179"/>
      <c r="AT4" s="179"/>
      <c r="AU4" s="179"/>
      <c r="AV4" s="179"/>
      <c r="AW4" s="179"/>
      <c r="AX4" s="179"/>
      <c r="AY4" s="179"/>
      <c r="AZ4" s="179"/>
      <c r="BA4" s="179"/>
      <c r="BB4" s="179"/>
      <c r="BC4" s="179"/>
      <c r="BD4" s="179"/>
      <c r="BE4" s="179"/>
      <c r="BF4" s="179"/>
      <c r="BG4" s="179"/>
      <c r="BH4" s="179"/>
      <c r="BI4" s="179"/>
      <c r="BJ4" s="179"/>
    </row>
    <row r="5" spans="1:62" s="5" customFormat="1" ht="15.65" customHeight="1" thickBot="1">
      <c r="A5" s="340" t="s">
        <v>609</v>
      </c>
      <c r="B5" s="7"/>
      <c r="C5" s="544"/>
      <c r="D5" s="545"/>
      <c r="E5" s="545"/>
      <c r="F5" s="545"/>
      <c r="G5" s="545"/>
      <c r="H5" s="546"/>
      <c r="I5" s="69"/>
      <c r="J5" s="336"/>
      <c r="K5" s="336"/>
      <c r="L5" s="355"/>
      <c r="M5" s="396"/>
      <c r="N5" s="335" t="s">
        <v>610</v>
      </c>
      <c r="O5" s="395">
        <f>IFERROR((AC126/AC68),0)</f>
        <v>0</v>
      </c>
      <c r="P5" s="345"/>
      <c r="Q5" s="168"/>
      <c r="R5" s="168"/>
      <c r="S5" s="179"/>
      <c r="T5" s="179"/>
      <c r="U5" s="352"/>
      <c r="V5" s="179"/>
      <c r="W5" s="179"/>
      <c r="X5" s="179"/>
      <c r="Y5" s="179"/>
      <c r="Z5" s="179"/>
      <c r="AA5" s="179"/>
      <c r="AB5" s="179"/>
      <c r="AC5" s="179"/>
      <c r="AD5" s="179"/>
      <c r="AE5" s="179"/>
      <c r="AF5" s="179"/>
      <c r="AG5" s="179"/>
      <c r="AH5" s="179"/>
      <c r="AI5" s="179"/>
      <c r="AJ5" s="179"/>
      <c r="AK5" s="179"/>
      <c r="AL5" s="179"/>
      <c r="AM5" s="179"/>
      <c r="AN5" s="179"/>
      <c r="AO5" s="179"/>
      <c r="AP5" s="179"/>
      <c r="AQ5" s="179"/>
      <c r="AR5" s="179"/>
      <c r="AS5" s="179"/>
      <c r="AT5" s="179"/>
      <c r="AU5" s="179"/>
      <c r="AV5" s="179"/>
      <c r="AW5" s="179"/>
      <c r="AX5" s="179"/>
      <c r="AY5" s="179"/>
      <c r="AZ5" s="179"/>
      <c r="BA5" s="179"/>
      <c r="BB5" s="179"/>
      <c r="BC5" s="179"/>
      <c r="BD5" s="179"/>
      <c r="BE5" s="179"/>
      <c r="BF5" s="179"/>
      <c r="BG5" s="179"/>
      <c r="BH5" s="179"/>
      <c r="BI5" s="179"/>
      <c r="BJ5" s="179"/>
    </row>
    <row r="6" spans="1:62" s="5" customFormat="1" ht="15.65" customHeight="1" thickBot="1">
      <c r="A6" s="340" t="s">
        <v>29</v>
      </c>
      <c r="B6" s="7"/>
      <c r="C6" s="279">
        <f>IFERROR(IF(C12=Lister!A50,INDEX(Table22[Overhead],MATCH(C9,Table22[IV fra-dato],1)),IF(C8=Lister!O5,5,VLOOKUP(C5,Lister!I20:O52,5,FALSE))),0)</f>
        <v>0</v>
      </c>
      <c r="D6" s="558" t="s">
        <v>31</v>
      </c>
      <c r="E6" s="559"/>
      <c r="F6" s="559"/>
      <c r="G6" s="562" t="str">
        <f>IF(C8="Bench Fee","Salary, operations and Bench Fee",IFERROR(VLOOKUP(C5,Lister!I19:S52,9,FALSE),"Salary and operations"))</f>
        <v>Salary and operations</v>
      </c>
      <c r="H6" s="567"/>
      <c r="I6" s="75"/>
      <c r="J6" s="336"/>
      <c r="K6" s="336"/>
      <c r="L6" s="355"/>
      <c r="M6" s="396"/>
      <c r="N6" s="335" t="s">
        <v>672</v>
      </c>
      <c r="O6" s="395">
        <f>IFERROR(AC103/AC73,0)</f>
        <v>0</v>
      </c>
      <c r="P6" s="345"/>
      <c r="Q6" s="168"/>
      <c r="R6" s="356"/>
      <c r="S6" s="179"/>
      <c r="T6" s="179"/>
      <c r="U6" s="179"/>
      <c r="V6" s="179"/>
      <c r="W6" s="179"/>
      <c r="X6" s="179"/>
      <c r="Y6" s="179"/>
      <c r="Z6" s="179"/>
      <c r="AA6" s="179"/>
      <c r="AB6" s="179"/>
      <c r="AC6" s="179"/>
      <c r="AD6" s="179"/>
      <c r="AE6" s="179"/>
      <c r="AF6" s="179"/>
      <c r="AG6" s="179"/>
      <c r="AH6" s="179"/>
      <c r="AI6" s="179"/>
      <c r="AJ6" s="179"/>
      <c r="AK6" s="179"/>
      <c r="AL6" s="179"/>
      <c r="AM6" s="179"/>
      <c r="AN6" s="179"/>
      <c r="AO6" s="179"/>
      <c r="AP6" s="179"/>
      <c r="AQ6" s="179"/>
      <c r="AR6" s="179"/>
      <c r="AS6" s="179"/>
      <c r="AT6" s="179"/>
      <c r="AU6" s="179"/>
      <c r="AV6" s="179"/>
      <c r="AW6" s="179"/>
      <c r="AX6" s="179"/>
      <c r="AY6" s="179"/>
      <c r="AZ6" s="179"/>
      <c r="BA6" s="179"/>
      <c r="BB6" s="179"/>
      <c r="BC6" s="179"/>
      <c r="BD6" s="179"/>
      <c r="BE6" s="179"/>
      <c r="BF6" s="179"/>
      <c r="BG6" s="179"/>
      <c r="BH6" s="179"/>
      <c r="BI6" s="179"/>
      <c r="BJ6" s="179"/>
    </row>
    <row r="7" spans="1:62" s="5" customFormat="1" ht="15.65" customHeight="1">
      <c r="A7" s="340" t="s">
        <v>30</v>
      </c>
      <c r="B7" s="7"/>
      <c r="C7" s="279">
        <f>IFERROR(IF(C12=Lister!A50,1460,VLOOKUP(C5,Lister!I20:M52,3,FALSE)),0)</f>
        <v>0</v>
      </c>
      <c r="D7" s="550" t="s">
        <v>748</v>
      </c>
      <c r="E7" s="551"/>
      <c r="F7" s="552"/>
      <c r="G7" s="562" t="str">
        <f>IFERROR(VLOOKUP(C5,Lister!I19:S52,11,FALSE),"Salary and operations")</f>
        <v>Salary and operations</v>
      </c>
      <c r="H7" s="567"/>
      <c r="I7" s="72"/>
      <c r="J7" s="336"/>
      <c r="K7" s="336"/>
      <c r="L7" s="336"/>
      <c r="M7" s="336"/>
      <c r="N7" s="337"/>
      <c r="O7" s="345"/>
      <c r="P7" s="345"/>
      <c r="Q7" s="168"/>
      <c r="R7" s="168"/>
      <c r="S7" s="179"/>
      <c r="T7" s="179"/>
      <c r="U7" s="179"/>
      <c r="V7" s="179"/>
      <c r="W7" s="179"/>
      <c r="X7" s="179"/>
      <c r="Y7" s="179"/>
      <c r="Z7" s="179"/>
      <c r="AA7" s="179"/>
      <c r="AB7" s="179"/>
      <c r="AC7" s="179"/>
      <c r="AD7" s="179"/>
      <c r="AE7" s="179"/>
      <c r="AF7" s="179"/>
      <c r="AG7" s="179"/>
      <c r="AH7" s="179"/>
      <c r="AI7" s="179"/>
      <c r="AJ7" s="179"/>
      <c r="AK7" s="179"/>
      <c r="AL7" s="179"/>
      <c r="AM7" s="179"/>
      <c r="AN7" s="179"/>
      <c r="AO7" s="179"/>
      <c r="AP7" s="179"/>
      <c r="AQ7" s="179"/>
      <c r="AR7" s="179"/>
      <c r="AS7" s="179"/>
      <c r="AT7" s="179"/>
      <c r="AU7" s="179"/>
      <c r="AV7" s="179"/>
      <c r="AW7" s="179"/>
      <c r="AX7" s="179"/>
      <c r="AY7" s="179"/>
      <c r="AZ7" s="179"/>
      <c r="BA7" s="179"/>
      <c r="BB7" s="179"/>
      <c r="BC7" s="179"/>
      <c r="BD7" s="179"/>
      <c r="BE7" s="179"/>
      <c r="BF7" s="179"/>
      <c r="BG7" s="179"/>
      <c r="BH7" s="179"/>
      <c r="BI7" s="179"/>
      <c r="BJ7" s="179"/>
    </row>
    <row r="8" spans="1:62" s="5" customFormat="1" ht="15.65" customHeight="1">
      <c r="A8" s="4" t="s">
        <v>105</v>
      </c>
      <c r="B8" s="7"/>
      <c r="C8" s="544" t="str">
        <f>IFERROR((VLOOKUP(C5,Lister!I20:O52,7,FALSE)),"None")</f>
        <v>None</v>
      </c>
      <c r="D8" s="546"/>
      <c r="E8" s="4" t="s">
        <v>530</v>
      </c>
      <c r="F8" s="4"/>
      <c r="G8" s="346"/>
      <c r="H8" s="388"/>
      <c r="I8" s="69"/>
      <c r="J8" s="353"/>
      <c r="K8" s="353"/>
      <c r="L8" s="353"/>
      <c r="M8" s="4"/>
      <c r="N8" s="345"/>
      <c r="O8" s="345"/>
      <c r="P8" s="345"/>
      <c r="Q8" s="168"/>
      <c r="R8" s="168"/>
      <c r="S8" s="179"/>
      <c r="T8" s="179"/>
      <c r="U8" s="179"/>
      <c r="V8" s="179"/>
      <c r="W8" s="179"/>
      <c r="X8" s="179"/>
      <c r="Y8" s="179"/>
      <c r="Z8" s="179"/>
      <c r="AA8" s="179"/>
      <c r="AB8" s="179"/>
      <c r="AC8" s="179"/>
      <c r="AD8" s="179"/>
      <c r="AE8" s="179"/>
      <c r="AF8" s="179"/>
      <c r="AG8" s="179"/>
      <c r="AH8" s="179"/>
      <c r="AI8" s="179"/>
      <c r="AJ8" s="179"/>
      <c r="AK8" s="179"/>
      <c r="AL8" s="179"/>
      <c r="AM8" s="179"/>
      <c r="AN8" s="179"/>
      <c r="AO8" s="179"/>
      <c r="AP8" s="179"/>
      <c r="AQ8" s="179"/>
      <c r="AR8" s="179"/>
      <c r="AS8" s="179"/>
      <c r="AT8" s="179"/>
      <c r="AU8" s="179"/>
      <c r="AV8" s="179"/>
      <c r="AW8" s="179"/>
      <c r="AX8" s="179"/>
      <c r="AY8" s="179"/>
      <c r="AZ8" s="179"/>
      <c r="BA8" s="179"/>
      <c r="BB8" s="179"/>
      <c r="BC8" s="179"/>
      <c r="BD8" s="179"/>
      <c r="BE8" s="179"/>
      <c r="BF8" s="179"/>
      <c r="BG8" s="179"/>
      <c r="BH8" s="179"/>
      <c r="BI8" s="179"/>
      <c r="BJ8" s="179"/>
    </row>
    <row r="9" spans="1:62" s="5" customFormat="1" ht="15.65" customHeight="1" thickBot="1">
      <c r="A9" s="341" t="s">
        <v>1351</v>
      </c>
      <c r="B9" s="221"/>
      <c r="C9" s="390">
        <f>+'B1'!C9</f>
        <v>0</v>
      </c>
      <c r="D9" s="347"/>
      <c r="E9" s="341"/>
      <c r="F9" s="341"/>
      <c r="G9" s="349" t="s">
        <v>1352</v>
      </c>
      <c r="H9" s="390">
        <f>+'B1'!H9</f>
        <v>0</v>
      </c>
      <c r="I9" s="260"/>
      <c r="J9" s="353"/>
      <c r="K9" s="353"/>
      <c r="L9" s="353"/>
      <c r="M9" s="345"/>
      <c r="N9" s="345"/>
      <c r="O9" s="345"/>
      <c r="P9" s="345"/>
      <c r="Q9" s="168"/>
      <c r="R9" s="168"/>
      <c r="S9" s="179"/>
      <c r="T9" s="179"/>
      <c r="U9" s="179"/>
      <c r="V9" s="179"/>
      <c r="W9" s="179"/>
      <c r="X9" s="179"/>
      <c r="Y9" s="179"/>
      <c r="Z9" s="179"/>
      <c r="AA9" s="179"/>
      <c r="AB9" s="179"/>
      <c r="AC9" s="179"/>
      <c r="AD9" s="179"/>
      <c r="AE9" s="179"/>
      <c r="AF9" s="179"/>
      <c r="AG9" s="179"/>
      <c r="AH9" s="179"/>
      <c r="AI9" s="179"/>
      <c r="AJ9" s="179"/>
      <c r="AK9" s="179"/>
      <c r="AL9" s="179"/>
      <c r="AM9" s="179"/>
      <c r="AN9" s="179"/>
      <c r="AO9" s="179"/>
      <c r="AP9" s="179"/>
      <c r="AQ9" s="179"/>
      <c r="AR9" s="179"/>
      <c r="AS9" s="179"/>
      <c r="AT9" s="179"/>
      <c r="AU9" s="179"/>
      <c r="AV9" s="179"/>
      <c r="AW9" s="179"/>
      <c r="AX9" s="179"/>
      <c r="AY9" s="179"/>
      <c r="AZ9" s="179"/>
      <c r="BA9" s="179"/>
      <c r="BB9" s="179"/>
      <c r="BC9" s="179"/>
      <c r="BD9" s="179"/>
      <c r="BE9" s="179"/>
      <c r="BF9" s="179"/>
      <c r="BG9" s="179"/>
      <c r="BH9" s="179"/>
      <c r="BI9" s="179"/>
      <c r="BJ9" s="179"/>
    </row>
    <row r="10" spans="1:62" s="5" customFormat="1" ht="15.65" customHeight="1" thickBot="1">
      <c r="A10" s="4" t="s">
        <v>1248</v>
      </c>
      <c r="B10" s="221"/>
      <c r="C10" s="280" t="str">
        <f>+IF(OR(C2="FOOD",C2="BCE"),"Yes","No")</f>
        <v>No</v>
      </c>
      <c r="D10" s="348"/>
      <c r="E10" s="341"/>
      <c r="F10" s="341"/>
      <c r="G10" s="349" t="s">
        <v>1279</v>
      </c>
      <c r="H10" s="389">
        <f>+'B1'!H10</f>
        <v>0</v>
      </c>
      <c r="I10" s="108"/>
      <c r="J10" s="353"/>
      <c r="K10" s="353"/>
      <c r="L10" s="353"/>
      <c r="M10" s="350"/>
      <c r="N10" s="345"/>
      <c r="O10" s="345"/>
      <c r="P10" s="345"/>
      <c r="Q10" s="168"/>
      <c r="R10" s="168"/>
      <c r="S10" s="179"/>
      <c r="T10" s="179"/>
      <c r="U10" s="179"/>
      <c r="V10" s="179"/>
      <c r="W10" s="179"/>
      <c r="X10" s="179"/>
      <c r="Y10" s="179"/>
      <c r="Z10" s="179"/>
      <c r="AA10" s="179"/>
      <c r="AB10" s="179"/>
      <c r="AC10" s="179"/>
      <c r="AD10" s="179"/>
      <c r="AE10" s="179"/>
      <c r="AF10" s="179"/>
      <c r="AG10" s="179"/>
      <c r="AH10" s="179"/>
      <c r="AI10" s="179"/>
      <c r="AJ10" s="179"/>
      <c r="AK10" s="179"/>
      <c r="AL10" s="179"/>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row>
    <row r="11" spans="1:62" s="1" customFormat="1" ht="19.399999999999999" customHeight="1" thickBot="1">
      <c r="A11" s="342" t="s">
        <v>1237</v>
      </c>
      <c r="B11" s="261"/>
      <c r="C11" s="376"/>
      <c r="D11" s="377"/>
      <c r="E11" s="377"/>
      <c r="F11" s="377"/>
      <c r="G11" s="378"/>
      <c r="H11" s="378"/>
      <c r="I11" s="262"/>
      <c r="J11" s="358"/>
      <c r="K11" s="358"/>
      <c r="L11" s="358"/>
      <c r="M11" s="359"/>
      <c r="N11" s="359"/>
      <c r="O11" s="360"/>
      <c r="P11" s="361"/>
      <c r="Q11" s="362"/>
      <c r="R11" s="362"/>
      <c r="S11" s="352"/>
      <c r="T11" s="352"/>
      <c r="U11" s="352"/>
      <c r="V11" s="352"/>
      <c r="W11" s="352"/>
      <c r="X11" s="352"/>
      <c r="Y11" s="352"/>
      <c r="Z11" s="352"/>
      <c r="AA11" s="352"/>
      <c r="AB11" s="352"/>
      <c r="AC11" s="352"/>
      <c r="AD11" s="352"/>
      <c r="AE11" s="352"/>
      <c r="AF11" s="352"/>
      <c r="AG11" s="352"/>
      <c r="AH11" s="352"/>
      <c r="AI11" s="352"/>
      <c r="AJ11" s="352"/>
      <c r="AK11" s="352"/>
      <c r="AL11" s="352"/>
      <c r="AM11" s="352"/>
      <c r="AN11" s="352"/>
      <c r="AO11" s="352"/>
      <c r="AP11" s="352"/>
      <c r="AQ11" s="352"/>
      <c r="AR11" s="352"/>
      <c r="AS11" s="352"/>
      <c r="AT11" s="352"/>
      <c r="AU11" s="352"/>
      <c r="AV11" s="352"/>
      <c r="AW11" s="352"/>
      <c r="AX11" s="352"/>
      <c r="AY11" s="352"/>
      <c r="AZ11" s="352"/>
      <c r="BA11" s="352"/>
      <c r="BB11" s="352"/>
      <c r="BC11" s="352"/>
      <c r="BD11" s="352"/>
      <c r="BE11" s="352"/>
      <c r="BF11" s="352"/>
      <c r="BG11" s="352"/>
      <c r="BH11" s="352"/>
      <c r="BI11" s="352"/>
      <c r="BJ11" s="352"/>
    </row>
    <row r="12" spans="1:62" s="5" customFormat="1" ht="15.65" customHeight="1">
      <c r="A12" s="107" t="s">
        <v>749</v>
      </c>
      <c r="B12" s="7"/>
      <c r="C12" s="281"/>
      <c r="D12" s="551"/>
      <c r="E12" s="551"/>
      <c r="F12" s="551"/>
      <c r="G12" s="551"/>
      <c r="H12" s="379"/>
      <c r="I12" s="69"/>
      <c r="J12" s="564"/>
      <c r="K12" s="565"/>
      <c r="L12" s="565"/>
      <c r="M12" s="565"/>
      <c r="N12" s="565"/>
      <c r="O12" s="566"/>
      <c r="P12" s="363"/>
      <c r="Q12" s="168"/>
      <c r="R12" s="168"/>
      <c r="S12" s="179"/>
      <c r="T12" s="179"/>
      <c r="U12" s="179"/>
      <c r="V12" s="179"/>
      <c r="W12" s="179"/>
      <c r="X12" s="179"/>
      <c r="Y12" s="179"/>
      <c r="Z12" s="179"/>
      <c r="AA12" s="179"/>
      <c r="AB12" s="179"/>
      <c r="AC12" s="179"/>
      <c r="AD12" s="179"/>
      <c r="AE12" s="179"/>
      <c r="AF12" s="179"/>
      <c r="AG12" s="179"/>
      <c r="AH12" s="179"/>
      <c r="AI12" s="179"/>
      <c r="AJ12" s="179"/>
      <c r="AK12" s="179"/>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79"/>
    </row>
    <row r="13" spans="1:62" s="5" customFormat="1" ht="15.65" customHeight="1">
      <c r="A13" s="107" t="s">
        <v>531</v>
      </c>
      <c r="B13" s="7"/>
      <c r="C13" s="282">
        <f>+IF(C12=2,10,0)</f>
        <v>0</v>
      </c>
      <c r="D13" s="550"/>
      <c r="E13" s="551"/>
      <c r="F13" s="551"/>
      <c r="G13" s="551"/>
      <c r="H13" s="380"/>
      <c r="I13" s="86"/>
      <c r="J13" s="383"/>
      <c r="K13" s="383"/>
      <c r="L13" s="383"/>
      <c r="M13" s="383"/>
      <c r="N13" s="383"/>
      <c r="O13" s="384"/>
      <c r="P13" s="383"/>
      <c r="Q13" s="367"/>
      <c r="R13" s="367"/>
      <c r="S13" s="367" t="s">
        <v>607</v>
      </c>
      <c r="T13" s="367"/>
      <c r="U13" s="367"/>
      <c r="V13" s="367"/>
      <c r="W13" s="367"/>
      <c r="X13" s="367"/>
      <c r="Y13" s="179"/>
      <c r="Z13" s="179"/>
      <c r="AA13" s="179"/>
      <c r="AB13" s="179"/>
      <c r="AC13" s="179"/>
      <c r="AD13" s="179"/>
      <c r="AE13" s="179"/>
      <c r="AF13" s="179"/>
      <c r="AG13" s="179"/>
      <c r="AH13" s="179"/>
      <c r="AI13" s="179"/>
      <c r="AJ13" s="179"/>
      <c r="AK13" s="179"/>
      <c r="AL13" s="179"/>
      <c r="AM13" s="179"/>
      <c r="AN13" s="179"/>
      <c r="AO13" s="179"/>
      <c r="AP13" s="179"/>
      <c r="AQ13" s="179"/>
      <c r="AR13" s="179"/>
      <c r="AS13" s="179"/>
      <c r="AT13" s="179"/>
      <c r="AU13" s="179"/>
      <c r="AV13" s="179"/>
      <c r="AW13" s="179"/>
      <c r="AX13" s="179"/>
      <c r="AY13" s="179"/>
      <c r="AZ13" s="179"/>
      <c r="BA13" s="179"/>
      <c r="BB13" s="179"/>
      <c r="BC13" s="179"/>
      <c r="BD13" s="179"/>
      <c r="BE13" s="179"/>
      <c r="BF13" s="179"/>
      <c r="BG13" s="179"/>
      <c r="BH13" s="179"/>
      <c r="BI13" s="179"/>
      <c r="BJ13" s="179"/>
    </row>
    <row r="14" spans="1:62" s="5" customFormat="1" ht="29.25" customHeight="1">
      <c r="A14" s="4" t="s">
        <v>533</v>
      </c>
      <c r="B14" s="9"/>
      <c r="C14" s="282"/>
      <c r="D14" s="553" t="s">
        <v>713</v>
      </c>
      <c r="E14" s="554"/>
      <c r="F14" s="554"/>
      <c r="G14" s="554"/>
      <c r="H14" s="555"/>
      <c r="I14" s="283"/>
      <c r="J14" s="368"/>
      <c r="K14" s="369"/>
      <c r="L14" s="383"/>
      <c r="M14" s="383"/>
      <c r="N14" s="383"/>
      <c r="O14" s="384"/>
      <c r="P14" s="383"/>
      <c r="Q14" s="367"/>
      <c r="R14" s="367"/>
      <c r="S14" s="367"/>
      <c r="T14" s="367"/>
      <c r="U14" s="367"/>
      <c r="V14" s="367"/>
      <c r="W14" s="367"/>
      <c r="X14" s="367"/>
      <c r="Y14" s="179"/>
      <c r="Z14" s="179"/>
      <c r="AA14" s="179"/>
      <c r="AB14" s="179"/>
      <c r="AC14" s="179"/>
      <c r="AD14" s="179"/>
      <c r="AE14" s="179"/>
      <c r="AF14" s="179"/>
      <c r="AG14" s="179"/>
      <c r="AH14" s="179"/>
      <c r="AI14" s="179"/>
      <c r="AJ14" s="179"/>
      <c r="AK14" s="179"/>
      <c r="AL14" s="179"/>
      <c r="AM14" s="179"/>
      <c r="AN14" s="179"/>
      <c r="AO14" s="179"/>
      <c r="AP14" s="179"/>
      <c r="AQ14" s="179"/>
      <c r="AR14" s="179"/>
      <c r="AS14" s="179"/>
      <c r="AT14" s="179"/>
      <c r="AU14" s="179"/>
      <c r="AV14" s="179"/>
      <c r="AW14" s="179"/>
      <c r="AX14" s="179"/>
      <c r="AY14" s="179"/>
      <c r="AZ14" s="179"/>
      <c r="BA14" s="179"/>
      <c r="BB14" s="179"/>
      <c r="BC14" s="179"/>
      <c r="BD14" s="179"/>
      <c r="BE14" s="179"/>
      <c r="BF14" s="179"/>
      <c r="BG14" s="179"/>
      <c r="BH14" s="179"/>
      <c r="BI14" s="179"/>
      <c r="BJ14" s="179"/>
    </row>
    <row r="15" spans="1:62" s="5" customFormat="1" ht="15.65" customHeight="1">
      <c r="A15" s="107" t="s">
        <v>534</v>
      </c>
      <c r="B15" s="7"/>
      <c r="C15" s="282"/>
      <c r="D15" s="382"/>
      <c r="E15" s="370"/>
      <c r="F15" s="370"/>
      <c r="G15" s="370"/>
      <c r="H15" s="370"/>
      <c r="I15" s="250"/>
      <c r="J15" s="370"/>
      <c r="K15" s="370"/>
      <c r="L15" s="363"/>
      <c r="M15" s="383"/>
      <c r="N15" s="383"/>
      <c r="O15" s="384"/>
      <c r="P15" s="383"/>
      <c r="Q15" s="367"/>
      <c r="R15" s="367"/>
      <c r="S15" s="367"/>
      <c r="T15" s="367"/>
      <c r="U15" s="367"/>
      <c r="V15" s="367"/>
      <c r="W15" s="367"/>
      <c r="X15" s="367"/>
      <c r="Y15" s="179"/>
      <c r="Z15" s="179"/>
      <c r="AA15" s="179"/>
      <c r="AB15" s="179"/>
      <c r="AC15" s="179"/>
      <c r="AD15" s="179"/>
      <c r="AE15" s="179"/>
      <c r="AF15" s="179"/>
      <c r="AG15" s="179"/>
      <c r="AH15" s="179"/>
      <c r="AI15" s="179"/>
      <c r="AJ15" s="179"/>
      <c r="AK15" s="179"/>
      <c r="AL15" s="179"/>
      <c r="AM15" s="179"/>
      <c r="AN15" s="179"/>
      <c r="AO15" s="179"/>
      <c r="AP15" s="179"/>
      <c r="AQ15" s="179"/>
      <c r="AR15" s="179"/>
      <c r="AS15" s="179"/>
      <c r="AT15" s="179"/>
      <c r="AU15" s="179"/>
      <c r="AV15" s="179"/>
      <c r="AW15" s="179"/>
      <c r="AX15" s="179"/>
      <c r="AY15" s="179"/>
      <c r="AZ15" s="179"/>
      <c r="BA15" s="179"/>
      <c r="BB15" s="179"/>
      <c r="BC15" s="179"/>
      <c r="BD15" s="179"/>
      <c r="BE15" s="179"/>
      <c r="BF15" s="179"/>
      <c r="BG15" s="179"/>
      <c r="BH15" s="179"/>
      <c r="BI15" s="179"/>
      <c r="BJ15" s="179"/>
    </row>
    <row r="16" spans="1:62" s="5" customFormat="1" ht="27" customHeight="1">
      <c r="A16" s="107" t="s">
        <v>750</v>
      </c>
      <c r="B16" s="7"/>
      <c r="C16" s="282"/>
      <c r="D16" s="553" t="s">
        <v>2085</v>
      </c>
      <c r="E16" s="556"/>
      <c r="F16" s="556"/>
      <c r="G16" s="556"/>
      <c r="H16" s="557"/>
      <c r="I16" s="284"/>
      <c r="J16" s="368"/>
      <c r="K16" s="369"/>
      <c r="L16" s="371"/>
      <c r="M16" s="371"/>
      <c r="N16" s="371"/>
      <c r="O16" s="372"/>
      <c r="P16" s="373"/>
      <c r="Q16" s="168"/>
      <c r="R16" s="168"/>
      <c r="S16" s="179"/>
      <c r="T16" s="179"/>
      <c r="U16" s="179"/>
      <c r="V16" s="179"/>
      <c r="W16" s="179"/>
      <c r="X16" s="179"/>
      <c r="Y16" s="179"/>
      <c r="Z16" s="179"/>
      <c r="AA16" s="179"/>
      <c r="AB16" s="179"/>
      <c r="AC16" s="179"/>
      <c r="AD16" s="179"/>
      <c r="AE16" s="179"/>
      <c r="AF16" s="179"/>
      <c r="AG16" s="179"/>
      <c r="AH16" s="179"/>
      <c r="AI16" s="179"/>
      <c r="AJ16" s="179"/>
      <c r="AK16" s="179"/>
      <c r="AL16" s="179"/>
      <c r="AM16" s="179"/>
      <c r="AN16" s="179"/>
      <c r="AO16" s="179"/>
      <c r="AP16" s="179"/>
      <c r="AQ16" s="179"/>
      <c r="AR16" s="179"/>
      <c r="AS16" s="179"/>
      <c r="AT16" s="179"/>
      <c r="AU16" s="179"/>
      <c r="AV16" s="179"/>
      <c r="AW16" s="179"/>
      <c r="AX16" s="179"/>
      <c r="AY16" s="179"/>
      <c r="AZ16" s="179"/>
      <c r="BA16" s="179"/>
      <c r="BB16" s="179"/>
      <c r="BC16" s="179"/>
      <c r="BD16" s="179"/>
      <c r="BE16" s="179"/>
      <c r="BF16" s="179"/>
      <c r="BG16" s="179"/>
      <c r="BH16" s="179"/>
      <c r="BI16" s="179"/>
      <c r="BJ16" s="179"/>
    </row>
    <row r="17" spans="1:62" ht="15.65" customHeight="1" thickBot="1">
      <c r="A17" s="343"/>
      <c r="B17" s="108"/>
      <c r="C17" s="246"/>
      <c r="D17" s="109"/>
      <c r="E17" s="247"/>
      <c r="F17" s="247"/>
      <c r="G17" s="247"/>
      <c r="H17" s="248"/>
      <c r="I17" s="248"/>
      <c r="J17" s="248"/>
      <c r="K17" s="248"/>
      <c r="L17" s="248"/>
      <c r="M17" s="248"/>
      <c r="N17" s="248"/>
      <c r="O17" s="249"/>
      <c r="P17" s="117"/>
      <c r="Q17" s="71"/>
      <c r="R17" s="71"/>
      <c r="S17" s="70"/>
      <c r="T17" s="70"/>
      <c r="U17" s="70"/>
      <c r="V17" s="70"/>
      <c r="W17" s="70"/>
      <c r="X17" s="70"/>
      <c r="Y17" s="70"/>
      <c r="Z17" s="70"/>
      <c r="AA17" s="70"/>
      <c r="AB17" s="70"/>
      <c r="AC17" s="70"/>
      <c r="AD17" s="70"/>
      <c r="AE17" s="70"/>
      <c r="AF17" s="70"/>
      <c r="AG17" s="70"/>
      <c r="AH17" s="70"/>
      <c r="AI17" s="70"/>
      <c r="AJ17" s="70"/>
      <c r="AK17" s="70"/>
      <c r="AL17" s="70"/>
      <c r="AM17" s="70"/>
      <c r="AN17" s="70"/>
      <c r="AO17" s="70"/>
      <c r="AP17" s="70"/>
      <c r="AQ17" s="70"/>
      <c r="AR17" s="70"/>
      <c r="AS17" s="70"/>
      <c r="AT17" s="70"/>
      <c r="AU17" s="70"/>
      <c r="AV17" s="70"/>
      <c r="AW17" s="70"/>
      <c r="AX17" s="70"/>
      <c r="AY17" s="70"/>
      <c r="AZ17" s="70"/>
      <c r="BA17" s="70"/>
      <c r="BB17" s="70"/>
      <c r="BC17" s="70"/>
      <c r="BD17" s="70"/>
      <c r="BE17" s="70"/>
      <c r="BF17" s="70"/>
      <c r="BG17" s="70"/>
      <c r="BH17" s="70"/>
      <c r="BI17" s="70"/>
      <c r="BJ17" s="70"/>
    </row>
    <row r="18" spans="1:62" ht="15.65" customHeight="1">
      <c r="A18" s="63"/>
      <c r="D18" s="9"/>
      <c r="V18" s="229" t="s">
        <v>608</v>
      </c>
      <c r="AE18" s="29" t="s">
        <v>90</v>
      </c>
      <c r="AF18" s="29" t="s">
        <v>89</v>
      </c>
      <c r="AH18" s="29" t="s">
        <v>90</v>
      </c>
      <c r="AI18" s="29" t="s">
        <v>89</v>
      </c>
      <c r="AK18" s="29" t="s">
        <v>90</v>
      </c>
      <c r="AL18" s="29" t="s">
        <v>89</v>
      </c>
      <c r="AN18" s="29" t="s">
        <v>90</v>
      </c>
      <c r="AO18" s="29" t="s">
        <v>89</v>
      </c>
      <c r="AQ18" s="29" t="s">
        <v>90</v>
      </c>
      <c r="AR18" s="29" t="s">
        <v>89</v>
      </c>
      <c r="AT18" s="29" t="s">
        <v>90</v>
      </c>
      <c r="AU18" s="29" t="s">
        <v>89</v>
      </c>
      <c r="AW18" s="29" t="s">
        <v>90</v>
      </c>
      <c r="AX18" s="29" t="s">
        <v>89</v>
      </c>
      <c r="AZ18" s="29" t="s">
        <v>90</v>
      </c>
      <c r="BA18" s="29" t="s">
        <v>89</v>
      </c>
      <c r="BC18" s="29" t="s">
        <v>90</v>
      </c>
      <c r="BD18" s="29" t="s">
        <v>89</v>
      </c>
      <c r="BF18" s="29" t="s">
        <v>90</v>
      </c>
      <c r="BG18" s="29" t="s">
        <v>89</v>
      </c>
      <c r="BI18" s="29" t="s">
        <v>90</v>
      </c>
      <c r="BJ18" s="29" t="s">
        <v>89</v>
      </c>
    </row>
    <row r="19" spans="1:62" ht="15.65" customHeight="1">
      <c r="A19" s="4" t="s">
        <v>79</v>
      </c>
      <c r="B19" s="8"/>
      <c r="C19" s="45">
        <f>+Takstblad!C3</f>
        <v>2026</v>
      </c>
      <c r="D19" s="8">
        <f t="shared" ref="D19:L19" si="0">+C19+1</f>
        <v>2027</v>
      </c>
      <c r="E19" s="8">
        <f t="shared" si="0"/>
        <v>2028</v>
      </c>
      <c r="F19" s="8">
        <f t="shared" si="0"/>
        <v>2029</v>
      </c>
      <c r="G19" s="8">
        <f t="shared" si="0"/>
        <v>2030</v>
      </c>
      <c r="H19" s="8">
        <f t="shared" si="0"/>
        <v>2031</v>
      </c>
      <c r="I19" s="8">
        <f t="shared" si="0"/>
        <v>2032</v>
      </c>
      <c r="J19" s="8">
        <f t="shared" si="0"/>
        <v>2033</v>
      </c>
      <c r="K19" s="8">
        <f t="shared" si="0"/>
        <v>2034</v>
      </c>
      <c r="L19" s="8">
        <f t="shared" si="0"/>
        <v>2035</v>
      </c>
      <c r="M19" s="8" t="s">
        <v>34</v>
      </c>
      <c r="N19" s="8" t="s">
        <v>33</v>
      </c>
      <c r="O19" s="8" t="s">
        <v>111</v>
      </c>
      <c r="P19" s="8"/>
      <c r="Q19" s="23" t="s">
        <v>73</v>
      </c>
      <c r="R19" s="4" t="s">
        <v>34</v>
      </c>
      <c r="S19" s="45">
        <f t="shared" ref="S19:AB19" si="1">+C19</f>
        <v>2026</v>
      </c>
      <c r="T19" s="8">
        <f t="shared" si="1"/>
        <v>2027</v>
      </c>
      <c r="U19" s="8">
        <f t="shared" si="1"/>
        <v>2028</v>
      </c>
      <c r="V19" s="8">
        <f t="shared" si="1"/>
        <v>2029</v>
      </c>
      <c r="W19" s="8">
        <f t="shared" si="1"/>
        <v>2030</v>
      </c>
      <c r="X19" s="8">
        <f t="shared" si="1"/>
        <v>2031</v>
      </c>
      <c r="Y19" s="8">
        <f t="shared" si="1"/>
        <v>2032</v>
      </c>
      <c r="Z19" s="8">
        <f t="shared" si="1"/>
        <v>2033</v>
      </c>
      <c r="AA19" s="8">
        <f t="shared" si="1"/>
        <v>2034</v>
      </c>
      <c r="AB19" s="8">
        <f t="shared" si="1"/>
        <v>2035</v>
      </c>
      <c r="AC19" s="4" t="s">
        <v>34</v>
      </c>
      <c r="AE19" s="549" t="s">
        <v>34</v>
      </c>
      <c r="AF19" s="548"/>
      <c r="AH19" s="547">
        <f>+S19</f>
        <v>2026</v>
      </c>
      <c r="AI19" s="548"/>
      <c r="AJ19" s="221"/>
      <c r="AK19" s="549">
        <f>+T19</f>
        <v>2027</v>
      </c>
      <c r="AL19" s="548"/>
      <c r="AM19" s="221"/>
      <c r="AN19" s="549">
        <f>+U19</f>
        <v>2028</v>
      </c>
      <c r="AO19" s="548"/>
      <c r="AQ19" s="549">
        <f>+V19</f>
        <v>2029</v>
      </c>
      <c r="AR19" s="548"/>
      <c r="AS19" s="221"/>
      <c r="AT19" s="549">
        <f>+W19</f>
        <v>2030</v>
      </c>
      <c r="AU19" s="548"/>
      <c r="AW19" s="549">
        <f>+X19</f>
        <v>2031</v>
      </c>
      <c r="AX19" s="548"/>
      <c r="AY19" s="221"/>
      <c r="AZ19" s="549">
        <f>Y19</f>
        <v>2032</v>
      </c>
      <c r="BA19" s="548"/>
      <c r="BB19" s="221"/>
      <c r="BC19" s="549">
        <f>+Z19</f>
        <v>2033</v>
      </c>
      <c r="BD19" s="548"/>
      <c r="BE19" s="221"/>
      <c r="BF19" s="549">
        <f>+AA19</f>
        <v>2034</v>
      </c>
      <c r="BG19" s="548"/>
      <c r="BH19" s="221"/>
      <c r="BI19" s="549">
        <f>+AB19</f>
        <v>2035</v>
      </c>
      <c r="BJ19" s="548"/>
    </row>
    <row r="20" spans="1:62" ht="15.65" customHeight="1">
      <c r="A20" s="212" t="s">
        <v>1238</v>
      </c>
      <c r="B20" s="213" t="str">
        <f>+VLOOKUP(A20,Takstblad!$A$5:$B$30,2,FALSE)</f>
        <v/>
      </c>
      <c r="C20" s="285"/>
      <c r="D20" s="285"/>
      <c r="E20" s="285"/>
      <c r="F20" s="285"/>
      <c r="G20" s="285"/>
      <c r="H20" s="285"/>
      <c r="I20" s="285"/>
      <c r="J20" s="285"/>
      <c r="K20" s="285"/>
      <c r="L20" s="285"/>
      <c r="M20" s="19">
        <f>SUM(C20:L20)</f>
        <v>0</v>
      </c>
      <c r="N20" s="285"/>
      <c r="O20" s="285" t="s">
        <v>113</v>
      </c>
      <c r="P20" s="212"/>
      <c r="Q20" s="214"/>
      <c r="R20" s="216">
        <f>+AC20</f>
        <v>0</v>
      </c>
      <c r="S20" s="215">
        <f>+IFERROR(IF(S$19=Takstblad!C$3,VLOOKUP($A20,takstblad,3,FALSE)*C20,"fejl i år"),0)</f>
        <v>0</v>
      </c>
      <c r="T20" s="215">
        <f>+IFERROR(IF(T$19=Takstblad!D$3,VLOOKUP($A20,takstblad,4,FALSE)*D20,"fejl i år"),0)</f>
        <v>0</v>
      </c>
      <c r="U20" s="215">
        <f>+IFERROR(IF(U$19=Takstblad!E$3,VLOOKUP($A20,takstblad,5,FALSE)*E20,"fejl i år"),0)</f>
        <v>0</v>
      </c>
      <c r="V20" s="215">
        <f>+IFERROR(IF(V$19=Takstblad!F$3,VLOOKUP($A20,takstblad,6,FALSE)*F20,"fejl i år"),0)</f>
        <v>0</v>
      </c>
      <c r="W20" s="215">
        <f>+IFERROR(IF(W$19=Takstblad!G$3,VLOOKUP($A20,takstblad,7,FALSE)*G20,"fejl i år"),0)</f>
        <v>0</v>
      </c>
      <c r="X20" s="215">
        <f>+IFERROR(IF(X$19=Takstblad!H$3,VLOOKUP($A20,takstblad,8,FALSE)*H20,"fejl i år"),0)</f>
        <v>0</v>
      </c>
      <c r="Y20" s="215">
        <f>+IFERROR(IF(Y$19=Takstblad!I$3,VLOOKUP($A20,takstblad,9,FALSE)*I20,"fejl i år"),0)</f>
        <v>0</v>
      </c>
      <c r="Z20" s="215">
        <f>+IFERROR(IF(Z$19=Takstblad!J$3,VLOOKUP($A20,takstblad,10,FALSE)*J20,"fejl i år"),0)</f>
        <v>0</v>
      </c>
      <c r="AA20" s="215">
        <f>+IFERROR(IF(AA$19=Takstblad!K$3,VLOOKUP($A20,takstblad,11,FALSE)*K20,"fejl i år"),0)</f>
        <v>0</v>
      </c>
      <c r="AB20" s="215">
        <f>+IFERROR(IF(AB$19=Takstblad!L$3,VLOOKUP($A20,takstblad,12,FALSE)*L20,"fejl i år"),0)</f>
        <v>0</v>
      </c>
      <c r="AC20" s="216">
        <f>SUM(S20:AB20)</f>
        <v>0</v>
      </c>
      <c r="AD20" s="221"/>
      <c r="AE20" s="217">
        <f>+M20*($C$7/12)</f>
        <v>0</v>
      </c>
      <c r="AF20" s="217">
        <f>IFERROR(AC20/AE20,0)</f>
        <v>0</v>
      </c>
      <c r="AG20" s="221"/>
      <c r="AH20" s="217">
        <f>+C20*($C$7/12)</f>
        <v>0</v>
      </c>
      <c r="AI20" s="217">
        <f t="shared" ref="AI20:AI29" si="2">IFERROR(S20/AH20,0)</f>
        <v>0</v>
      </c>
      <c r="AJ20" s="221"/>
      <c r="AK20" s="217">
        <f>+D20*($C$7/12)</f>
        <v>0</v>
      </c>
      <c r="AL20" s="217">
        <f>IFERROR(T20/AK20,0)</f>
        <v>0</v>
      </c>
      <c r="AM20" s="221"/>
      <c r="AN20" s="217">
        <f>+E20*($C$7/12)</f>
        <v>0</v>
      </c>
      <c r="AO20" s="217">
        <f>IFERROR(U20/AN20,0)</f>
        <v>0</v>
      </c>
      <c r="AP20" s="221"/>
      <c r="AQ20" s="217">
        <f>+F20*($C$7/12)</f>
        <v>0</v>
      </c>
      <c r="AR20" s="217">
        <f>IFERROR(V20/AQ20,0)</f>
        <v>0</v>
      </c>
      <c r="AS20" s="221"/>
      <c r="AT20" s="217">
        <f>+G20*($C$7/12)</f>
        <v>0</v>
      </c>
      <c r="AU20" s="217">
        <f>IFERROR(W20/AT20,0)</f>
        <v>0</v>
      </c>
      <c r="AV20" s="221"/>
      <c r="AW20" s="217">
        <f>+H20*($C$7/12)</f>
        <v>0</v>
      </c>
      <c r="AX20" s="217">
        <f>IFERROR(X20/AW20,0)</f>
        <v>0</v>
      </c>
      <c r="AY20" s="221"/>
      <c r="AZ20" s="217">
        <f>+I20*($C$7/12)</f>
        <v>0</v>
      </c>
      <c r="BA20" s="217">
        <f t="shared" ref="BA20:BA29" si="3">IFERROR(Y20/AZ20,0)</f>
        <v>0</v>
      </c>
      <c r="BB20" s="221"/>
      <c r="BC20" s="217">
        <f>+J20*($C$7/12)</f>
        <v>0</v>
      </c>
      <c r="BD20" s="217">
        <f t="shared" ref="BD20:BD28" si="4">IFERROR(Z20/BC20,0)</f>
        <v>0</v>
      </c>
      <c r="BE20" s="221"/>
      <c r="BF20" s="217">
        <f>+K20*($C$7/12)</f>
        <v>0</v>
      </c>
      <c r="BG20" s="217">
        <f>IFERROR(AA20/BF20,0)</f>
        <v>0</v>
      </c>
      <c r="BH20" s="221"/>
      <c r="BI20" s="217">
        <f>+L20*($C$7/12)</f>
        <v>0</v>
      </c>
      <c r="BJ20" s="217">
        <f>IFERROR(AB20/BI20,0)</f>
        <v>0</v>
      </c>
    </row>
    <row r="21" spans="1:62" ht="15.65" customHeight="1">
      <c r="A21" s="7" t="s">
        <v>1238</v>
      </c>
      <c r="B21" s="4" t="str">
        <f>+VLOOKUP(A21,Takstblad!$A$5:$B$30,2,FALSE)</f>
        <v/>
      </c>
      <c r="C21" s="285"/>
      <c r="D21" s="285"/>
      <c r="E21" s="285"/>
      <c r="F21" s="285"/>
      <c r="G21" s="285"/>
      <c r="H21" s="285"/>
      <c r="I21" s="285"/>
      <c r="J21" s="285"/>
      <c r="K21" s="285"/>
      <c r="L21" s="285"/>
      <c r="M21" s="19">
        <f t="shared" ref="M21:M29" si="5">SUM(C21:L21)</f>
        <v>0</v>
      </c>
      <c r="N21" s="285"/>
      <c r="O21" s="285" t="s">
        <v>113</v>
      </c>
      <c r="Q21" s="24"/>
      <c r="R21" s="21">
        <f t="shared" ref="R21:R29" si="6">+AC21</f>
        <v>0</v>
      </c>
      <c r="S21" s="25">
        <f>+IFERROR(IF(S$19=Takstblad!C$3,VLOOKUP($A21,takstblad,3,FALSE)*C21,"fejl i år"),0)</f>
        <v>0</v>
      </c>
      <c r="T21" s="25">
        <f>+IFERROR(IF(T$19=Takstblad!D$3,VLOOKUP($A21,takstblad,4,FALSE)*D21,"fejl i år"),0)</f>
        <v>0</v>
      </c>
      <c r="U21" s="25">
        <f>+IFERROR(IF(U$19=Takstblad!E$3,VLOOKUP($A21,takstblad,5,FALSE)*E21,"fejl i år"),0)</f>
        <v>0</v>
      </c>
      <c r="V21" s="25">
        <f>+IFERROR(IF(V$19=Takstblad!F$3,VLOOKUP($A21,takstblad,6,FALSE)*F21,"fejl i år"),0)</f>
        <v>0</v>
      </c>
      <c r="W21" s="25">
        <f>+IFERROR(IF(W$19=Takstblad!G$3,VLOOKUP($A21,takstblad,7,FALSE)*G21,"fejl i år"),0)</f>
        <v>0</v>
      </c>
      <c r="X21" s="25">
        <f>+IFERROR(IF(X$19=Takstblad!H$3,VLOOKUP($A21,takstblad,8,FALSE)*H21,"fejl i år"),0)</f>
        <v>0</v>
      </c>
      <c r="Y21" s="25">
        <f>+IFERROR(IF(Y$19=Takstblad!I$3,VLOOKUP($A21,takstblad,9,FALSE)*I21,"fejl i år"),0)</f>
        <v>0</v>
      </c>
      <c r="Z21" s="25">
        <f>+IFERROR(IF(Z$19=Takstblad!J$3,VLOOKUP($A21,takstblad,10,FALSE)*J21,"fejl i år"),0)</f>
        <v>0</v>
      </c>
      <c r="AA21" s="25">
        <f>+IFERROR(IF(AA$19=Takstblad!K$3,VLOOKUP($A21,takstblad,11,FALSE)*K21,"fejl i år"),0)</f>
        <v>0</v>
      </c>
      <c r="AB21" s="25">
        <f>+IFERROR(IF(AB$19=Takstblad!L$3,VLOOKUP($A21,takstblad,12,FALSE)*L21,"fejl i år"),0)</f>
        <v>0</v>
      </c>
      <c r="AC21" s="21">
        <f t="shared" ref="AC21:AC39" si="7">SUM(S21:AB21)</f>
        <v>0</v>
      </c>
      <c r="AD21" s="221"/>
      <c r="AE21" s="25">
        <f t="shared" ref="AE21:AE29" si="8">+M21*($C$7/12)</f>
        <v>0</v>
      </c>
      <c r="AF21" s="25">
        <f t="shared" ref="AF21:AF29" si="9">IFERROR(AC21/AE21,0)</f>
        <v>0</v>
      </c>
      <c r="AG21" s="221"/>
      <c r="AH21" s="25">
        <f t="shared" ref="AH21:AH29" si="10">+C21*($C$7/12)</f>
        <v>0</v>
      </c>
      <c r="AI21" s="25">
        <f t="shared" si="2"/>
        <v>0</v>
      </c>
      <c r="AJ21" s="221"/>
      <c r="AK21" s="25">
        <f t="shared" ref="AK21:AK29" si="11">+D21*($C$7/12)</f>
        <v>0</v>
      </c>
      <c r="AL21" s="25">
        <f t="shared" ref="AL21:AL40" si="12">IFERROR(T21/AK21,0)</f>
        <v>0</v>
      </c>
      <c r="AM21" s="221"/>
      <c r="AN21" s="25">
        <f t="shared" ref="AN21:AN29" si="13">+E21*($C$7/12)</f>
        <v>0</v>
      </c>
      <c r="AO21" s="25">
        <f t="shared" ref="AO21:AO40" si="14">IFERROR(U21/AN21,0)</f>
        <v>0</v>
      </c>
      <c r="AP21" s="221"/>
      <c r="AQ21" s="25">
        <f t="shared" ref="AQ21:AQ29" si="15">+F21*($C$7/12)</f>
        <v>0</v>
      </c>
      <c r="AR21" s="25">
        <f t="shared" ref="AR21:AR40" si="16">IFERROR(V21/AQ21,0)</f>
        <v>0</v>
      </c>
      <c r="AS21" s="221"/>
      <c r="AT21" s="25">
        <f t="shared" ref="AT21:AT29" si="17">+G21*($C$7/12)</f>
        <v>0</v>
      </c>
      <c r="AU21" s="25">
        <f t="shared" ref="AU21:AU40" si="18">IFERROR(W21/AT21,0)</f>
        <v>0</v>
      </c>
      <c r="AV21" s="221"/>
      <c r="AW21" s="25">
        <f t="shared" ref="AW21:AW29" si="19">+H21*($C$7/12)</f>
        <v>0</v>
      </c>
      <c r="AX21" s="25">
        <f t="shared" ref="AX21:AX29" si="20">IFERROR(X21/AW21,0)</f>
        <v>0</v>
      </c>
      <c r="AY21" s="221"/>
      <c r="AZ21" s="25">
        <f t="shared" ref="AZ21:AZ29" si="21">+I21*($C$7/12)</f>
        <v>0</v>
      </c>
      <c r="BA21" s="25">
        <f t="shared" si="3"/>
        <v>0</v>
      </c>
      <c r="BB21" s="221"/>
      <c r="BC21" s="25">
        <f t="shared" ref="BC21:BC29" si="22">+J21*($C$7/12)</f>
        <v>0</v>
      </c>
      <c r="BD21" s="25">
        <f t="shared" si="4"/>
        <v>0</v>
      </c>
      <c r="BE21" s="221"/>
      <c r="BF21" s="25">
        <f t="shared" ref="BF21:BF29" si="23">+K21*($C$7/12)</f>
        <v>0</v>
      </c>
      <c r="BG21" s="25">
        <f t="shared" ref="BG21:BG29" si="24">IFERROR(AA21/BF21,0)</f>
        <v>0</v>
      </c>
      <c r="BH21" s="221"/>
      <c r="BI21" s="25">
        <f t="shared" ref="BI21:BI29" si="25">+L21*($C$7/12)</f>
        <v>0</v>
      </c>
      <c r="BJ21" s="25">
        <f t="shared" ref="BJ21:BJ29" si="26">IFERROR(AB21/BI21,0)</f>
        <v>0</v>
      </c>
    </row>
    <row r="22" spans="1:62" ht="15.65" customHeight="1">
      <c r="A22" s="212" t="s">
        <v>1238</v>
      </c>
      <c r="B22" s="213" t="str">
        <f>+VLOOKUP(A22,Takstblad!$A$5:$B$30,2,FALSE)</f>
        <v/>
      </c>
      <c r="C22" s="285"/>
      <c r="D22" s="285"/>
      <c r="E22" s="285"/>
      <c r="F22" s="285"/>
      <c r="G22" s="285"/>
      <c r="H22" s="285"/>
      <c r="I22" s="285"/>
      <c r="J22" s="285"/>
      <c r="K22" s="285"/>
      <c r="L22" s="285"/>
      <c r="M22" s="19">
        <f t="shared" si="5"/>
        <v>0</v>
      </c>
      <c r="N22" s="285"/>
      <c r="O22" s="285" t="s">
        <v>113</v>
      </c>
      <c r="P22" s="212"/>
      <c r="Q22" s="214"/>
      <c r="R22" s="216">
        <f t="shared" si="6"/>
        <v>0</v>
      </c>
      <c r="S22" s="215">
        <f>+IFERROR(IF(S$19=Takstblad!C$3,VLOOKUP($A22,takstblad,3,FALSE)*C22,"fejl i år"),0)</f>
        <v>0</v>
      </c>
      <c r="T22" s="215">
        <f>+IFERROR(IF(T$19=Takstblad!D$3,VLOOKUP($A22,takstblad,4,FALSE)*D22,"fejl i år"),0)</f>
        <v>0</v>
      </c>
      <c r="U22" s="215">
        <f>+IFERROR(IF(U$19=Takstblad!E$3,VLOOKUP($A22,takstblad,5,FALSE)*E22,"fejl i år"),0)</f>
        <v>0</v>
      </c>
      <c r="V22" s="215">
        <f>+IFERROR(IF(V$19=Takstblad!F$3,VLOOKUP($A22,takstblad,6,FALSE)*F22,"fejl i år"),0)</f>
        <v>0</v>
      </c>
      <c r="W22" s="215">
        <f>+IFERROR(IF(W$19=Takstblad!G$3,VLOOKUP($A22,takstblad,7,FALSE)*G22,"fejl i år"),0)</f>
        <v>0</v>
      </c>
      <c r="X22" s="215">
        <f>+IFERROR(IF(X$19=Takstblad!H$3,VLOOKUP($A22,takstblad,8,FALSE)*H22,"fejl i år"),0)</f>
        <v>0</v>
      </c>
      <c r="Y22" s="215">
        <f>+IFERROR(IF(Y$19=Takstblad!I$3,VLOOKUP($A22,takstblad,9,FALSE)*I22,"fejl i år"),0)</f>
        <v>0</v>
      </c>
      <c r="Z22" s="215">
        <f>+IFERROR(IF(Z$19=Takstblad!J$3,VLOOKUP($A22,takstblad,10,FALSE)*J22,"fejl i år"),0)</f>
        <v>0</v>
      </c>
      <c r="AA22" s="215">
        <f>+IFERROR(IF(AA$19=Takstblad!K$3,VLOOKUP($A22,takstblad,11,FALSE)*K22,"fejl i år"),0)</f>
        <v>0</v>
      </c>
      <c r="AB22" s="215">
        <f>+IFERROR(IF(AB$19=Takstblad!L$3,VLOOKUP($A22,takstblad,12,FALSE)*L22,"fejl i år"),0)</f>
        <v>0</v>
      </c>
      <c r="AC22" s="216">
        <f t="shared" si="7"/>
        <v>0</v>
      </c>
      <c r="AD22" s="221"/>
      <c r="AE22" s="217">
        <f t="shared" si="8"/>
        <v>0</v>
      </c>
      <c r="AF22" s="217">
        <f t="shared" si="9"/>
        <v>0</v>
      </c>
      <c r="AG22" s="221"/>
      <c r="AH22" s="217">
        <f t="shared" si="10"/>
        <v>0</v>
      </c>
      <c r="AI22" s="217">
        <f t="shared" si="2"/>
        <v>0</v>
      </c>
      <c r="AJ22" s="221"/>
      <c r="AK22" s="217">
        <f t="shared" si="11"/>
        <v>0</v>
      </c>
      <c r="AL22" s="217">
        <f t="shared" si="12"/>
        <v>0</v>
      </c>
      <c r="AM22" s="221"/>
      <c r="AN22" s="217">
        <f t="shared" si="13"/>
        <v>0</v>
      </c>
      <c r="AO22" s="217">
        <f t="shared" si="14"/>
        <v>0</v>
      </c>
      <c r="AP22" s="221"/>
      <c r="AQ22" s="217">
        <f t="shared" si="15"/>
        <v>0</v>
      </c>
      <c r="AR22" s="217">
        <f t="shared" si="16"/>
        <v>0</v>
      </c>
      <c r="AS22" s="221"/>
      <c r="AT22" s="217">
        <f t="shared" si="17"/>
        <v>0</v>
      </c>
      <c r="AU22" s="217">
        <f t="shared" si="18"/>
        <v>0</v>
      </c>
      <c r="AV22" s="221"/>
      <c r="AW22" s="217">
        <f t="shared" si="19"/>
        <v>0</v>
      </c>
      <c r="AX22" s="217">
        <f t="shared" si="20"/>
        <v>0</v>
      </c>
      <c r="AY22" s="221"/>
      <c r="AZ22" s="217">
        <f t="shared" si="21"/>
        <v>0</v>
      </c>
      <c r="BA22" s="217">
        <f t="shared" si="3"/>
        <v>0</v>
      </c>
      <c r="BB22" s="221"/>
      <c r="BC22" s="217">
        <f t="shared" si="22"/>
        <v>0</v>
      </c>
      <c r="BD22" s="217">
        <f t="shared" si="4"/>
        <v>0</v>
      </c>
      <c r="BE22" s="221"/>
      <c r="BF22" s="217">
        <f t="shared" si="23"/>
        <v>0</v>
      </c>
      <c r="BG22" s="217">
        <f t="shared" si="24"/>
        <v>0</v>
      </c>
      <c r="BH22" s="221"/>
      <c r="BI22" s="217">
        <f t="shared" si="25"/>
        <v>0</v>
      </c>
      <c r="BJ22" s="217">
        <f t="shared" si="26"/>
        <v>0</v>
      </c>
    </row>
    <row r="23" spans="1:62" ht="15.65" customHeight="1">
      <c r="A23" s="7" t="s">
        <v>1238</v>
      </c>
      <c r="B23" s="4" t="str">
        <f>+VLOOKUP(A23,Takstblad!$A$5:$B$30,2,FALSE)</f>
        <v/>
      </c>
      <c r="C23" s="285"/>
      <c r="D23" s="285"/>
      <c r="E23" s="285"/>
      <c r="F23" s="285"/>
      <c r="G23" s="285"/>
      <c r="H23" s="285"/>
      <c r="I23" s="285"/>
      <c r="J23" s="285"/>
      <c r="K23" s="285"/>
      <c r="L23" s="285"/>
      <c r="M23" s="19">
        <f t="shared" si="5"/>
        <v>0</v>
      </c>
      <c r="N23" s="285"/>
      <c r="O23" s="285" t="s">
        <v>113</v>
      </c>
      <c r="Q23" s="16"/>
      <c r="R23" s="21">
        <f t="shared" si="6"/>
        <v>0</v>
      </c>
      <c r="S23" s="25">
        <f>+IFERROR(IF(S$19=Takstblad!C$3,VLOOKUP($A23,takstblad,3,FALSE)*C23,"fejl i år"),0)</f>
        <v>0</v>
      </c>
      <c r="T23" s="25">
        <f>+IFERROR(IF(T$19=Takstblad!D$3,VLOOKUP($A23,takstblad,4,FALSE)*D23,"fejl i år"),0)</f>
        <v>0</v>
      </c>
      <c r="U23" s="25">
        <f>+IFERROR(IF(U$19=Takstblad!E$3,VLOOKUP($A23,takstblad,5,FALSE)*E23,"fejl i år"),0)</f>
        <v>0</v>
      </c>
      <c r="V23" s="25">
        <f>+IFERROR(IF(V$19=Takstblad!F$3,VLOOKUP($A23,takstblad,6,FALSE)*F23,"fejl i år"),0)</f>
        <v>0</v>
      </c>
      <c r="W23" s="25">
        <f>+IFERROR(IF(W$19=Takstblad!G$3,VLOOKUP($A23,takstblad,7,FALSE)*G23,"fejl i år"),0)</f>
        <v>0</v>
      </c>
      <c r="X23" s="25">
        <f>+IFERROR(IF(X$19=Takstblad!H$3,VLOOKUP($A23,takstblad,8,FALSE)*H23,"fejl i år"),0)</f>
        <v>0</v>
      </c>
      <c r="Y23" s="25">
        <f>+IFERROR(IF(Y$19=Takstblad!I$3,VLOOKUP($A23,takstblad,9,FALSE)*I23,"fejl i år"),0)</f>
        <v>0</v>
      </c>
      <c r="Z23" s="25">
        <f>+IFERROR(IF(Z$19=Takstblad!J$3,VLOOKUP($A23,takstblad,10,FALSE)*J23,"fejl i år"),0)</f>
        <v>0</v>
      </c>
      <c r="AA23" s="25">
        <f>+IFERROR(IF(AA$19=Takstblad!K$3,VLOOKUP($A23,takstblad,11,FALSE)*K23,"fejl i år"),0)</f>
        <v>0</v>
      </c>
      <c r="AB23" s="25">
        <f>+IFERROR(IF(AB$19=Takstblad!L$3,VLOOKUP($A23,takstblad,12,FALSE)*L23,"fejl i år"),0)</f>
        <v>0</v>
      </c>
      <c r="AC23" s="21">
        <f t="shared" si="7"/>
        <v>0</v>
      </c>
      <c r="AD23" s="221"/>
      <c r="AE23" s="25">
        <f t="shared" si="8"/>
        <v>0</v>
      </c>
      <c r="AF23" s="25">
        <f t="shared" si="9"/>
        <v>0</v>
      </c>
      <c r="AG23" s="221"/>
      <c r="AH23" s="25">
        <f t="shared" si="10"/>
        <v>0</v>
      </c>
      <c r="AI23" s="25">
        <f t="shared" si="2"/>
        <v>0</v>
      </c>
      <c r="AJ23" s="221"/>
      <c r="AK23" s="25">
        <f t="shared" si="11"/>
        <v>0</v>
      </c>
      <c r="AL23" s="25">
        <f t="shared" si="12"/>
        <v>0</v>
      </c>
      <c r="AM23" s="221"/>
      <c r="AN23" s="25">
        <f t="shared" si="13"/>
        <v>0</v>
      </c>
      <c r="AO23" s="25">
        <f t="shared" si="14"/>
        <v>0</v>
      </c>
      <c r="AP23" s="221"/>
      <c r="AQ23" s="25">
        <f t="shared" si="15"/>
        <v>0</v>
      </c>
      <c r="AR23" s="25">
        <f t="shared" si="16"/>
        <v>0</v>
      </c>
      <c r="AS23" s="221"/>
      <c r="AT23" s="25">
        <f t="shared" si="17"/>
        <v>0</v>
      </c>
      <c r="AU23" s="25">
        <f t="shared" si="18"/>
        <v>0</v>
      </c>
      <c r="AV23" s="221"/>
      <c r="AW23" s="25">
        <f t="shared" si="19"/>
        <v>0</v>
      </c>
      <c r="AX23" s="25">
        <f t="shared" si="20"/>
        <v>0</v>
      </c>
      <c r="AY23" s="221"/>
      <c r="AZ23" s="25">
        <f t="shared" si="21"/>
        <v>0</v>
      </c>
      <c r="BA23" s="25">
        <f t="shared" si="3"/>
        <v>0</v>
      </c>
      <c r="BB23" s="221"/>
      <c r="BC23" s="25">
        <f t="shared" si="22"/>
        <v>0</v>
      </c>
      <c r="BD23" s="25">
        <f t="shared" si="4"/>
        <v>0</v>
      </c>
      <c r="BE23" s="221"/>
      <c r="BF23" s="25">
        <f t="shared" si="23"/>
        <v>0</v>
      </c>
      <c r="BG23" s="25">
        <f t="shared" si="24"/>
        <v>0</v>
      </c>
      <c r="BH23" s="221"/>
      <c r="BI23" s="25">
        <f t="shared" si="25"/>
        <v>0</v>
      </c>
      <c r="BJ23" s="25">
        <f t="shared" si="26"/>
        <v>0</v>
      </c>
    </row>
    <row r="24" spans="1:62" ht="15.65" customHeight="1">
      <c r="A24" s="212" t="s">
        <v>1238</v>
      </c>
      <c r="B24" s="213" t="str">
        <f>+VLOOKUP(A24,Takstblad!$A$5:$B$30,2,FALSE)</f>
        <v/>
      </c>
      <c r="C24" s="285"/>
      <c r="D24" s="285"/>
      <c r="E24" s="285"/>
      <c r="F24" s="285"/>
      <c r="G24" s="285"/>
      <c r="H24" s="285"/>
      <c r="I24" s="285"/>
      <c r="J24" s="285"/>
      <c r="K24" s="285"/>
      <c r="L24" s="285"/>
      <c r="M24" s="19">
        <f t="shared" si="5"/>
        <v>0</v>
      </c>
      <c r="N24" s="285"/>
      <c r="O24" s="285" t="s">
        <v>113</v>
      </c>
      <c r="P24" s="212"/>
      <c r="Q24" s="214"/>
      <c r="R24" s="216">
        <f t="shared" si="6"/>
        <v>0</v>
      </c>
      <c r="S24" s="215">
        <f>+IFERROR(IF(S$19=Takstblad!C$3,VLOOKUP($A24,takstblad,3,FALSE)*C24,"fejl i år"),0)</f>
        <v>0</v>
      </c>
      <c r="T24" s="215">
        <f>+IFERROR(IF(T$19=Takstblad!D$3,VLOOKUP($A24,takstblad,4,FALSE)*D24,"fejl i år"),0)</f>
        <v>0</v>
      </c>
      <c r="U24" s="215">
        <f>+IFERROR(IF(U$19=Takstblad!E$3,VLOOKUP($A24,takstblad,5,FALSE)*E24,"fejl i år"),0)</f>
        <v>0</v>
      </c>
      <c r="V24" s="215">
        <f>+IFERROR(IF(V$19=Takstblad!F$3,VLOOKUP($A24,takstblad,6,FALSE)*F24,"fejl i år"),0)</f>
        <v>0</v>
      </c>
      <c r="W24" s="215">
        <f>+IFERROR(IF(W$19=Takstblad!G$3,VLOOKUP($A24,takstblad,7,FALSE)*G24,"fejl i år"),0)</f>
        <v>0</v>
      </c>
      <c r="X24" s="215">
        <f>+IFERROR(IF(X$19=Takstblad!H$3,VLOOKUP($A24,takstblad,8,FALSE)*H24,"fejl i år"),0)</f>
        <v>0</v>
      </c>
      <c r="Y24" s="215">
        <f>+IFERROR(IF(Y$19=Takstblad!I$3,VLOOKUP($A24,takstblad,9,FALSE)*I24,"fejl i år"),0)</f>
        <v>0</v>
      </c>
      <c r="Z24" s="215">
        <f>+IFERROR(IF(Z$19=Takstblad!J$3,VLOOKUP($A24,takstblad,10,FALSE)*J24,"fejl i år"),0)</f>
        <v>0</v>
      </c>
      <c r="AA24" s="215">
        <f>+IFERROR(IF(AA$19=Takstblad!K$3,VLOOKUP($A24,takstblad,11,FALSE)*K24,"fejl i år"),0)</f>
        <v>0</v>
      </c>
      <c r="AB24" s="215">
        <f>+IFERROR(IF(AB$19=Takstblad!L$3,VLOOKUP($A24,takstblad,12,FALSE)*L24,"fejl i år"),0)</f>
        <v>0</v>
      </c>
      <c r="AC24" s="216">
        <f t="shared" si="7"/>
        <v>0</v>
      </c>
      <c r="AD24" s="221"/>
      <c r="AE24" s="217">
        <f>+M24*($C$7/12)</f>
        <v>0</v>
      </c>
      <c r="AF24" s="217">
        <f>IFERROR(AC24/AE24,0)</f>
        <v>0</v>
      </c>
      <c r="AG24" s="221"/>
      <c r="AH24" s="217">
        <f>+C24*($C$7/12)</f>
        <v>0</v>
      </c>
      <c r="AI24" s="217">
        <f t="shared" si="2"/>
        <v>0</v>
      </c>
      <c r="AJ24" s="221"/>
      <c r="AK24" s="217">
        <f t="shared" si="11"/>
        <v>0</v>
      </c>
      <c r="AL24" s="217">
        <f t="shared" si="12"/>
        <v>0</v>
      </c>
      <c r="AM24" s="221"/>
      <c r="AN24" s="217">
        <f t="shared" si="13"/>
        <v>0</v>
      </c>
      <c r="AO24" s="217">
        <f t="shared" si="14"/>
        <v>0</v>
      </c>
      <c r="AP24" s="221"/>
      <c r="AQ24" s="217">
        <f t="shared" si="15"/>
        <v>0</v>
      </c>
      <c r="AR24" s="217">
        <f t="shared" si="16"/>
        <v>0</v>
      </c>
      <c r="AS24" s="221"/>
      <c r="AT24" s="217">
        <f t="shared" si="17"/>
        <v>0</v>
      </c>
      <c r="AU24" s="217">
        <f t="shared" si="18"/>
        <v>0</v>
      </c>
      <c r="AV24" s="221"/>
      <c r="AW24" s="217">
        <f t="shared" si="19"/>
        <v>0</v>
      </c>
      <c r="AX24" s="217">
        <f t="shared" si="20"/>
        <v>0</v>
      </c>
      <c r="AY24" s="221"/>
      <c r="AZ24" s="217">
        <f t="shared" si="21"/>
        <v>0</v>
      </c>
      <c r="BA24" s="217">
        <f t="shared" si="3"/>
        <v>0</v>
      </c>
      <c r="BB24" s="221"/>
      <c r="BC24" s="217">
        <f t="shared" si="22"/>
        <v>0</v>
      </c>
      <c r="BD24" s="217">
        <f t="shared" si="4"/>
        <v>0</v>
      </c>
      <c r="BE24" s="221"/>
      <c r="BF24" s="217">
        <f t="shared" si="23"/>
        <v>0</v>
      </c>
      <c r="BG24" s="217">
        <f t="shared" si="24"/>
        <v>0</v>
      </c>
      <c r="BH24" s="221"/>
      <c r="BI24" s="217">
        <f t="shared" si="25"/>
        <v>0</v>
      </c>
      <c r="BJ24" s="217">
        <f t="shared" si="26"/>
        <v>0</v>
      </c>
    </row>
    <row r="25" spans="1:62" ht="15.65" customHeight="1">
      <c r="A25" s="7" t="s">
        <v>1238</v>
      </c>
      <c r="B25" s="4" t="str">
        <f>+VLOOKUP(A25,Takstblad!$A$5:$B$30,2,FALSE)</f>
        <v/>
      </c>
      <c r="C25" s="285"/>
      <c r="D25" s="285"/>
      <c r="E25" s="285"/>
      <c r="F25" s="285"/>
      <c r="G25" s="285"/>
      <c r="H25" s="285"/>
      <c r="I25" s="285"/>
      <c r="J25" s="285"/>
      <c r="K25" s="285"/>
      <c r="L25" s="285"/>
      <c r="M25" s="19">
        <f t="shared" si="5"/>
        <v>0</v>
      </c>
      <c r="N25" s="285"/>
      <c r="O25" s="285" t="s">
        <v>113</v>
      </c>
      <c r="Q25" s="16"/>
      <c r="R25" s="21">
        <f t="shared" si="6"/>
        <v>0</v>
      </c>
      <c r="S25" s="25">
        <f>+IFERROR(IF(S$19=Takstblad!C$3,VLOOKUP($A25,takstblad,3,FALSE)*C25,"fejl i år"),0)</f>
        <v>0</v>
      </c>
      <c r="T25" s="25">
        <f>+IFERROR(IF(T$19=Takstblad!D$3,VLOOKUP($A25,takstblad,4,FALSE)*D25,"fejl i år"),0)</f>
        <v>0</v>
      </c>
      <c r="U25" s="25">
        <f>+IFERROR(IF(U$19=Takstblad!E$3,VLOOKUP($A25,takstblad,5,FALSE)*E25,"fejl i år"),0)</f>
        <v>0</v>
      </c>
      <c r="V25" s="25">
        <f>+IFERROR(IF(V$19=Takstblad!F$3,VLOOKUP($A25,takstblad,6,FALSE)*F25,"fejl i år"),0)</f>
        <v>0</v>
      </c>
      <c r="W25" s="25">
        <f>+IFERROR(IF(W$19=Takstblad!G$3,VLOOKUP($A25,takstblad,7,FALSE)*G25,"fejl i år"),0)</f>
        <v>0</v>
      </c>
      <c r="X25" s="25">
        <f>+IFERROR(IF(X$19=Takstblad!H$3,VLOOKUP($A25,takstblad,8,FALSE)*H25,"fejl i år"),0)</f>
        <v>0</v>
      </c>
      <c r="Y25" s="25">
        <f>+IFERROR(IF(Y$19=Takstblad!I$3,VLOOKUP($A25,takstblad,9,FALSE)*I25,"fejl i år"),0)</f>
        <v>0</v>
      </c>
      <c r="Z25" s="25">
        <f>+IFERROR(IF(Z$19=Takstblad!J$3,VLOOKUP($A25,takstblad,10,FALSE)*J25,"fejl i år"),0)</f>
        <v>0</v>
      </c>
      <c r="AA25" s="25">
        <f>+IFERROR(IF(AA$19=Takstblad!K$3,VLOOKUP($A25,takstblad,11,FALSE)*K25,"fejl i år"),0)</f>
        <v>0</v>
      </c>
      <c r="AB25" s="25">
        <f>+IFERROR(IF(AB$19=Takstblad!L$3,VLOOKUP($A25,takstblad,12,FALSE)*L25,"fejl i år"),0)</f>
        <v>0</v>
      </c>
      <c r="AC25" s="21">
        <f t="shared" si="7"/>
        <v>0</v>
      </c>
      <c r="AD25" s="221"/>
      <c r="AE25" s="25">
        <f>+M25*($C$7/12)</f>
        <v>0</v>
      </c>
      <c r="AF25" s="25">
        <f>IFERROR(AC25/AE25,0)</f>
        <v>0</v>
      </c>
      <c r="AG25" s="221"/>
      <c r="AH25" s="25">
        <f t="shared" si="10"/>
        <v>0</v>
      </c>
      <c r="AI25" s="25">
        <f t="shared" si="2"/>
        <v>0</v>
      </c>
      <c r="AJ25" s="221"/>
      <c r="AK25" s="25">
        <f t="shared" si="11"/>
        <v>0</v>
      </c>
      <c r="AL25" s="25">
        <f t="shared" si="12"/>
        <v>0</v>
      </c>
      <c r="AM25" s="221"/>
      <c r="AN25" s="25">
        <f t="shared" si="13"/>
        <v>0</v>
      </c>
      <c r="AO25" s="25">
        <f t="shared" si="14"/>
        <v>0</v>
      </c>
      <c r="AP25" s="221"/>
      <c r="AQ25" s="25">
        <f t="shared" si="15"/>
        <v>0</v>
      </c>
      <c r="AR25" s="25">
        <f t="shared" si="16"/>
        <v>0</v>
      </c>
      <c r="AS25" s="221"/>
      <c r="AT25" s="25">
        <f t="shared" si="17"/>
        <v>0</v>
      </c>
      <c r="AU25" s="25">
        <f t="shared" si="18"/>
        <v>0</v>
      </c>
      <c r="AV25" s="221"/>
      <c r="AW25" s="25">
        <f t="shared" si="19"/>
        <v>0</v>
      </c>
      <c r="AX25" s="25">
        <f t="shared" si="20"/>
        <v>0</v>
      </c>
      <c r="AY25" s="221"/>
      <c r="AZ25" s="25">
        <f>+I25*($C$7/12)</f>
        <v>0</v>
      </c>
      <c r="BA25" s="25">
        <f t="shared" si="3"/>
        <v>0</v>
      </c>
      <c r="BB25" s="221"/>
      <c r="BC25" s="25">
        <f t="shared" si="22"/>
        <v>0</v>
      </c>
      <c r="BD25" s="25">
        <f t="shared" si="4"/>
        <v>0</v>
      </c>
      <c r="BE25" s="221"/>
      <c r="BF25" s="25">
        <f t="shared" si="23"/>
        <v>0</v>
      </c>
      <c r="BG25" s="25">
        <f t="shared" si="24"/>
        <v>0</v>
      </c>
      <c r="BH25" s="221"/>
      <c r="BI25" s="25">
        <f t="shared" si="25"/>
        <v>0</v>
      </c>
      <c r="BJ25" s="25">
        <f t="shared" si="26"/>
        <v>0</v>
      </c>
    </row>
    <row r="26" spans="1:62" ht="15.65" customHeight="1">
      <c r="A26" s="212" t="s">
        <v>1238</v>
      </c>
      <c r="B26" s="213" t="str">
        <f>+VLOOKUP(A26,Takstblad!$A$5:$B$30,2,FALSE)</f>
        <v/>
      </c>
      <c r="C26" s="285"/>
      <c r="D26" s="285"/>
      <c r="E26" s="285"/>
      <c r="F26" s="285"/>
      <c r="G26" s="285"/>
      <c r="H26" s="285"/>
      <c r="I26" s="285"/>
      <c r="J26" s="285"/>
      <c r="K26" s="285"/>
      <c r="L26" s="285"/>
      <c r="M26" s="19">
        <f t="shared" si="5"/>
        <v>0</v>
      </c>
      <c r="N26" s="285"/>
      <c r="O26" s="285" t="s">
        <v>113</v>
      </c>
      <c r="P26" s="212"/>
      <c r="Q26" s="214"/>
      <c r="R26" s="216">
        <f t="shared" si="6"/>
        <v>0</v>
      </c>
      <c r="S26" s="215">
        <f>+IFERROR(IF(S$19=Takstblad!C$3,VLOOKUP($A26,takstblad,3,FALSE)*C26,"fejl i år"),0)</f>
        <v>0</v>
      </c>
      <c r="T26" s="215">
        <f>+IFERROR(IF(T$19=Takstblad!D$3,VLOOKUP($A26,takstblad,4,FALSE)*D26,"fejl i år"),0)</f>
        <v>0</v>
      </c>
      <c r="U26" s="215">
        <f>+IFERROR(IF(U$19=Takstblad!E$3,VLOOKUP($A26,takstblad,5,FALSE)*E26,"fejl i år"),0)</f>
        <v>0</v>
      </c>
      <c r="V26" s="215">
        <f>+IFERROR(IF(V$19=Takstblad!F$3,VLOOKUP($A26,takstblad,6,FALSE)*F26,"fejl i år"),0)</f>
        <v>0</v>
      </c>
      <c r="W26" s="215">
        <f>+IFERROR(IF(W$19=Takstblad!G$3,VLOOKUP($A26,takstblad,7,FALSE)*G26,"fejl i år"),0)</f>
        <v>0</v>
      </c>
      <c r="X26" s="215">
        <f>+IFERROR(IF(X$19=Takstblad!H$3,VLOOKUP($A26,takstblad,8,FALSE)*H26,"fejl i år"),0)</f>
        <v>0</v>
      </c>
      <c r="Y26" s="215">
        <f>+IFERROR(IF(Y$19=Takstblad!I$3,VLOOKUP($A26,takstblad,9,FALSE)*I26,"fejl i år"),0)</f>
        <v>0</v>
      </c>
      <c r="Z26" s="215">
        <f>+IFERROR(IF(Z$19=Takstblad!J$3,VLOOKUP($A26,takstblad,10,FALSE)*J26,"fejl i år"),0)</f>
        <v>0</v>
      </c>
      <c r="AA26" s="215">
        <f>+IFERROR(IF(AA$19=Takstblad!K$3,VLOOKUP($A26,takstblad,11,FALSE)*K26,"fejl i år"),0)</f>
        <v>0</v>
      </c>
      <c r="AB26" s="215">
        <f>+IFERROR(IF(AB$19=Takstblad!L$3,VLOOKUP($A26,takstblad,12,FALSE)*L26,"fejl i år"),0)</f>
        <v>0</v>
      </c>
      <c r="AC26" s="216">
        <f t="shared" si="7"/>
        <v>0</v>
      </c>
      <c r="AD26" s="221"/>
      <c r="AE26" s="217">
        <f t="shared" si="8"/>
        <v>0</v>
      </c>
      <c r="AF26" s="217">
        <f t="shared" si="9"/>
        <v>0</v>
      </c>
      <c r="AG26" s="221"/>
      <c r="AH26" s="217">
        <f t="shared" si="10"/>
        <v>0</v>
      </c>
      <c r="AI26" s="217">
        <f t="shared" si="2"/>
        <v>0</v>
      </c>
      <c r="AJ26" s="221"/>
      <c r="AK26" s="217">
        <f t="shared" si="11"/>
        <v>0</v>
      </c>
      <c r="AL26" s="217">
        <f t="shared" si="12"/>
        <v>0</v>
      </c>
      <c r="AM26" s="221"/>
      <c r="AN26" s="217">
        <f t="shared" si="13"/>
        <v>0</v>
      </c>
      <c r="AO26" s="217">
        <f t="shared" si="14"/>
        <v>0</v>
      </c>
      <c r="AP26" s="221"/>
      <c r="AQ26" s="217">
        <f t="shared" si="15"/>
        <v>0</v>
      </c>
      <c r="AR26" s="217">
        <f t="shared" si="16"/>
        <v>0</v>
      </c>
      <c r="AS26" s="221"/>
      <c r="AT26" s="217">
        <f t="shared" si="17"/>
        <v>0</v>
      </c>
      <c r="AU26" s="217">
        <f t="shared" si="18"/>
        <v>0</v>
      </c>
      <c r="AV26" s="221"/>
      <c r="AW26" s="217">
        <f t="shared" si="19"/>
        <v>0</v>
      </c>
      <c r="AX26" s="217">
        <f t="shared" si="20"/>
        <v>0</v>
      </c>
      <c r="AY26" s="221"/>
      <c r="AZ26" s="217">
        <f t="shared" si="21"/>
        <v>0</v>
      </c>
      <c r="BA26" s="217">
        <f t="shared" si="3"/>
        <v>0</v>
      </c>
      <c r="BB26" s="221"/>
      <c r="BC26" s="217">
        <f t="shared" si="22"/>
        <v>0</v>
      </c>
      <c r="BD26" s="217">
        <f t="shared" si="4"/>
        <v>0</v>
      </c>
      <c r="BE26" s="221"/>
      <c r="BF26" s="217">
        <f t="shared" si="23"/>
        <v>0</v>
      </c>
      <c r="BG26" s="217">
        <f t="shared" si="24"/>
        <v>0</v>
      </c>
      <c r="BH26" s="221"/>
      <c r="BI26" s="217">
        <f t="shared" si="25"/>
        <v>0</v>
      </c>
      <c r="BJ26" s="217">
        <f t="shared" si="26"/>
        <v>0</v>
      </c>
    </row>
    <row r="27" spans="1:62" ht="15.65" customHeight="1">
      <c r="A27" s="7" t="s">
        <v>1238</v>
      </c>
      <c r="B27" s="4" t="str">
        <f>+VLOOKUP(A27,Takstblad!$A$5:$B$30,2,FALSE)</f>
        <v/>
      </c>
      <c r="C27" s="285"/>
      <c r="D27" s="285"/>
      <c r="E27" s="285"/>
      <c r="F27" s="285"/>
      <c r="G27" s="285"/>
      <c r="H27" s="285"/>
      <c r="I27" s="285"/>
      <c r="J27" s="285"/>
      <c r="K27" s="285"/>
      <c r="L27" s="285"/>
      <c r="M27" s="19">
        <f t="shared" si="5"/>
        <v>0</v>
      </c>
      <c r="N27" s="285"/>
      <c r="O27" s="285" t="s">
        <v>113</v>
      </c>
      <c r="Q27" s="16"/>
      <c r="R27" s="21">
        <f t="shared" si="6"/>
        <v>0</v>
      </c>
      <c r="S27" s="25">
        <f>+IFERROR(IF(S$19=Takstblad!C$3,VLOOKUP($A27,takstblad,3,FALSE)*C27,"fejl i år"),0)</f>
        <v>0</v>
      </c>
      <c r="T27" s="25">
        <f>+IFERROR(IF(T$19=Takstblad!D$3,VLOOKUP($A27,takstblad,4,FALSE)*D27,"fejl i år"),0)</f>
        <v>0</v>
      </c>
      <c r="U27" s="25">
        <f>+IFERROR(IF(U$19=Takstblad!E$3,VLOOKUP($A27,takstblad,5,FALSE)*E27,"fejl i år"),0)</f>
        <v>0</v>
      </c>
      <c r="V27" s="25">
        <f>+IFERROR(IF(V$19=Takstblad!F$3,VLOOKUP($A27,takstblad,6,FALSE)*F27,"fejl i år"),0)</f>
        <v>0</v>
      </c>
      <c r="W27" s="25">
        <f>+IFERROR(IF(W$19=Takstblad!G$3,VLOOKUP($A27,takstblad,7,FALSE)*G27,"fejl i år"),0)</f>
        <v>0</v>
      </c>
      <c r="X27" s="25">
        <f>+IFERROR(IF(X$19=Takstblad!H$3,VLOOKUP($A27,takstblad,8,FALSE)*H27,"fejl i år"),0)</f>
        <v>0</v>
      </c>
      <c r="Y27" s="25">
        <f>+IFERROR(IF(Y$19=Takstblad!I$3,VLOOKUP($A27,takstblad,9,FALSE)*I27,"fejl i år"),0)</f>
        <v>0</v>
      </c>
      <c r="Z27" s="25">
        <f>+IFERROR(IF(Z$19=Takstblad!J$3,VLOOKUP($A27,takstblad,10,FALSE)*J27,"fejl i år"),0)</f>
        <v>0</v>
      </c>
      <c r="AA27" s="25">
        <f>+IFERROR(IF(AA$19=Takstblad!K$3,VLOOKUP($A27,takstblad,11,FALSE)*K27,"fejl i år"),0)</f>
        <v>0</v>
      </c>
      <c r="AB27" s="25">
        <f>+IFERROR(IF(AB$19=Takstblad!L$3,VLOOKUP($A27,takstblad,12,FALSE)*L27,"fejl i år"),0)</f>
        <v>0</v>
      </c>
      <c r="AC27" s="21">
        <f t="shared" si="7"/>
        <v>0</v>
      </c>
      <c r="AD27" s="221"/>
      <c r="AE27" s="25">
        <f t="shared" si="8"/>
        <v>0</v>
      </c>
      <c r="AF27" s="25">
        <f t="shared" si="9"/>
        <v>0</v>
      </c>
      <c r="AG27" s="221"/>
      <c r="AH27" s="25">
        <f t="shared" si="10"/>
        <v>0</v>
      </c>
      <c r="AI27" s="25">
        <f t="shared" si="2"/>
        <v>0</v>
      </c>
      <c r="AJ27" s="221"/>
      <c r="AK27" s="25">
        <f t="shared" si="11"/>
        <v>0</v>
      </c>
      <c r="AL27" s="25">
        <f t="shared" si="12"/>
        <v>0</v>
      </c>
      <c r="AM27" s="221"/>
      <c r="AN27" s="25">
        <f t="shared" si="13"/>
        <v>0</v>
      </c>
      <c r="AO27" s="25">
        <f t="shared" si="14"/>
        <v>0</v>
      </c>
      <c r="AP27" s="221"/>
      <c r="AQ27" s="25">
        <f t="shared" si="15"/>
        <v>0</v>
      </c>
      <c r="AR27" s="25">
        <f t="shared" si="16"/>
        <v>0</v>
      </c>
      <c r="AS27" s="221"/>
      <c r="AT27" s="25">
        <f t="shared" si="17"/>
        <v>0</v>
      </c>
      <c r="AU27" s="25">
        <f t="shared" si="18"/>
        <v>0</v>
      </c>
      <c r="AV27" s="221"/>
      <c r="AW27" s="25">
        <f t="shared" si="19"/>
        <v>0</v>
      </c>
      <c r="AX27" s="25">
        <f t="shared" si="20"/>
        <v>0</v>
      </c>
      <c r="AY27" s="221"/>
      <c r="AZ27" s="25">
        <f t="shared" si="21"/>
        <v>0</v>
      </c>
      <c r="BA27" s="25">
        <f t="shared" si="3"/>
        <v>0</v>
      </c>
      <c r="BB27" s="221"/>
      <c r="BC27" s="25">
        <f t="shared" si="22"/>
        <v>0</v>
      </c>
      <c r="BD27" s="25">
        <f t="shared" si="4"/>
        <v>0</v>
      </c>
      <c r="BE27" s="221"/>
      <c r="BF27" s="25">
        <f t="shared" si="23"/>
        <v>0</v>
      </c>
      <c r="BG27" s="25">
        <f t="shared" si="24"/>
        <v>0</v>
      </c>
      <c r="BH27" s="221"/>
      <c r="BI27" s="25">
        <f t="shared" si="25"/>
        <v>0</v>
      </c>
      <c r="BJ27" s="25">
        <f t="shared" si="26"/>
        <v>0</v>
      </c>
    </row>
    <row r="28" spans="1:62" ht="15.65" customHeight="1">
      <c r="A28" s="212" t="s">
        <v>1238</v>
      </c>
      <c r="B28" s="213" t="str">
        <f>+VLOOKUP(A28,Takstblad!$A$5:$B$30,2,FALSE)</f>
        <v/>
      </c>
      <c r="C28" s="285"/>
      <c r="D28" s="285"/>
      <c r="E28" s="285"/>
      <c r="F28" s="285"/>
      <c r="G28" s="285"/>
      <c r="H28" s="285"/>
      <c r="I28" s="285"/>
      <c r="J28" s="285"/>
      <c r="K28" s="285"/>
      <c r="L28" s="285"/>
      <c r="M28" s="19">
        <f t="shared" si="5"/>
        <v>0</v>
      </c>
      <c r="N28" s="285"/>
      <c r="O28" s="285" t="s">
        <v>113</v>
      </c>
      <c r="P28" s="212"/>
      <c r="Q28" s="214"/>
      <c r="R28" s="216">
        <f t="shared" si="6"/>
        <v>0</v>
      </c>
      <c r="S28" s="215">
        <f>+IFERROR(IF(S$19=Takstblad!C$3,VLOOKUP($A28,takstblad,3,FALSE)*C28,"fejl i år"),0)</f>
        <v>0</v>
      </c>
      <c r="T28" s="215">
        <f>+IFERROR(IF(T$19=Takstblad!D$3,VLOOKUP($A28,takstblad,4,FALSE)*D28,"fejl i år"),0)</f>
        <v>0</v>
      </c>
      <c r="U28" s="215">
        <f>+IFERROR(IF(U$19=Takstblad!E$3,VLOOKUP($A28,takstblad,5,FALSE)*E28,"fejl i år"),0)</f>
        <v>0</v>
      </c>
      <c r="V28" s="215">
        <f>+IFERROR(IF(V$19=Takstblad!F$3,VLOOKUP($A28,takstblad,6,FALSE)*F28,"fejl i år"),0)</f>
        <v>0</v>
      </c>
      <c r="W28" s="215">
        <f>+IFERROR(IF(W$19=Takstblad!G$3,VLOOKUP($A28,takstblad,7,FALSE)*G28,"fejl i år"),0)</f>
        <v>0</v>
      </c>
      <c r="X28" s="215">
        <f>+IFERROR(IF(X$19=Takstblad!H$3,VLOOKUP($A28,takstblad,8,FALSE)*H28,"fejl i år"),0)</f>
        <v>0</v>
      </c>
      <c r="Y28" s="215">
        <f>+IFERROR(IF(Y$19=Takstblad!I$3,VLOOKUP($A28,takstblad,9,FALSE)*I28,"fejl i år"),0)</f>
        <v>0</v>
      </c>
      <c r="Z28" s="215">
        <f>+IFERROR(IF(Z$19=Takstblad!J$3,VLOOKUP($A28,takstblad,10,FALSE)*J28,"fejl i år"),0)</f>
        <v>0</v>
      </c>
      <c r="AA28" s="215">
        <f>+IFERROR(IF(AA$19=Takstblad!K$3,VLOOKUP($A28,takstblad,11,FALSE)*K28,"fejl i år"),0)</f>
        <v>0</v>
      </c>
      <c r="AB28" s="215">
        <f>+IFERROR(IF(AB$19=Takstblad!L$3,VLOOKUP($A28,takstblad,12,FALSE)*L28,"fejl i år"),0)</f>
        <v>0</v>
      </c>
      <c r="AC28" s="216">
        <f t="shared" si="7"/>
        <v>0</v>
      </c>
      <c r="AD28" s="221"/>
      <c r="AE28" s="217">
        <f t="shared" si="8"/>
        <v>0</v>
      </c>
      <c r="AF28" s="217">
        <f t="shared" si="9"/>
        <v>0</v>
      </c>
      <c r="AG28" s="221"/>
      <c r="AH28" s="217">
        <f t="shared" si="10"/>
        <v>0</v>
      </c>
      <c r="AI28" s="217">
        <f t="shared" si="2"/>
        <v>0</v>
      </c>
      <c r="AJ28" s="221"/>
      <c r="AK28" s="217">
        <f t="shared" si="11"/>
        <v>0</v>
      </c>
      <c r="AL28" s="217">
        <f t="shared" si="12"/>
        <v>0</v>
      </c>
      <c r="AM28" s="221"/>
      <c r="AN28" s="217">
        <f t="shared" si="13"/>
        <v>0</v>
      </c>
      <c r="AO28" s="217">
        <f t="shared" si="14"/>
        <v>0</v>
      </c>
      <c r="AP28" s="221"/>
      <c r="AQ28" s="217">
        <f t="shared" si="15"/>
        <v>0</v>
      </c>
      <c r="AR28" s="217">
        <f t="shared" si="16"/>
        <v>0</v>
      </c>
      <c r="AS28" s="221"/>
      <c r="AT28" s="217">
        <f t="shared" si="17"/>
        <v>0</v>
      </c>
      <c r="AU28" s="217">
        <f t="shared" si="18"/>
        <v>0</v>
      </c>
      <c r="AV28" s="221"/>
      <c r="AW28" s="217">
        <f t="shared" si="19"/>
        <v>0</v>
      </c>
      <c r="AX28" s="217">
        <f t="shared" si="20"/>
        <v>0</v>
      </c>
      <c r="AY28" s="221"/>
      <c r="AZ28" s="217">
        <f t="shared" si="21"/>
        <v>0</v>
      </c>
      <c r="BA28" s="217">
        <f t="shared" si="3"/>
        <v>0</v>
      </c>
      <c r="BB28" s="221"/>
      <c r="BC28" s="217">
        <f t="shared" si="22"/>
        <v>0</v>
      </c>
      <c r="BD28" s="217">
        <f t="shared" si="4"/>
        <v>0</v>
      </c>
      <c r="BE28" s="221"/>
      <c r="BF28" s="217">
        <f t="shared" si="23"/>
        <v>0</v>
      </c>
      <c r="BG28" s="217">
        <f t="shared" si="24"/>
        <v>0</v>
      </c>
      <c r="BH28" s="221"/>
      <c r="BI28" s="217">
        <f t="shared" si="25"/>
        <v>0</v>
      </c>
      <c r="BJ28" s="217">
        <f t="shared" si="26"/>
        <v>0</v>
      </c>
    </row>
    <row r="29" spans="1:62" ht="15.65" customHeight="1" thickBot="1">
      <c r="A29" s="7" t="s">
        <v>1238</v>
      </c>
      <c r="B29" s="4" t="str">
        <f>+VLOOKUP(A29,Takstblad!$A$5:$B$30,2,FALSE)</f>
        <v/>
      </c>
      <c r="C29" s="285"/>
      <c r="D29" s="285"/>
      <c r="E29" s="285"/>
      <c r="F29" s="285"/>
      <c r="G29" s="285"/>
      <c r="H29" s="285"/>
      <c r="I29" s="286"/>
      <c r="J29" s="286"/>
      <c r="K29" s="286"/>
      <c r="L29" s="286"/>
      <c r="M29" s="47">
        <f t="shared" si="5"/>
        <v>0</v>
      </c>
      <c r="N29" s="285"/>
      <c r="O29" s="285" t="s">
        <v>113</v>
      </c>
      <c r="Q29" s="16"/>
      <c r="R29" s="21">
        <f t="shared" si="6"/>
        <v>0</v>
      </c>
      <c r="S29" s="25">
        <f>+IFERROR(IF(S$19=Takstblad!C$3,VLOOKUP($A29,takstblad,3,FALSE)*C29,"fejl i år"),0)</f>
        <v>0</v>
      </c>
      <c r="T29" s="25">
        <f>+IFERROR(IF(T$19=Takstblad!D$3,VLOOKUP($A29,takstblad,4,FALSE)*D29,"fejl i år"),0)</f>
        <v>0</v>
      </c>
      <c r="U29" s="25">
        <f>+IFERROR(IF(U$19=Takstblad!E$3,VLOOKUP($A29,takstblad,5,FALSE)*E29,"fejl i år"),0)</f>
        <v>0</v>
      </c>
      <c r="V29" s="25">
        <f>+IFERROR(IF(V$19=Takstblad!F$3,VLOOKUP($A29,takstblad,6,FALSE)*F29,"fejl i år"),0)</f>
        <v>0</v>
      </c>
      <c r="W29" s="25">
        <f>+IFERROR(IF(W$19=Takstblad!G$3,VLOOKUP($A29,takstblad,7,FALSE)*G29,"fejl i år"),0)</f>
        <v>0</v>
      </c>
      <c r="X29" s="25">
        <f>+IFERROR(IF(X$19=Takstblad!H$3,VLOOKUP($A29,takstblad,8,FALSE)*H29,"fejl i år"),0)</f>
        <v>0</v>
      </c>
      <c r="Y29" s="25">
        <f>+IFERROR(IF(Y$19=Takstblad!I$3,VLOOKUP($A29,takstblad,9,FALSE)*I29,"fejl i år"),0)</f>
        <v>0</v>
      </c>
      <c r="Z29" s="25">
        <f>+IFERROR(IF(Z$19=Takstblad!J$3,VLOOKUP($A29,takstblad,10,FALSE)*J29,"fejl i år"),0)</f>
        <v>0</v>
      </c>
      <c r="AA29" s="25">
        <f>+IFERROR(IF(AA$19=Takstblad!K$3,VLOOKUP($A29,takstblad,11,FALSE)*K29,"fejl i år"),0)</f>
        <v>0</v>
      </c>
      <c r="AB29" s="25">
        <f>+IFERROR(IF(AB$19=Takstblad!L$3,VLOOKUP($A29,takstblad,12,FALSE)*L29,"fejl i år"),0)</f>
        <v>0</v>
      </c>
      <c r="AC29" s="21">
        <f t="shared" si="7"/>
        <v>0</v>
      </c>
      <c r="AD29" s="221"/>
      <c r="AE29" s="25">
        <f t="shared" si="8"/>
        <v>0</v>
      </c>
      <c r="AF29" s="25">
        <f t="shared" si="9"/>
        <v>0</v>
      </c>
      <c r="AG29" s="221"/>
      <c r="AH29" s="25">
        <f t="shared" si="10"/>
        <v>0</v>
      </c>
      <c r="AI29" s="25">
        <f t="shared" si="2"/>
        <v>0</v>
      </c>
      <c r="AJ29" s="221"/>
      <c r="AK29" s="25">
        <f t="shared" si="11"/>
        <v>0</v>
      </c>
      <c r="AL29" s="25">
        <f t="shared" si="12"/>
        <v>0</v>
      </c>
      <c r="AM29" s="221"/>
      <c r="AN29" s="25">
        <f t="shared" si="13"/>
        <v>0</v>
      </c>
      <c r="AO29" s="25">
        <f t="shared" si="14"/>
        <v>0</v>
      </c>
      <c r="AP29" s="221"/>
      <c r="AQ29" s="25">
        <f t="shared" si="15"/>
        <v>0</v>
      </c>
      <c r="AR29" s="25">
        <f t="shared" si="16"/>
        <v>0</v>
      </c>
      <c r="AS29" s="221"/>
      <c r="AT29" s="25">
        <f t="shared" si="17"/>
        <v>0</v>
      </c>
      <c r="AU29" s="25">
        <f t="shared" si="18"/>
        <v>0</v>
      </c>
      <c r="AV29" s="221"/>
      <c r="AW29" s="25">
        <f t="shared" si="19"/>
        <v>0</v>
      </c>
      <c r="AX29" s="25">
        <f t="shared" si="20"/>
        <v>0</v>
      </c>
      <c r="AY29" s="221"/>
      <c r="AZ29" s="25">
        <f t="shared" si="21"/>
        <v>0</v>
      </c>
      <c r="BA29" s="25">
        <f t="shared" si="3"/>
        <v>0</v>
      </c>
      <c r="BB29" s="221"/>
      <c r="BC29" s="25">
        <f t="shared" si="22"/>
        <v>0</v>
      </c>
      <c r="BD29" s="25">
        <f>IFERROR(Z29/BC29,0)</f>
        <v>0</v>
      </c>
      <c r="BE29" s="221"/>
      <c r="BF29" s="25">
        <f t="shared" si="23"/>
        <v>0</v>
      </c>
      <c r="BG29" s="25">
        <f t="shared" si="24"/>
        <v>0</v>
      </c>
      <c r="BH29" s="221"/>
      <c r="BI29" s="25">
        <f t="shared" si="25"/>
        <v>0</v>
      </c>
      <c r="BJ29" s="25">
        <f t="shared" si="26"/>
        <v>0</v>
      </c>
    </row>
    <row r="30" spans="1:62" ht="15.65" hidden="1" customHeight="1" outlineLevel="1">
      <c r="A30" s="212" t="s">
        <v>1238</v>
      </c>
      <c r="B30" s="4" t="str">
        <f>+VLOOKUP(A30,Takstblad!$A$5:$B$30,2,FALSE)</f>
        <v/>
      </c>
      <c r="C30" s="285"/>
      <c r="D30" s="285"/>
      <c r="E30" s="285"/>
      <c r="F30" s="285"/>
      <c r="G30" s="285"/>
      <c r="H30" s="285"/>
      <c r="I30" s="286"/>
      <c r="J30" s="286"/>
      <c r="K30" s="286"/>
      <c r="L30" s="286"/>
      <c r="M30" s="47">
        <f t="shared" ref="M30:M39" si="27">SUM(C30:L30)</f>
        <v>0</v>
      </c>
      <c r="N30" s="285"/>
      <c r="O30" s="285" t="s">
        <v>113</v>
      </c>
      <c r="P30" s="212"/>
      <c r="Q30" s="214"/>
      <c r="R30" s="216">
        <f t="shared" ref="R30:R39" si="28">+AC30</f>
        <v>0</v>
      </c>
      <c r="S30" s="215">
        <f>+IFERROR(IF(S$19=Takstblad!C$3,VLOOKUP($A30,takstblad,3,FALSE)*C30,"fejl i år"),0)</f>
        <v>0</v>
      </c>
      <c r="T30" s="215">
        <f>+IFERROR(IF(T$19=Takstblad!D$3,VLOOKUP($A30,takstblad,4,FALSE)*D30,"fejl i år"),0)</f>
        <v>0</v>
      </c>
      <c r="U30" s="215">
        <f>+IFERROR(IF(U$19=Takstblad!E$3,VLOOKUP($A30,takstblad,5,FALSE)*E30,"fejl i år"),0)</f>
        <v>0</v>
      </c>
      <c r="V30" s="215">
        <f>+IFERROR(IF(V$19=Takstblad!F$3,VLOOKUP($A30,takstblad,6,FALSE)*F30,"fejl i år"),0)</f>
        <v>0</v>
      </c>
      <c r="W30" s="215">
        <f>+IFERROR(IF(W$19=Takstblad!G$3,VLOOKUP($A30,takstblad,7,FALSE)*G30,"fejl i år"),0)</f>
        <v>0</v>
      </c>
      <c r="X30" s="215">
        <f>+IFERROR(IF(X$19=Takstblad!H$3,VLOOKUP($A30,takstblad,8,FALSE)*H30,"fejl i år"),0)</f>
        <v>0</v>
      </c>
      <c r="Y30" s="215">
        <f>+IFERROR(IF(Y$19=Takstblad!I$3,VLOOKUP($A30,takstblad,9,FALSE)*I30,"fejl i år"),0)</f>
        <v>0</v>
      </c>
      <c r="Z30" s="215">
        <f>+IFERROR(IF(Z$19=Takstblad!J$3,VLOOKUP($A30,takstblad,10,FALSE)*J30,"fejl i år"),0)</f>
        <v>0</v>
      </c>
      <c r="AA30" s="215">
        <f>+IFERROR(IF(AA$19=Takstblad!K$3,VLOOKUP($A30,takstblad,11,FALSE)*K30,"fejl i år"),0)</f>
        <v>0</v>
      </c>
      <c r="AB30" s="215">
        <f>+IFERROR(IF(AB$19=Takstblad!L$3,VLOOKUP($A30,takstblad,12,FALSE)*L30,"fejl i år"),0)</f>
        <v>0</v>
      </c>
      <c r="AC30" s="216">
        <f t="shared" si="7"/>
        <v>0</v>
      </c>
      <c r="AD30" s="221"/>
      <c r="AE30" s="217">
        <f t="shared" ref="AE30:AE39" si="29">+M30*($C$7/12)</f>
        <v>0</v>
      </c>
      <c r="AF30" s="217">
        <f t="shared" ref="AF30:AF39" si="30">IFERROR(AC30/AE30,0)</f>
        <v>0</v>
      </c>
      <c r="AG30" s="221"/>
      <c r="AH30" s="217">
        <f t="shared" ref="AH30:AH39" si="31">+C30*($C$7/12)</f>
        <v>0</v>
      </c>
      <c r="AI30" s="217">
        <f t="shared" ref="AI30:AI39" si="32">IFERROR(S30/AH30,0)</f>
        <v>0</v>
      </c>
      <c r="AJ30" s="221"/>
      <c r="AK30" s="217">
        <f t="shared" ref="AK30:AK39" si="33">+D30*($C$7/12)</f>
        <v>0</v>
      </c>
      <c r="AL30" s="217">
        <f t="shared" ref="AL30:AL39" si="34">IFERROR(T30/AK30,0)</f>
        <v>0</v>
      </c>
      <c r="AM30" s="221"/>
      <c r="AN30" s="217">
        <f t="shared" ref="AN30:AN39" si="35">+E30*($C$7/12)</f>
        <v>0</v>
      </c>
      <c r="AO30" s="217">
        <f t="shared" ref="AO30:AO39" si="36">IFERROR(U30/AN30,0)</f>
        <v>0</v>
      </c>
      <c r="AP30" s="221"/>
      <c r="AQ30" s="217">
        <f t="shared" ref="AQ30:AQ39" si="37">+F30*($C$7/12)</f>
        <v>0</v>
      </c>
      <c r="AR30" s="217">
        <f t="shared" ref="AR30:AR39" si="38">IFERROR(V30/AQ30,0)</f>
        <v>0</v>
      </c>
      <c r="AS30" s="221"/>
      <c r="AT30" s="217">
        <f t="shared" ref="AT30:AT39" si="39">+G30*($C$7/12)</f>
        <v>0</v>
      </c>
      <c r="AU30" s="217">
        <f t="shared" ref="AU30:AU39" si="40">IFERROR(W30/AT30,0)</f>
        <v>0</v>
      </c>
      <c r="AV30" s="221"/>
      <c r="AW30" s="217">
        <f t="shared" ref="AW30:AW39" si="41">+H30*($C$7/12)</f>
        <v>0</v>
      </c>
      <c r="AX30" s="217">
        <f t="shared" ref="AX30:AX39" si="42">IFERROR(X30/AW30,0)</f>
        <v>0</v>
      </c>
      <c r="AY30" s="221"/>
      <c r="AZ30" s="217">
        <f t="shared" ref="AZ30:AZ39" si="43">+I30*($C$7/12)</f>
        <v>0</v>
      </c>
      <c r="BA30" s="217">
        <f t="shared" ref="BA30:BA39" si="44">IFERROR(Y30/AZ30,0)</f>
        <v>0</v>
      </c>
      <c r="BB30" s="221"/>
      <c r="BC30" s="217">
        <f t="shared" ref="BC30:BC39" si="45">+J30*($C$7/12)</f>
        <v>0</v>
      </c>
      <c r="BD30" s="217">
        <f>IFERROR(Z30/BC30,0)</f>
        <v>0</v>
      </c>
      <c r="BE30" s="221"/>
      <c r="BF30" s="217">
        <f t="shared" ref="BF30:BF39" si="46">+K30*($C$7/12)</f>
        <v>0</v>
      </c>
      <c r="BG30" s="217">
        <f t="shared" ref="BG30:BG39" si="47">IFERROR(AA30/BF30,0)</f>
        <v>0</v>
      </c>
      <c r="BH30" s="221"/>
      <c r="BI30" s="217">
        <f t="shared" ref="BI30:BI39" si="48">+L30*($C$7/12)</f>
        <v>0</v>
      </c>
      <c r="BJ30" s="217">
        <f t="shared" ref="BJ30:BJ39" si="49">IFERROR(AB30/BI30,0)</f>
        <v>0</v>
      </c>
    </row>
    <row r="31" spans="1:62" ht="15.65" hidden="1" customHeight="1" outlineLevel="1">
      <c r="A31" s="7" t="s">
        <v>1238</v>
      </c>
      <c r="B31" s="4" t="str">
        <f>+VLOOKUP(A31,Takstblad!$A$5:$B$30,2,FALSE)</f>
        <v/>
      </c>
      <c r="C31" s="285"/>
      <c r="D31" s="285"/>
      <c r="E31" s="285"/>
      <c r="F31" s="285"/>
      <c r="G31" s="285"/>
      <c r="H31" s="285"/>
      <c r="I31" s="286"/>
      <c r="J31" s="286"/>
      <c r="K31" s="286"/>
      <c r="L31" s="286"/>
      <c r="M31" s="47">
        <f t="shared" si="27"/>
        <v>0</v>
      </c>
      <c r="N31" s="285"/>
      <c r="O31" s="285" t="s">
        <v>113</v>
      </c>
      <c r="Q31" s="16"/>
      <c r="R31" s="21">
        <f t="shared" si="28"/>
        <v>0</v>
      </c>
      <c r="S31" s="25">
        <f>+IFERROR(IF(S$19=Takstblad!C$3,VLOOKUP($A31,takstblad,3,FALSE)*C31,"fejl i år"),0)</f>
        <v>0</v>
      </c>
      <c r="T31" s="25">
        <f>+IFERROR(IF(T$19=Takstblad!D$3,VLOOKUP($A31,takstblad,4,FALSE)*D31,"fejl i år"),0)</f>
        <v>0</v>
      </c>
      <c r="U31" s="25">
        <f>+IFERROR(IF(U$19=Takstblad!E$3,VLOOKUP($A31,takstblad,5,FALSE)*E31,"fejl i år"),0)</f>
        <v>0</v>
      </c>
      <c r="V31" s="25">
        <f>+IFERROR(IF(V$19=Takstblad!F$3,VLOOKUP($A31,takstblad,6,FALSE)*F31,"fejl i år"),0)</f>
        <v>0</v>
      </c>
      <c r="W31" s="25">
        <f>+IFERROR(IF(W$19=Takstblad!G$3,VLOOKUP($A31,takstblad,7,FALSE)*G31,"fejl i år"),0)</f>
        <v>0</v>
      </c>
      <c r="X31" s="25">
        <f>+IFERROR(IF(X$19=Takstblad!H$3,VLOOKUP($A31,takstblad,8,FALSE)*H31,"fejl i år"),0)</f>
        <v>0</v>
      </c>
      <c r="Y31" s="25">
        <f>+IFERROR(IF(Y$19=Takstblad!I$3,VLOOKUP($A31,takstblad,9,FALSE)*I31,"fejl i år"),0)</f>
        <v>0</v>
      </c>
      <c r="Z31" s="25">
        <f>+IFERROR(IF(Z$19=Takstblad!J$3,VLOOKUP($A31,takstblad,10,FALSE)*J31,"fejl i år"),0)</f>
        <v>0</v>
      </c>
      <c r="AA31" s="25">
        <f>+IFERROR(IF(AA$19=Takstblad!K$3,VLOOKUP($A31,takstblad,11,FALSE)*K31,"fejl i år"),0)</f>
        <v>0</v>
      </c>
      <c r="AB31" s="25">
        <f>+IFERROR(IF(AB$19=Takstblad!L$3,VLOOKUP($A31,takstblad,12,FALSE)*L31,"fejl i år"),0)</f>
        <v>0</v>
      </c>
      <c r="AC31" s="21">
        <f t="shared" si="7"/>
        <v>0</v>
      </c>
      <c r="AD31" s="221"/>
      <c r="AE31" s="25">
        <f t="shared" si="29"/>
        <v>0</v>
      </c>
      <c r="AF31" s="25">
        <f t="shared" si="30"/>
        <v>0</v>
      </c>
      <c r="AG31" s="221"/>
      <c r="AH31" s="25">
        <f t="shared" si="31"/>
        <v>0</v>
      </c>
      <c r="AI31" s="25">
        <f t="shared" si="32"/>
        <v>0</v>
      </c>
      <c r="AJ31" s="221"/>
      <c r="AK31" s="25">
        <f t="shared" si="33"/>
        <v>0</v>
      </c>
      <c r="AL31" s="25">
        <f t="shared" si="34"/>
        <v>0</v>
      </c>
      <c r="AM31" s="221"/>
      <c r="AN31" s="25">
        <f t="shared" si="35"/>
        <v>0</v>
      </c>
      <c r="AO31" s="25">
        <f t="shared" si="36"/>
        <v>0</v>
      </c>
      <c r="AP31" s="221"/>
      <c r="AQ31" s="25">
        <f t="shared" si="37"/>
        <v>0</v>
      </c>
      <c r="AR31" s="25">
        <f t="shared" si="38"/>
        <v>0</v>
      </c>
      <c r="AS31" s="221"/>
      <c r="AT31" s="25">
        <f t="shared" si="39"/>
        <v>0</v>
      </c>
      <c r="AU31" s="25">
        <f t="shared" si="40"/>
        <v>0</v>
      </c>
      <c r="AV31" s="221"/>
      <c r="AW31" s="25">
        <f t="shared" si="41"/>
        <v>0</v>
      </c>
      <c r="AX31" s="25">
        <f t="shared" si="42"/>
        <v>0</v>
      </c>
      <c r="AY31" s="221"/>
      <c r="AZ31" s="25">
        <f t="shared" si="43"/>
        <v>0</v>
      </c>
      <c r="BA31" s="25">
        <f t="shared" si="44"/>
        <v>0</v>
      </c>
      <c r="BB31" s="221"/>
      <c r="BC31" s="25">
        <f t="shared" si="45"/>
        <v>0</v>
      </c>
      <c r="BD31" s="25">
        <f t="shared" ref="BD31:BD39" si="50">IFERROR(Z31/BC31,0)</f>
        <v>0</v>
      </c>
      <c r="BE31" s="221"/>
      <c r="BF31" s="25">
        <f t="shared" si="46"/>
        <v>0</v>
      </c>
      <c r="BG31" s="25">
        <f t="shared" si="47"/>
        <v>0</v>
      </c>
      <c r="BH31" s="221"/>
      <c r="BI31" s="25">
        <f t="shared" si="48"/>
        <v>0</v>
      </c>
      <c r="BJ31" s="25">
        <f t="shared" si="49"/>
        <v>0</v>
      </c>
    </row>
    <row r="32" spans="1:62" ht="15.65" hidden="1" customHeight="1" outlineLevel="1">
      <c r="A32" s="212" t="s">
        <v>1238</v>
      </c>
      <c r="B32" s="4" t="str">
        <f>+VLOOKUP(A32,Takstblad!$A$5:$B$30,2,FALSE)</f>
        <v/>
      </c>
      <c r="C32" s="285"/>
      <c r="D32" s="285"/>
      <c r="E32" s="285"/>
      <c r="F32" s="285"/>
      <c r="G32" s="285"/>
      <c r="H32" s="285"/>
      <c r="I32" s="286"/>
      <c r="J32" s="286"/>
      <c r="K32" s="286"/>
      <c r="L32" s="286"/>
      <c r="M32" s="47">
        <f t="shared" si="27"/>
        <v>0</v>
      </c>
      <c r="N32" s="285"/>
      <c r="O32" s="285" t="s">
        <v>113</v>
      </c>
      <c r="P32" s="212"/>
      <c r="Q32" s="214"/>
      <c r="R32" s="216">
        <f t="shared" si="28"/>
        <v>0</v>
      </c>
      <c r="S32" s="215">
        <f>+IFERROR(IF(S$19=Takstblad!C$3,VLOOKUP($A32,takstblad,3,FALSE)*C32,"fejl i år"),0)</f>
        <v>0</v>
      </c>
      <c r="T32" s="215">
        <f>+IFERROR(IF(T$19=Takstblad!D$3,VLOOKUP($A32,takstblad,4,FALSE)*D32,"fejl i år"),0)</f>
        <v>0</v>
      </c>
      <c r="U32" s="215">
        <f>+IFERROR(IF(U$19=Takstblad!E$3,VLOOKUP($A32,takstblad,5,FALSE)*E32,"fejl i år"),0)</f>
        <v>0</v>
      </c>
      <c r="V32" s="215">
        <f>+IFERROR(IF(V$19=Takstblad!F$3,VLOOKUP($A32,takstblad,6,FALSE)*F32,"fejl i år"),0)</f>
        <v>0</v>
      </c>
      <c r="W32" s="215">
        <f>+IFERROR(IF(W$19=Takstblad!G$3,VLOOKUP($A32,takstblad,7,FALSE)*G32,"fejl i år"),0)</f>
        <v>0</v>
      </c>
      <c r="X32" s="215">
        <f>+IFERROR(IF(X$19=Takstblad!H$3,VLOOKUP($A32,takstblad,8,FALSE)*H32,"fejl i år"),0)</f>
        <v>0</v>
      </c>
      <c r="Y32" s="215">
        <f>+IFERROR(IF(Y$19=Takstblad!I$3,VLOOKUP($A32,takstblad,9,FALSE)*I32,"fejl i år"),0)</f>
        <v>0</v>
      </c>
      <c r="Z32" s="215">
        <f>+IFERROR(IF(Z$19=Takstblad!J$3,VLOOKUP($A32,takstblad,10,FALSE)*J32,"fejl i år"),0)</f>
        <v>0</v>
      </c>
      <c r="AA32" s="215">
        <f>+IFERROR(IF(AA$19=Takstblad!K$3,VLOOKUP($A32,takstblad,11,FALSE)*K32,"fejl i år"),0)</f>
        <v>0</v>
      </c>
      <c r="AB32" s="215">
        <f>+IFERROR(IF(AB$19=Takstblad!L$3,VLOOKUP($A32,takstblad,12,FALSE)*L32,"fejl i år"),0)</f>
        <v>0</v>
      </c>
      <c r="AC32" s="216">
        <f t="shared" si="7"/>
        <v>0</v>
      </c>
      <c r="AD32" s="221"/>
      <c r="AE32" s="217">
        <f t="shared" si="29"/>
        <v>0</v>
      </c>
      <c r="AF32" s="217">
        <f t="shared" si="30"/>
        <v>0</v>
      </c>
      <c r="AG32" s="221"/>
      <c r="AH32" s="217">
        <f t="shared" si="31"/>
        <v>0</v>
      </c>
      <c r="AI32" s="217">
        <f t="shared" si="32"/>
        <v>0</v>
      </c>
      <c r="AJ32" s="221"/>
      <c r="AK32" s="217">
        <f t="shared" si="33"/>
        <v>0</v>
      </c>
      <c r="AL32" s="217">
        <f t="shared" si="34"/>
        <v>0</v>
      </c>
      <c r="AM32" s="221"/>
      <c r="AN32" s="217">
        <f t="shared" si="35"/>
        <v>0</v>
      </c>
      <c r="AO32" s="217">
        <f t="shared" si="36"/>
        <v>0</v>
      </c>
      <c r="AP32" s="221"/>
      <c r="AQ32" s="217">
        <f t="shared" si="37"/>
        <v>0</v>
      </c>
      <c r="AR32" s="217">
        <f t="shared" si="38"/>
        <v>0</v>
      </c>
      <c r="AS32" s="221"/>
      <c r="AT32" s="217">
        <f t="shared" si="39"/>
        <v>0</v>
      </c>
      <c r="AU32" s="217">
        <f t="shared" si="40"/>
        <v>0</v>
      </c>
      <c r="AV32" s="221"/>
      <c r="AW32" s="217">
        <f t="shared" si="41"/>
        <v>0</v>
      </c>
      <c r="AX32" s="217">
        <f t="shared" si="42"/>
        <v>0</v>
      </c>
      <c r="AY32" s="221"/>
      <c r="AZ32" s="217">
        <f t="shared" si="43"/>
        <v>0</v>
      </c>
      <c r="BA32" s="217">
        <f t="shared" si="44"/>
        <v>0</v>
      </c>
      <c r="BB32" s="221"/>
      <c r="BC32" s="217">
        <f t="shared" si="45"/>
        <v>0</v>
      </c>
      <c r="BD32" s="217">
        <f t="shared" si="50"/>
        <v>0</v>
      </c>
      <c r="BE32" s="221"/>
      <c r="BF32" s="217">
        <f t="shared" si="46"/>
        <v>0</v>
      </c>
      <c r="BG32" s="217">
        <f t="shared" si="47"/>
        <v>0</v>
      </c>
      <c r="BH32" s="221"/>
      <c r="BI32" s="217">
        <f t="shared" si="48"/>
        <v>0</v>
      </c>
      <c r="BJ32" s="217">
        <f t="shared" si="49"/>
        <v>0</v>
      </c>
    </row>
    <row r="33" spans="1:62" ht="15.65" hidden="1" customHeight="1" outlineLevel="1">
      <c r="A33" s="7" t="s">
        <v>1238</v>
      </c>
      <c r="B33" s="4" t="str">
        <f>+VLOOKUP(A33,Takstblad!$A$5:$B$30,2,FALSE)</f>
        <v/>
      </c>
      <c r="C33" s="285"/>
      <c r="D33" s="285"/>
      <c r="E33" s="285"/>
      <c r="F33" s="285"/>
      <c r="G33" s="285"/>
      <c r="H33" s="285"/>
      <c r="I33" s="286"/>
      <c r="J33" s="286"/>
      <c r="K33" s="286"/>
      <c r="L33" s="286"/>
      <c r="M33" s="47">
        <f t="shared" si="27"/>
        <v>0</v>
      </c>
      <c r="N33" s="285"/>
      <c r="O33" s="285" t="s">
        <v>113</v>
      </c>
      <c r="Q33" s="16"/>
      <c r="R33" s="21">
        <f t="shared" si="28"/>
        <v>0</v>
      </c>
      <c r="S33" s="25">
        <f>+IFERROR(IF(S$19=Takstblad!C$3,VLOOKUP($A33,takstblad,3,FALSE)*C33,"fejl i år"),0)</f>
        <v>0</v>
      </c>
      <c r="T33" s="25">
        <f>+IFERROR(IF(T$19=Takstblad!D$3,VLOOKUP($A33,takstblad,4,FALSE)*D33,"fejl i år"),0)</f>
        <v>0</v>
      </c>
      <c r="U33" s="25">
        <f>+IFERROR(IF(U$19=Takstblad!E$3,VLOOKUP($A33,takstblad,5,FALSE)*E33,"fejl i år"),0)</f>
        <v>0</v>
      </c>
      <c r="V33" s="25">
        <f>+IFERROR(IF(V$19=Takstblad!F$3,VLOOKUP($A33,takstblad,6,FALSE)*F33,"fejl i år"),0)</f>
        <v>0</v>
      </c>
      <c r="W33" s="25">
        <f>+IFERROR(IF(W$19=Takstblad!G$3,VLOOKUP($A33,takstblad,7,FALSE)*G33,"fejl i år"),0)</f>
        <v>0</v>
      </c>
      <c r="X33" s="25">
        <f>+IFERROR(IF(X$19=Takstblad!H$3,VLOOKUP($A33,takstblad,8,FALSE)*H33,"fejl i år"),0)</f>
        <v>0</v>
      </c>
      <c r="Y33" s="25">
        <f>+IFERROR(IF(Y$19=Takstblad!I$3,VLOOKUP($A33,takstblad,9,FALSE)*I33,"fejl i år"),0)</f>
        <v>0</v>
      </c>
      <c r="Z33" s="25">
        <f>+IFERROR(IF(Z$19=Takstblad!J$3,VLOOKUP($A33,takstblad,10,FALSE)*J33,"fejl i år"),0)</f>
        <v>0</v>
      </c>
      <c r="AA33" s="25">
        <f>+IFERROR(IF(AA$19=Takstblad!K$3,VLOOKUP($A33,takstblad,11,FALSE)*K33,"fejl i år"),0)</f>
        <v>0</v>
      </c>
      <c r="AB33" s="25">
        <f>+IFERROR(IF(AB$19=Takstblad!L$3,VLOOKUP($A33,takstblad,12,FALSE)*L33,"fejl i år"),0)</f>
        <v>0</v>
      </c>
      <c r="AC33" s="21">
        <f t="shared" si="7"/>
        <v>0</v>
      </c>
      <c r="AD33" s="221"/>
      <c r="AE33" s="25">
        <f t="shared" si="29"/>
        <v>0</v>
      </c>
      <c r="AF33" s="25">
        <f t="shared" si="30"/>
        <v>0</v>
      </c>
      <c r="AG33" s="221"/>
      <c r="AH33" s="25">
        <f t="shared" si="31"/>
        <v>0</v>
      </c>
      <c r="AI33" s="25">
        <f t="shared" si="32"/>
        <v>0</v>
      </c>
      <c r="AJ33" s="221"/>
      <c r="AK33" s="25">
        <f t="shared" si="33"/>
        <v>0</v>
      </c>
      <c r="AL33" s="25">
        <f t="shared" si="34"/>
        <v>0</v>
      </c>
      <c r="AM33" s="221"/>
      <c r="AN33" s="25">
        <f t="shared" si="35"/>
        <v>0</v>
      </c>
      <c r="AO33" s="25">
        <f t="shared" si="36"/>
        <v>0</v>
      </c>
      <c r="AP33" s="221"/>
      <c r="AQ33" s="25">
        <f t="shared" si="37"/>
        <v>0</v>
      </c>
      <c r="AR33" s="25">
        <f t="shared" si="38"/>
        <v>0</v>
      </c>
      <c r="AS33" s="221"/>
      <c r="AT33" s="25">
        <f t="shared" si="39"/>
        <v>0</v>
      </c>
      <c r="AU33" s="25">
        <f t="shared" si="40"/>
        <v>0</v>
      </c>
      <c r="AV33" s="221"/>
      <c r="AW33" s="25">
        <f t="shared" si="41"/>
        <v>0</v>
      </c>
      <c r="AX33" s="25">
        <f t="shared" si="42"/>
        <v>0</v>
      </c>
      <c r="AY33" s="221"/>
      <c r="AZ33" s="25">
        <f t="shared" si="43"/>
        <v>0</v>
      </c>
      <c r="BA33" s="25">
        <f t="shared" si="44"/>
        <v>0</v>
      </c>
      <c r="BB33" s="221"/>
      <c r="BC33" s="25">
        <f t="shared" si="45"/>
        <v>0</v>
      </c>
      <c r="BD33" s="25">
        <f t="shared" si="50"/>
        <v>0</v>
      </c>
      <c r="BE33" s="221"/>
      <c r="BF33" s="25">
        <f t="shared" si="46"/>
        <v>0</v>
      </c>
      <c r="BG33" s="25">
        <f t="shared" si="47"/>
        <v>0</v>
      </c>
      <c r="BH33" s="221"/>
      <c r="BI33" s="25">
        <f t="shared" si="48"/>
        <v>0</v>
      </c>
      <c r="BJ33" s="25">
        <f t="shared" si="49"/>
        <v>0</v>
      </c>
    </row>
    <row r="34" spans="1:62" ht="15.65" hidden="1" customHeight="1" outlineLevel="1">
      <c r="A34" s="212" t="s">
        <v>1238</v>
      </c>
      <c r="B34" s="4" t="str">
        <f>+VLOOKUP(A34,Takstblad!$A$5:$B$30,2,FALSE)</f>
        <v/>
      </c>
      <c r="C34" s="285"/>
      <c r="D34" s="285"/>
      <c r="E34" s="285"/>
      <c r="F34" s="285"/>
      <c r="G34" s="285"/>
      <c r="H34" s="285"/>
      <c r="I34" s="286"/>
      <c r="J34" s="286"/>
      <c r="K34" s="286"/>
      <c r="L34" s="286"/>
      <c r="M34" s="47">
        <f>SUM(C34:L34)</f>
        <v>0</v>
      </c>
      <c r="N34" s="285"/>
      <c r="O34" s="285" t="s">
        <v>113</v>
      </c>
      <c r="P34" s="212"/>
      <c r="Q34" s="214"/>
      <c r="R34" s="216">
        <f t="shared" si="28"/>
        <v>0</v>
      </c>
      <c r="S34" s="215">
        <f>+IFERROR(IF(S$19=Takstblad!C$3,VLOOKUP($A34,takstblad,3,FALSE)*C34,"fejl i år"),0)</f>
        <v>0</v>
      </c>
      <c r="T34" s="215">
        <f>+IFERROR(IF(T$19=Takstblad!D$3,VLOOKUP($A34,takstblad,4,FALSE)*D34,"fejl i år"),0)</f>
        <v>0</v>
      </c>
      <c r="U34" s="215">
        <f>+IFERROR(IF(U$19=Takstblad!E$3,VLOOKUP($A34,takstblad,5,FALSE)*E34,"fejl i år"),0)</f>
        <v>0</v>
      </c>
      <c r="V34" s="215">
        <f>+IFERROR(IF(V$19=Takstblad!F$3,VLOOKUP($A34,takstblad,6,FALSE)*F34,"fejl i år"),0)</f>
        <v>0</v>
      </c>
      <c r="W34" s="215">
        <f>+IFERROR(IF(W$19=Takstblad!G$3,VLOOKUP($A34,takstblad,7,FALSE)*G34,"fejl i år"),0)</f>
        <v>0</v>
      </c>
      <c r="X34" s="215">
        <f>+IFERROR(IF(X$19=Takstblad!H$3,VLOOKUP($A34,takstblad,8,FALSE)*H34,"fejl i år"),0)</f>
        <v>0</v>
      </c>
      <c r="Y34" s="215">
        <f>+IFERROR(IF(Y$19=Takstblad!I$3,VLOOKUP($A34,takstblad,9,FALSE)*I34,"fejl i år"),0)</f>
        <v>0</v>
      </c>
      <c r="Z34" s="215">
        <f>+IFERROR(IF(Z$19=Takstblad!J$3,VLOOKUP($A34,takstblad,10,FALSE)*J34,"fejl i år"),0)</f>
        <v>0</v>
      </c>
      <c r="AA34" s="215">
        <f>+IFERROR(IF(AA$19=Takstblad!K$3,VLOOKUP($A34,takstblad,11,FALSE)*K34,"fejl i år"),0)</f>
        <v>0</v>
      </c>
      <c r="AB34" s="215">
        <f>+IFERROR(IF(AB$19=Takstblad!L$3,VLOOKUP($A34,takstblad,12,FALSE)*L34,"fejl i år"),0)</f>
        <v>0</v>
      </c>
      <c r="AC34" s="216">
        <f t="shared" si="7"/>
        <v>0</v>
      </c>
      <c r="AD34" s="221"/>
      <c r="AE34" s="217">
        <f t="shared" si="29"/>
        <v>0</v>
      </c>
      <c r="AF34" s="217">
        <f t="shared" si="30"/>
        <v>0</v>
      </c>
      <c r="AG34" s="221"/>
      <c r="AH34" s="217">
        <f t="shared" si="31"/>
        <v>0</v>
      </c>
      <c r="AI34" s="217">
        <f t="shared" si="32"/>
        <v>0</v>
      </c>
      <c r="AJ34" s="221"/>
      <c r="AK34" s="217">
        <f t="shared" si="33"/>
        <v>0</v>
      </c>
      <c r="AL34" s="217">
        <f t="shared" si="34"/>
        <v>0</v>
      </c>
      <c r="AM34" s="221"/>
      <c r="AN34" s="217">
        <f t="shared" si="35"/>
        <v>0</v>
      </c>
      <c r="AO34" s="217">
        <f t="shared" si="36"/>
        <v>0</v>
      </c>
      <c r="AP34" s="221"/>
      <c r="AQ34" s="217">
        <f t="shared" si="37"/>
        <v>0</v>
      </c>
      <c r="AR34" s="217">
        <f t="shared" si="38"/>
        <v>0</v>
      </c>
      <c r="AS34" s="221"/>
      <c r="AT34" s="217">
        <f t="shared" si="39"/>
        <v>0</v>
      </c>
      <c r="AU34" s="217">
        <f t="shared" si="40"/>
        <v>0</v>
      </c>
      <c r="AV34" s="221"/>
      <c r="AW34" s="217">
        <f t="shared" si="41"/>
        <v>0</v>
      </c>
      <c r="AX34" s="217">
        <f t="shared" si="42"/>
        <v>0</v>
      </c>
      <c r="AY34" s="221"/>
      <c r="AZ34" s="217">
        <f t="shared" si="43"/>
        <v>0</v>
      </c>
      <c r="BA34" s="217">
        <f t="shared" si="44"/>
        <v>0</v>
      </c>
      <c r="BB34" s="221"/>
      <c r="BC34" s="217">
        <f t="shared" si="45"/>
        <v>0</v>
      </c>
      <c r="BD34" s="217">
        <f t="shared" si="50"/>
        <v>0</v>
      </c>
      <c r="BE34" s="221"/>
      <c r="BF34" s="217">
        <f t="shared" si="46"/>
        <v>0</v>
      </c>
      <c r="BG34" s="217">
        <f t="shared" si="47"/>
        <v>0</v>
      </c>
      <c r="BH34" s="221"/>
      <c r="BI34" s="217">
        <f t="shared" si="48"/>
        <v>0</v>
      </c>
      <c r="BJ34" s="217">
        <f t="shared" si="49"/>
        <v>0</v>
      </c>
    </row>
    <row r="35" spans="1:62" ht="15.65" hidden="1" customHeight="1" outlineLevel="1">
      <c r="A35" s="7" t="s">
        <v>1238</v>
      </c>
      <c r="B35" s="4" t="str">
        <f>+VLOOKUP(A35,Takstblad!$A$5:$B$30,2,FALSE)</f>
        <v/>
      </c>
      <c r="C35" s="285"/>
      <c r="D35" s="285"/>
      <c r="E35" s="285"/>
      <c r="F35" s="285"/>
      <c r="G35" s="285"/>
      <c r="H35" s="285"/>
      <c r="I35" s="286"/>
      <c r="J35" s="286"/>
      <c r="K35" s="286"/>
      <c r="L35" s="286"/>
      <c r="M35" s="47">
        <f t="shared" si="27"/>
        <v>0</v>
      </c>
      <c r="N35" s="285"/>
      <c r="O35" s="285" t="s">
        <v>113</v>
      </c>
      <c r="Q35" s="16"/>
      <c r="R35" s="21">
        <f t="shared" si="28"/>
        <v>0</v>
      </c>
      <c r="S35" s="25">
        <f>+IFERROR(IF(S$19=Takstblad!C$3,VLOOKUP($A35,takstblad,3,FALSE)*C35,"fejl i år"),0)</f>
        <v>0</v>
      </c>
      <c r="T35" s="25">
        <f>+IFERROR(IF(T$19=Takstblad!D$3,VLOOKUP($A35,takstblad,4,FALSE)*D35,"fejl i år"),0)</f>
        <v>0</v>
      </c>
      <c r="U35" s="25">
        <f>+IFERROR(IF(U$19=Takstblad!E$3,VLOOKUP($A35,takstblad,5,FALSE)*E35,"fejl i år"),0)</f>
        <v>0</v>
      </c>
      <c r="V35" s="25">
        <f>+IFERROR(IF(V$19=Takstblad!F$3,VLOOKUP($A35,takstblad,6,FALSE)*F35,"fejl i år"),0)</f>
        <v>0</v>
      </c>
      <c r="W35" s="25">
        <f>+IFERROR(IF(W$19=Takstblad!G$3,VLOOKUP($A35,takstblad,7,FALSE)*G35,"fejl i år"),0)</f>
        <v>0</v>
      </c>
      <c r="X35" s="25">
        <f>+IFERROR(IF(X$19=Takstblad!H$3,VLOOKUP($A35,takstblad,8,FALSE)*H35,"fejl i år"),0)</f>
        <v>0</v>
      </c>
      <c r="Y35" s="25">
        <f>+IFERROR(IF(Y$19=Takstblad!I$3,VLOOKUP($A35,takstblad,9,FALSE)*I35,"fejl i år"),0)</f>
        <v>0</v>
      </c>
      <c r="Z35" s="25">
        <f>+IFERROR(IF(Z$19=Takstblad!J$3,VLOOKUP($A35,takstblad,10,FALSE)*J35,"fejl i år"),0)</f>
        <v>0</v>
      </c>
      <c r="AA35" s="25">
        <f>+IFERROR(IF(AA$19=Takstblad!K$3,VLOOKUP($A35,takstblad,11,FALSE)*K35,"fejl i år"),0)</f>
        <v>0</v>
      </c>
      <c r="AB35" s="25">
        <f>+IFERROR(IF(AB$19=Takstblad!L$3,VLOOKUP($A35,takstblad,12,FALSE)*L35,"fejl i år"),0)</f>
        <v>0</v>
      </c>
      <c r="AC35" s="21">
        <f t="shared" si="7"/>
        <v>0</v>
      </c>
      <c r="AD35" s="221"/>
      <c r="AE35" s="25">
        <f t="shared" si="29"/>
        <v>0</v>
      </c>
      <c r="AF35" s="25">
        <f t="shared" si="30"/>
        <v>0</v>
      </c>
      <c r="AG35" s="221"/>
      <c r="AH35" s="25">
        <f t="shared" si="31"/>
        <v>0</v>
      </c>
      <c r="AI35" s="25">
        <f t="shared" si="32"/>
        <v>0</v>
      </c>
      <c r="AJ35" s="221"/>
      <c r="AK35" s="25">
        <f t="shared" si="33"/>
        <v>0</v>
      </c>
      <c r="AL35" s="25">
        <f t="shared" si="34"/>
        <v>0</v>
      </c>
      <c r="AM35" s="221"/>
      <c r="AN35" s="25">
        <f t="shared" si="35"/>
        <v>0</v>
      </c>
      <c r="AO35" s="25">
        <f t="shared" si="36"/>
        <v>0</v>
      </c>
      <c r="AP35" s="221"/>
      <c r="AQ35" s="25">
        <f t="shared" si="37"/>
        <v>0</v>
      </c>
      <c r="AR35" s="25">
        <f t="shared" si="38"/>
        <v>0</v>
      </c>
      <c r="AS35" s="221"/>
      <c r="AT35" s="25">
        <f t="shared" si="39"/>
        <v>0</v>
      </c>
      <c r="AU35" s="25">
        <f t="shared" si="40"/>
        <v>0</v>
      </c>
      <c r="AV35" s="221"/>
      <c r="AW35" s="25">
        <f t="shared" si="41"/>
        <v>0</v>
      </c>
      <c r="AX35" s="25">
        <f t="shared" si="42"/>
        <v>0</v>
      </c>
      <c r="AY35" s="221"/>
      <c r="AZ35" s="25">
        <f t="shared" si="43"/>
        <v>0</v>
      </c>
      <c r="BA35" s="25">
        <f t="shared" si="44"/>
        <v>0</v>
      </c>
      <c r="BB35" s="221"/>
      <c r="BC35" s="25">
        <f t="shared" si="45"/>
        <v>0</v>
      </c>
      <c r="BD35" s="25">
        <f t="shared" si="50"/>
        <v>0</v>
      </c>
      <c r="BE35" s="221"/>
      <c r="BF35" s="25">
        <f t="shared" si="46"/>
        <v>0</v>
      </c>
      <c r="BG35" s="25">
        <f t="shared" si="47"/>
        <v>0</v>
      </c>
      <c r="BH35" s="221"/>
      <c r="BI35" s="25">
        <f t="shared" si="48"/>
        <v>0</v>
      </c>
      <c r="BJ35" s="25">
        <f t="shared" si="49"/>
        <v>0</v>
      </c>
    </row>
    <row r="36" spans="1:62" ht="15.65" hidden="1" customHeight="1" outlineLevel="1">
      <c r="A36" s="212" t="s">
        <v>1238</v>
      </c>
      <c r="B36" s="4" t="str">
        <f>+VLOOKUP(A36,Takstblad!$A$5:$B$30,2,FALSE)</f>
        <v/>
      </c>
      <c r="C36" s="285"/>
      <c r="D36" s="285"/>
      <c r="E36" s="285"/>
      <c r="F36" s="285"/>
      <c r="G36" s="285"/>
      <c r="H36" s="285"/>
      <c r="I36" s="286"/>
      <c r="J36" s="286"/>
      <c r="K36" s="286"/>
      <c r="L36" s="286"/>
      <c r="M36" s="47">
        <f t="shared" si="27"/>
        <v>0</v>
      </c>
      <c r="N36" s="285"/>
      <c r="O36" s="285" t="s">
        <v>113</v>
      </c>
      <c r="P36" s="212"/>
      <c r="Q36" s="214"/>
      <c r="R36" s="216">
        <f t="shared" si="28"/>
        <v>0</v>
      </c>
      <c r="S36" s="215">
        <f>+IFERROR(IF(S$19=Takstblad!C$3,VLOOKUP($A36,takstblad,3,FALSE)*C36,"fejl i år"),0)</f>
        <v>0</v>
      </c>
      <c r="T36" s="215">
        <f>+IFERROR(IF(T$19=Takstblad!D$3,VLOOKUP($A36,takstblad,4,FALSE)*D36,"fejl i år"),0)</f>
        <v>0</v>
      </c>
      <c r="U36" s="215">
        <f>+IFERROR(IF(U$19=Takstblad!E$3,VLOOKUP($A36,takstblad,5,FALSE)*E36,"fejl i år"),0)</f>
        <v>0</v>
      </c>
      <c r="V36" s="215">
        <f>+IFERROR(IF(V$19=Takstblad!F$3,VLOOKUP($A36,takstblad,6,FALSE)*F36,"fejl i år"),0)</f>
        <v>0</v>
      </c>
      <c r="W36" s="215">
        <f>+IFERROR(IF(W$19=Takstblad!G$3,VLOOKUP($A36,takstblad,7,FALSE)*G36,"fejl i år"),0)</f>
        <v>0</v>
      </c>
      <c r="X36" s="215">
        <f>+IFERROR(IF(X$19=Takstblad!H$3,VLOOKUP($A36,takstblad,8,FALSE)*H36,"fejl i år"),0)</f>
        <v>0</v>
      </c>
      <c r="Y36" s="215">
        <f>+IFERROR(IF(Y$19=Takstblad!I$3,VLOOKUP($A36,takstblad,9,FALSE)*I36,"fejl i år"),0)</f>
        <v>0</v>
      </c>
      <c r="Z36" s="215">
        <f>+IFERROR(IF(Z$19=Takstblad!J$3,VLOOKUP($A36,takstblad,10,FALSE)*J36,"fejl i år"),0)</f>
        <v>0</v>
      </c>
      <c r="AA36" s="215">
        <f>+IFERROR(IF(AA$19=Takstblad!K$3,VLOOKUP($A36,takstblad,11,FALSE)*K36,"fejl i år"),0)</f>
        <v>0</v>
      </c>
      <c r="AB36" s="215">
        <f>+IFERROR(IF(AB$19=Takstblad!L$3,VLOOKUP($A36,takstblad,12,FALSE)*L36,"fejl i år"),0)</f>
        <v>0</v>
      </c>
      <c r="AC36" s="216">
        <f t="shared" si="7"/>
        <v>0</v>
      </c>
      <c r="AD36" s="221"/>
      <c r="AE36" s="217">
        <f t="shared" si="29"/>
        <v>0</v>
      </c>
      <c r="AF36" s="217">
        <f t="shared" si="30"/>
        <v>0</v>
      </c>
      <c r="AG36" s="221"/>
      <c r="AH36" s="217">
        <f t="shared" si="31"/>
        <v>0</v>
      </c>
      <c r="AI36" s="217">
        <f t="shared" si="32"/>
        <v>0</v>
      </c>
      <c r="AJ36" s="221"/>
      <c r="AK36" s="217">
        <f t="shared" si="33"/>
        <v>0</v>
      </c>
      <c r="AL36" s="217">
        <f t="shared" si="34"/>
        <v>0</v>
      </c>
      <c r="AM36" s="221"/>
      <c r="AN36" s="217">
        <f t="shared" si="35"/>
        <v>0</v>
      </c>
      <c r="AO36" s="217">
        <f t="shared" si="36"/>
        <v>0</v>
      </c>
      <c r="AP36" s="221"/>
      <c r="AQ36" s="217">
        <f t="shared" si="37"/>
        <v>0</v>
      </c>
      <c r="AR36" s="217">
        <f t="shared" si="38"/>
        <v>0</v>
      </c>
      <c r="AS36" s="221"/>
      <c r="AT36" s="217">
        <f t="shared" si="39"/>
        <v>0</v>
      </c>
      <c r="AU36" s="217">
        <f t="shared" si="40"/>
        <v>0</v>
      </c>
      <c r="AV36" s="221"/>
      <c r="AW36" s="217">
        <f t="shared" si="41"/>
        <v>0</v>
      </c>
      <c r="AX36" s="217">
        <f t="shared" si="42"/>
        <v>0</v>
      </c>
      <c r="AY36" s="221"/>
      <c r="AZ36" s="217">
        <f t="shared" si="43"/>
        <v>0</v>
      </c>
      <c r="BA36" s="217">
        <f t="shared" si="44"/>
        <v>0</v>
      </c>
      <c r="BB36" s="221"/>
      <c r="BC36" s="217">
        <f t="shared" si="45"/>
        <v>0</v>
      </c>
      <c r="BD36" s="217">
        <f t="shared" si="50"/>
        <v>0</v>
      </c>
      <c r="BE36" s="221"/>
      <c r="BF36" s="217">
        <f t="shared" si="46"/>
        <v>0</v>
      </c>
      <c r="BG36" s="217">
        <f t="shared" si="47"/>
        <v>0</v>
      </c>
      <c r="BH36" s="221"/>
      <c r="BI36" s="217">
        <f t="shared" si="48"/>
        <v>0</v>
      </c>
      <c r="BJ36" s="217">
        <f t="shared" si="49"/>
        <v>0</v>
      </c>
    </row>
    <row r="37" spans="1:62" ht="15.65" hidden="1" customHeight="1" outlineLevel="1">
      <c r="A37" s="7" t="s">
        <v>1238</v>
      </c>
      <c r="B37" s="4" t="str">
        <f>+VLOOKUP(A37,Takstblad!$A$5:$B$30,2,FALSE)</f>
        <v/>
      </c>
      <c r="C37" s="285"/>
      <c r="D37" s="285"/>
      <c r="E37" s="285"/>
      <c r="F37" s="285"/>
      <c r="G37" s="285"/>
      <c r="H37" s="285"/>
      <c r="I37" s="286"/>
      <c r="J37" s="286"/>
      <c r="K37" s="286"/>
      <c r="L37" s="286"/>
      <c r="M37" s="47">
        <f t="shared" si="27"/>
        <v>0</v>
      </c>
      <c r="N37" s="285"/>
      <c r="O37" s="285" t="s">
        <v>113</v>
      </c>
      <c r="Q37" s="16"/>
      <c r="R37" s="21">
        <f t="shared" si="28"/>
        <v>0</v>
      </c>
      <c r="S37" s="25">
        <f>+IFERROR(IF(S$19=Takstblad!C$3,VLOOKUP($A37,takstblad,3,FALSE)*C37,"fejl i år"),0)</f>
        <v>0</v>
      </c>
      <c r="T37" s="25">
        <f>+IFERROR(IF(T$19=Takstblad!D$3,VLOOKUP($A37,takstblad,4,FALSE)*D37,"fejl i år"),0)</f>
        <v>0</v>
      </c>
      <c r="U37" s="25">
        <f>+IFERROR(IF(U$19=Takstblad!E$3,VLOOKUP($A37,takstblad,5,FALSE)*E37,"fejl i år"),0)</f>
        <v>0</v>
      </c>
      <c r="V37" s="25">
        <f>+IFERROR(IF(V$19=Takstblad!F$3,VLOOKUP($A37,takstblad,6,FALSE)*F37,"fejl i år"),0)</f>
        <v>0</v>
      </c>
      <c r="W37" s="25">
        <f>+IFERROR(IF(W$19=Takstblad!G$3,VLOOKUP($A37,takstblad,7,FALSE)*G37,"fejl i år"),0)</f>
        <v>0</v>
      </c>
      <c r="X37" s="25">
        <f>+IFERROR(IF(X$19=Takstblad!H$3,VLOOKUP($A37,takstblad,8,FALSE)*H37,"fejl i år"),0)</f>
        <v>0</v>
      </c>
      <c r="Y37" s="25">
        <f>+IFERROR(IF(Y$19=Takstblad!I$3,VLOOKUP($A37,takstblad,9,FALSE)*I37,"fejl i år"),0)</f>
        <v>0</v>
      </c>
      <c r="Z37" s="25">
        <f>+IFERROR(IF(Z$19=Takstblad!J$3,VLOOKUP($A37,takstblad,10,FALSE)*J37,"fejl i år"),0)</f>
        <v>0</v>
      </c>
      <c r="AA37" s="25">
        <f>+IFERROR(IF(AA$19=Takstblad!K$3,VLOOKUP($A37,takstblad,11,FALSE)*K37,"fejl i år"),0)</f>
        <v>0</v>
      </c>
      <c r="AB37" s="25">
        <f>+IFERROR(IF(AB$19=Takstblad!L$3,VLOOKUP($A37,takstblad,12,FALSE)*L37,"fejl i år"),0)</f>
        <v>0</v>
      </c>
      <c r="AC37" s="21">
        <f t="shared" si="7"/>
        <v>0</v>
      </c>
      <c r="AD37" s="221"/>
      <c r="AE37" s="25">
        <f t="shared" si="29"/>
        <v>0</v>
      </c>
      <c r="AF37" s="25">
        <f t="shared" si="30"/>
        <v>0</v>
      </c>
      <c r="AG37" s="221"/>
      <c r="AH37" s="25">
        <f t="shared" si="31"/>
        <v>0</v>
      </c>
      <c r="AI37" s="25">
        <f t="shared" si="32"/>
        <v>0</v>
      </c>
      <c r="AJ37" s="221"/>
      <c r="AK37" s="25">
        <f t="shared" si="33"/>
        <v>0</v>
      </c>
      <c r="AL37" s="25">
        <f t="shared" si="34"/>
        <v>0</v>
      </c>
      <c r="AM37" s="221"/>
      <c r="AN37" s="25">
        <f t="shared" si="35"/>
        <v>0</v>
      </c>
      <c r="AO37" s="25">
        <f t="shared" si="36"/>
        <v>0</v>
      </c>
      <c r="AP37" s="221"/>
      <c r="AQ37" s="25">
        <f t="shared" si="37"/>
        <v>0</v>
      </c>
      <c r="AR37" s="25">
        <f t="shared" si="38"/>
        <v>0</v>
      </c>
      <c r="AS37" s="221"/>
      <c r="AT37" s="25">
        <f t="shared" si="39"/>
        <v>0</v>
      </c>
      <c r="AU37" s="25">
        <f t="shared" si="40"/>
        <v>0</v>
      </c>
      <c r="AV37" s="221"/>
      <c r="AW37" s="25">
        <f t="shared" si="41"/>
        <v>0</v>
      </c>
      <c r="AX37" s="25">
        <f t="shared" si="42"/>
        <v>0</v>
      </c>
      <c r="AY37" s="221"/>
      <c r="AZ37" s="25">
        <f t="shared" si="43"/>
        <v>0</v>
      </c>
      <c r="BA37" s="25">
        <f t="shared" si="44"/>
        <v>0</v>
      </c>
      <c r="BB37" s="221"/>
      <c r="BC37" s="25">
        <f t="shared" si="45"/>
        <v>0</v>
      </c>
      <c r="BD37" s="25">
        <f t="shared" si="50"/>
        <v>0</v>
      </c>
      <c r="BE37" s="221"/>
      <c r="BF37" s="25">
        <f t="shared" si="46"/>
        <v>0</v>
      </c>
      <c r="BG37" s="25">
        <f t="shared" si="47"/>
        <v>0</v>
      </c>
      <c r="BH37" s="221"/>
      <c r="BI37" s="25">
        <f t="shared" si="48"/>
        <v>0</v>
      </c>
      <c r="BJ37" s="25">
        <f t="shared" si="49"/>
        <v>0</v>
      </c>
    </row>
    <row r="38" spans="1:62" ht="15.65" hidden="1" customHeight="1" outlineLevel="1">
      <c r="A38" s="212" t="s">
        <v>1238</v>
      </c>
      <c r="B38" s="4" t="str">
        <f>+VLOOKUP(A38,Takstblad!$A$5:$B$30,2,FALSE)</f>
        <v/>
      </c>
      <c r="C38" s="285"/>
      <c r="D38" s="285"/>
      <c r="E38" s="285"/>
      <c r="F38" s="285"/>
      <c r="G38" s="285"/>
      <c r="H38" s="285"/>
      <c r="I38" s="286"/>
      <c r="J38" s="286"/>
      <c r="K38" s="286"/>
      <c r="L38" s="286"/>
      <c r="M38" s="47">
        <f t="shared" si="27"/>
        <v>0</v>
      </c>
      <c r="N38" s="285"/>
      <c r="O38" s="285" t="s">
        <v>113</v>
      </c>
      <c r="P38" s="212"/>
      <c r="Q38" s="214"/>
      <c r="R38" s="216">
        <f>+AC38</f>
        <v>0</v>
      </c>
      <c r="S38" s="215">
        <f>+IFERROR(IF(S$19=Takstblad!C$3,VLOOKUP($A38,takstblad,3,FALSE)*C38,"fejl i år"),0)</f>
        <v>0</v>
      </c>
      <c r="T38" s="215">
        <f>+IFERROR(IF(T$19=Takstblad!D$3,VLOOKUP($A38,takstblad,4,FALSE)*D38,"fejl i år"),0)</f>
        <v>0</v>
      </c>
      <c r="U38" s="215">
        <f>+IFERROR(IF(U$19=Takstblad!E$3,VLOOKUP($A38,takstblad,5,FALSE)*E38,"fejl i år"),0)</f>
        <v>0</v>
      </c>
      <c r="V38" s="215">
        <f>+IFERROR(IF(V$19=Takstblad!F$3,VLOOKUP($A38,takstblad,6,FALSE)*F38,"fejl i år"),0)</f>
        <v>0</v>
      </c>
      <c r="W38" s="215">
        <f>+IFERROR(IF(W$19=Takstblad!G$3,VLOOKUP($A38,takstblad,7,FALSE)*G38,"fejl i år"),0)</f>
        <v>0</v>
      </c>
      <c r="X38" s="215">
        <f>+IFERROR(IF(X$19=Takstblad!H$3,VLOOKUP($A38,takstblad,8,FALSE)*H38,"fejl i år"),0)</f>
        <v>0</v>
      </c>
      <c r="Y38" s="215">
        <f>+IFERROR(IF(Y$19=Takstblad!I$3,VLOOKUP($A38,takstblad,9,FALSE)*I38,"fejl i år"),0)</f>
        <v>0</v>
      </c>
      <c r="Z38" s="215">
        <f>+IFERROR(IF(Z$19=Takstblad!J$3,VLOOKUP($A38,takstblad,10,FALSE)*J38,"fejl i år"),0)</f>
        <v>0</v>
      </c>
      <c r="AA38" s="215">
        <f>+IFERROR(IF(AA$19=Takstblad!K$3,VLOOKUP($A38,takstblad,11,FALSE)*K38,"fejl i år"),0)</f>
        <v>0</v>
      </c>
      <c r="AB38" s="215">
        <f>+IFERROR(IF(AB$19=Takstblad!L$3,VLOOKUP($A38,takstblad,12,FALSE)*L38,"fejl i år"),0)</f>
        <v>0</v>
      </c>
      <c r="AC38" s="216">
        <f t="shared" si="7"/>
        <v>0</v>
      </c>
      <c r="AD38" s="221"/>
      <c r="AE38" s="217">
        <f t="shared" si="29"/>
        <v>0</v>
      </c>
      <c r="AF38" s="217">
        <f t="shared" si="30"/>
        <v>0</v>
      </c>
      <c r="AG38" s="221"/>
      <c r="AH38" s="217">
        <f t="shared" si="31"/>
        <v>0</v>
      </c>
      <c r="AI38" s="217">
        <f t="shared" si="32"/>
        <v>0</v>
      </c>
      <c r="AJ38" s="221"/>
      <c r="AK38" s="217">
        <f t="shared" si="33"/>
        <v>0</v>
      </c>
      <c r="AL38" s="217">
        <f t="shared" si="34"/>
        <v>0</v>
      </c>
      <c r="AM38" s="221"/>
      <c r="AN38" s="217">
        <f t="shared" si="35"/>
        <v>0</v>
      </c>
      <c r="AO38" s="217">
        <f t="shared" si="36"/>
        <v>0</v>
      </c>
      <c r="AP38" s="221"/>
      <c r="AQ38" s="217">
        <f t="shared" si="37"/>
        <v>0</v>
      </c>
      <c r="AR38" s="217">
        <f t="shared" si="38"/>
        <v>0</v>
      </c>
      <c r="AS38" s="221"/>
      <c r="AT38" s="217">
        <f t="shared" si="39"/>
        <v>0</v>
      </c>
      <c r="AU38" s="217">
        <f t="shared" si="40"/>
        <v>0</v>
      </c>
      <c r="AV38" s="221"/>
      <c r="AW38" s="217">
        <f t="shared" si="41"/>
        <v>0</v>
      </c>
      <c r="AX38" s="217">
        <f t="shared" si="42"/>
        <v>0</v>
      </c>
      <c r="AY38" s="221"/>
      <c r="AZ38" s="217">
        <f t="shared" si="43"/>
        <v>0</v>
      </c>
      <c r="BA38" s="217">
        <f t="shared" si="44"/>
        <v>0</v>
      </c>
      <c r="BB38" s="221"/>
      <c r="BC38" s="217">
        <f t="shared" si="45"/>
        <v>0</v>
      </c>
      <c r="BD38" s="217">
        <f t="shared" si="50"/>
        <v>0</v>
      </c>
      <c r="BE38" s="221"/>
      <c r="BF38" s="217">
        <f t="shared" si="46"/>
        <v>0</v>
      </c>
      <c r="BG38" s="217">
        <f t="shared" si="47"/>
        <v>0</v>
      </c>
      <c r="BH38" s="221"/>
      <c r="BI38" s="217">
        <f t="shared" si="48"/>
        <v>0</v>
      </c>
      <c r="BJ38" s="217">
        <f t="shared" si="49"/>
        <v>0</v>
      </c>
    </row>
    <row r="39" spans="1:62" ht="15.65" hidden="1" customHeight="1" outlineLevel="1" thickBot="1">
      <c r="A39" s="7" t="s">
        <v>1238</v>
      </c>
      <c r="B39" s="4" t="str">
        <f>+VLOOKUP(A39,Takstblad!$A$5:$B$30,2,FALSE)</f>
        <v/>
      </c>
      <c r="C39" s="285"/>
      <c r="D39" s="285"/>
      <c r="E39" s="285"/>
      <c r="F39" s="285"/>
      <c r="G39" s="285"/>
      <c r="H39" s="285"/>
      <c r="I39" s="286"/>
      <c r="J39" s="286"/>
      <c r="K39" s="286"/>
      <c r="L39" s="286"/>
      <c r="M39" s="47">
        <f t="shared" si="27"/>
        <v>0</v>
      </c>
      <c r="N39" s="285"/>
      <c r="O39" s="285" t="s">
        <v>113</v>
      </c>
      <c r="Q39" s="16"/>
      <c r="R39" s="21">
        <f t="shared" si="28"/>
        <v>0</v>
      </c>
      <c r="S39" s="25">
        <f>+IFERROR(IF(S$19=Takstblad!C$3,VLOOKUP($A39,takstblad,3,FALSE)*C39,"fejl i år"),0)</f>
        <v>0</v>
      </c>
      <c r="T39" s="25">
        <f>+IFERROR(IF(T$19=Takstblad!D$3,VLOOKUP($A39,takstblad,4,FALSE)*D39,"fejl i år"),0)</f>
        <v>0</v>
      </c>
      <c r="U39" s="25">
        <f>+IFERROR(IF(U$19=Takstblad!E$3,VLOOKUP($A39,takstblad,5,FALSE)*E39,"fejl i år"),0)</f>
        <v>0</v>
      </c>
      <c r="V39" s="25">
        <f>+IFERROR(IF(V$19=Takstblad!F$3,VLOOKUP($A39,takstblad,6,FALSE)*F39,"fejl i år"),0)</f>
        <v>0</v>
      </c>
      <c r="W39" s="25">
        <f>+IFERROR(IF(W$19=Takstblad!G$3,VLOOKUP($A39,takstblad,7,FALSE)*G39,"fejl i år"),0)</f>
        <v>0</v>
      </c>
      <c r="X39" s="25">
        <f>+IFERROR(IF(X$19=Takstblad!H$3,VLOOKUP($A39,takstblad,8,FALSE)*H39,"fejl i år"),0)</f>
        <v>0</v>
      </c>
      <c r="Y39" s="25">
        <f>+IFERROR(IF(Y$19=Takstblad!I$3,VLOOKUP($A39,takstblad,9,FALSE)*I39,"fejl i år"),0)</f>
        <v>0</v>
      </c>
      <c r="Z39" s="25">
        <f>+IFERROR(IF(Z$19=Takstblad!J$3,VLOOKUP($A39,takstblad,10,FALSE)*J39,"fejl i år"),0)</f>
        <v>0</v>
      </c>
      <c r="AA39" s="25">
        <f>+IFERROR(IF(AA$19=Takstblad!K$3,VLOOKUP($A39,takstblad,11,FALSE)*K39,"fejl i år"),0)</f>
        <v>0</v>
      </c>
      <c r="AB39" s="25">
        <f>+IFERROR(IF(AB$19=Takstblad!L$3,VLOOKUP($A39,takstblad,12,FALSE)*L39,"fejl i år"),0)</f>
        <v>0</v>
      </c>
      <c r="AC39" s="21">
        <f t="shared" si="7"/>
        <v>0</v>
      </c>
      <c r="AD39" s="221"/>
      <c r="AE39" s="25">
        <f t="shared" si="29"/>
        <v>0</v>
      </c>
      <c r="AF39" s="25">
        <f t="shared" si="30"/>
        <v>0</v>
      </c>
      <c r="AG39" s="221"/>
      <c r="AH39" s="25">
        <f t="shared" si="31"/>
        <v>0</v>
      </c>
      <c r="AI39" s="25">
        <f t="shared" si="32"/>
        <v>0</v>
      </c>
      <c r="AJ39" s="221"/>
      <c r="AK39" s="25">
        <f t="shared" si="33"/>
        <v>0</v>
      </c>
      <c r="AL39" s="25">
        <f t="shared" si="34"/>
        <v>0</v>
      </c>
      <c r="AM39" s="221"/>
      <c r="AN39" s="25">
        <f t="shared" si="35"/>
        <v>0</v>
      </c>
      <c r="AO39" s="25">
        <f t="shared" si="36"/>
        <v>0</v>
      </c>
      <c r="AP39" s="221"/>
      <c r="AQ39" s="25">
        <f t="shared" si="37"/>
        <v>0</v>
      </c>
      <c r="AR39" s="25">
        <f t="shared" si="38"/>
        <v>0</v>
      </c>
      <c r="AS39" s="221"/>
      <c r="AT39" s="25">
        <f t="shared" si="39"/>
        <v>0</v>
      </c>
      <c r="AU39" s="25">
        <f t="shared" si="40"/>
        <v>0</v>
      </c>
      <c r="AV39" s="221"/>
      <c r="AW39" s="25">
        <f t="shared" si="41"/>
        <v>0</v>
      </c>
      <c r="AX39" s="25">
        <f t="shared" si="42"/>
        <v>0</v>
      </c>
      <c r="AY39" s="221"/>
      <c r="AZ39" s="25">
        <f t="shared" si="43"/>
        <v>0</v>
      </c>
      <c r="BA39" s="25">
        <f t="shared" si="44"/>
        <v>0</v>
      </c>
      <c r="BB39" s="221"/>
      <c r="BC39" s="25">
        <f t="shared" si="45"/>
        <v>0</v>
      </c>
      <c r="BD39" s="25">
        <f t="shared" si="50"/>
        <v>0</v>
      </c>
      <c r="BE39" s="221"/>
      <c r="BF39" s="25">
        <f t="shared" si="46"/>
        <v>0</v>
      </c>
      <c r="BG39" s="25">
        <f t="shared" si="47"/>
        <v>0</v>
      </c>
      <c r="BH39" s="221"/>
      <c r="BI39" s="25">
        <f t="shared" si="48"/>
        <v>0</v>
      </c>
      <c r="BJ39" s="25">
        <f t="shared" si="49"/>
        <v>0</v>
      </c>
    </row>
    <row r="40" spans="1:62" ht="15.65" customHeight="1" collapsed="1" thickBot="1">
      <c r="A40" s="4" t="s">
        <v>81</v>
      </c>
      <c r="B40" s="4"/>
      <c r="C40" s="49">
        <f t="shared" ref="C40:M40" si="51">SUM(C20:C39)</f>
        <v>0</v>
      </c>
      <c r="D40" s="49">
        <f t="shared" si="51"/>
        <v>0</v>
      </c>
      <c r="E40" s="49">
        <f t="shared" si="51"/>
        <v>0</v>
      </c>
      <c r="F40" s="49">
        <f t="shared" si="51"/>
        <v>0</v>
      </c>
      <c r="G40" s="49">
        <f t="shared" si="51"/>
        <v>0</v>
      </c>
      <c r="H40" s="49">
        <f t="shared" si="51"/>
        <v>0</v>
      </c>
      <c r="I40" s="64">
        <f t="shared" si="51"/>
        <v>0</v>
      </c>
      <c r="J40" s="64">
        <f t="shared" si="51"/>
        <v>0</v>
      </c>
      <c r="K40" s="64">
        <f t="shared" si="51"/>
        <v>0</v>
      </c>
      <c r="L40" s="64">
        <f t="shared" si="51"/>
        <v>0</v>
      </c>
      <c r="M40" s="50">
        <f t="shared" si="51"/>
        <v>0</v>
      </c>
      <c r="N40" s="50"/>
      <c r="O40" s="4"/>
      <c r="P40" s="4"/>
      <c r="Q40" s="23" t="s">
        <v>74</v>
      </c>
      <c r="R40" s="53">
        <f>+AC40</f>
        <v>0</v>
      </c>
      <c r="S40" s="51">
        <f>SUM(S20:S39)</f>
        <v>0</v>
      </c>
      <c r="T40" s="13">
        <f t="shared" ref="T40:AB40" si="52">SUM(T20:T39)</f>
        <v>0</v>
      </c>
      <c r="U40" s="52">
        <f t="shared" si="52"/>
        <v>0</v>
      </c>
      <c r="V40" s="13">
        <f t="shared" si="52"/>
        <v>0</v>
      </c>
      <c r="W40" s="52">
        <f t="shared" si="52"/>
        <v>0</v>
      </c>
      <c r="X40" s="13">
        <f t="shared" si="52"/>
        <v>0</v>
      </c>
      <c r="Y40" s="66">
        <f t="shared" si="52"/>
        <v>0</v>
      </c>
      <c r="Z40" s="66">
        <f t="shared" si="52"/>
        <v>0</v>
      </c>
      <c r="AA40" s="66">
        <f t="shared" si="52"/>
        <v>0</v>
      </c>
      <c r="AB40" s="66">
        <f t="shared" si="52"/>
        <v>0</v>
      </c>
      <c r="AC40" s="53">
        <f>SUM(S40:AB40)</f>
        <v>0</v>
      </c>
      <c r="AD40" s="221"/>
      <c r="AE40" s="13">
        <f>SUM(AE20:AE39)</f>
        <v>0</v>
      </c>
      <c r="AF40" s="10">
        <f>IFERROR(AC40/AE40,0)</f>
        <v>0</v>
      </c>
      <c r="AG40" s="221"/>
      <c r="AH40" s="13">
        <f>SUM(AH20:AH39)</f>
        <v>0</v>
      </c>
      <c r="AI40" s="10">
        <f>IFERROR(S40/AH40,0)</f>
        <v>0</v>
      </c>
      <c r="AJ40" s="222"/>
      <c r="AK40" s="13">
        <f>SUM(AK20:AK39)</f>
        <v>0</v>
      </c>
      <c r="AL40" s="10">
        <f t="shared" si="12"/>
        <v>0</v>
      </c>
      <c r="AM40" s="222"/>
      <c r="AN40" s="13">
        <f>SUM(AN20:AN39)</f>
        <v>0</v>
      </c>
      <c r="AO40" s="10">
        <f t="shared" si="14"/>
        <v>0</v>
      </c>
      <c r="AP40" s="221"/>
      <c r="AQ40" s="13">
        <f>SUM(AQ20:AQ39)</f>
        <v>0</v>
      </c>
      <c r="AR40" s="10">
        <f t="shared" si="16"/>
        <v>0</v>
      </c>
      <c r="AS40" s="221"/>
      <c r="AT40" s="13">
        <f>SUM(AT20:AT39)</f>
        <v>0</v>
      </c>
      <c r="AU40" s="10">
        <f t="shared" si="18"/>
        <v>0</v>
      </c>
      <c r="AV40" s="221"/>
      <c r="AW40" s="13">
        <f>SUM(AW20:AW39)</f>
        <v>0</v>
      </c>
      <c r="AX40" s="10">
        <f>IFERROR(X40/AW40,0)</f>
        <v>0</v>
      </c>
      <c r="AY40" s="221"/>
      <c r="AZ40" s="13">
        <f>SUM(AZ20:AZ39)</f>
        <v>0</v>
      </c>
      <c r="BA40" s="10">
        <f>IFERROR(Z40/AZ40,0)</f>
        <v>0</v>
      </c>
      <c r="BB40" s="221"/>
      <c r="BC40" s="13">
        <f>SUM(BC20:BC39)</f>
        <v>0</v>
      </c>
      <c r="BD40" s="10">
        <f>IFERROR(Z40/BC40,0)</f>
        <v>0</v>
      </c>
      <c r="BE40" s="221"/>
      <c r="BF40" s="13">
        <f>SUM(BF20:BF39)</f>
        <v>0</v>
      </c>
      <c r="BG40" s="10">
        <f>IFERROR(AC40/BF40,0)</f>
        <v>0</v>
      </c>
      <c r="BH40" s="221"/>
      <c r="BI40" s="13">
        <f>SUM(BI20:BI39)</f>
        <v>0</v>
      </c>
      <c r="BJ40" s="10">
        <f>IFERROR(AF40/BI40,0)</f>
        <v>0</v>
      </c>
    </row>
    <row r="41" spans="1:62" ht="15.65" customHeight="1">
      <c r="A41" s="4"/>
      <c r="B41" s="5"/>
      <c r="C41" s="5"/>
      <c r="D41" s="5"/>
      <c r="E41" s="5"/>
      <c r="F41" s="5"/>
      <c r="G41" s="5"/>
      <c r="H41" s="5"/>
      <c r="I41" s="5"/>
      <c r="J41" s="5"/>
      <c r="K41" s="5"/>
      <c r="L41" s="5"/>
      <c r="M41" s="5"/>
      <c r="N41" s="5"/>
      <c r="O41" s="5"/>
      <c r="P41" s="5"/>
      <c r="Q41" s="23"/>
      <c r="R41" s="5"/>
      <c r="S41" s="5"/>
      <c r="T41" s="5"/>
      <c r="U41" s="5"/>
      <c r="V41" s="5"/>
      <c r="W41" s="5"/>
      <c r="X41" s="5"/>
      <c r="Y41" s="5"/>
      <c r="Z41" s="5"/>
      <c r="AA41" s="5"/>
      <c r="AB41" s="5"/>
      <c r="AC41" s="5"/>
      <c r="AD41" s="221"/>
      <c r="AE41" s="5"/>
      <c r="AF41" s="5"/>
      <c r="AG41" s="221"/>
      <c r="AH41" s="5"/>
      <c r="AI41" s="5"/>
      <c r="AJ41" s="221"/>
      <c r="AK41" s="5"/>
      <c r="AL41" s="5"/>
      <c r="AM41" s="221"/>
      <c r="AN41" s="5"/>
      <c r="AO41" s="5"/>
      <c r="AP41" s="221"/>
      <c r="AQ41" s="5"/>
      <c r="AR41" s="5"/>
      <c r="AS41" s="221"/>
      <c r="AT41" s="5"/>
      <c r="AU41" s="5"/>
      <c r="AV41" s="221"/>
      <c r="AW41" s="5"/>
      <c r="AX41" s="5"/>
      <c r="AY41" s="221"/>
      <c r="AZ41" s="5"/>
      <c r="BA41" s="5"/>
      <c r="BB41" s="221"/>
      <c r="BC41" s="5"/>
      <c r="BD41" s="5"/>
      <c r="BE41" s="221"/>
      <c r="BF41" s="5"/>
      <c r="BG41" s="5"/>
      <c r="BH41" s="221"/>
      <c r="BI41" s="5"/>
      <c r="BJ41" s="5"/>
    </row>
    <row r="42" spans="1:62" s="9" customFormat="1" ht="15.65" customHeight="1">
      <c r="A42" s="4" t="s">
        <v>80</v>
      </c>
      <c r="B42" s="8"/>
      <c r="C42" s="8">
        <f t="shared" ref="C42:L42" si="53">+C19</f>
        <v>2026</v>
      </c>
      <c r="D42" s="8">
        <f t="shared" si="53"/>
        <v>2027</v>
      </c>
      <c r="E42" s="8">
        <f t="shared" si="53"/>
        <v>2028</v>
      </c>
      <c r="F42" s="8">
        <f t="shared" si="53"/>
        <v>2029</v>
      </c>
      <c r="G42" s="8">
        <f t="shared" si="53"/>
        <v>2030</v>
      </c>
      <c r="H42" s="8">
        <f t="shared" si="53"/>
        <v>2031</v>
      </c>
      <c r="I42" s="8">
        <f t="shared" si="53"/>
        <v>2032</v>
      </c>
      <c r="J42" s="8">
        <f t="shared" si="53"/>
        <v>2033</v>
      </c>
      <c r="K42" s="8">
        <f t="shared" si="53"/>
        <v>2034</v>
      </c>
      <c r="L42" s="8">
        <f t="shared" si="53"/>
        <v>2035</v>
      </c>
      <c r="M42" s="8" t="s">
        <v>34</v>
      </c>
      <c r="N42" s="8"/>
      <c r="O42" s="8"/>
      <c r="P42" s="8"/>
      <c r="Q42" s="23" t="s">
        <v>82</v>
      </c>
      <c r="R42" s="8" t="s">
        <v>34</v>
      </c>
      <c r="S42" s="8">
        <f t="shared" ref="S42:AB42" si="54">+C19</f>
        <v>2026</v>
      </c>
      <c r="T42" s="8">
        <f t="shared" si="54"/>
        <v>2027</v>
      </c>
      <c r="U42" s="8">
        <f t="shared" si="54"/>
        <v>2028</v>
      </c>
      <c r="V42" s="8">
        <f t="shared" si="54"/>
        <v>2029</v>
      </c>
      <c r="W42" s="8">
        <f t="shared" si="54"/>
        <v>2030</v>
      </c>
      <c r="X42" s="8">
        <f t="shared" si="54"/>
        <v>2031</v>
      </c>
      <c r="Y42" s="8">
        <f t="shared" si="54"/>
        <v>2032</v>
      </c>
      <c r="Z42" s="8">
        <f t="shared" si="54"/>
        <v>2033</v>
      </c>
      <c r="AA42" s="8">
        <f t="shared" si="54"/>
        <v>2034</v>
      </c>
      <c r="AB42" s="8">
        <f t="shared" si="54"/>
        <v>2035</v>
      </c>
      <c r="AC42" s="8" t="s">
        <v>34</v>
      </c>
      <c r="AD42" s="222"/>
      <c r="AE42" s="549" t="s">
        <v>34</v>
      </c>
      <c r="AF42" s="548"/>
      <c r="AG42" s="221"/>
      <c r="AH42" s="547">
        <f>+AH19</f>
        <v>2026</v>
      </c>
      <c r="AI42" s="548"/>
      <c r="AJ42" s="221"/>
      <c r="AK42" s="547">
        <f>+AK19</f>
        <v>2027</v>
      </c>
      <c r="AL42" s="548"/>
      <c r="AM42" s="221"/>
      <c r="AN42" s="547">
        <f>+AN19</f>
        <v>2028</v>
      </c>
      <c r="AO42" s="548"/>
      <c r="AP42" s="221"/>
      <c r="AQ42" s="547">
        <f>+AQ19</f>
        <v>2029</v>
      </c>
      <c r="AR42" s="548"/>
      <c r="AS42" s="221"/>
      <c r="AT42" s="547">
        <f>+AT19</f>
        <v>2030</v>
      </c>
      <c r="AU42" s="548"/>
      <c r="AV42" s="221"/>
      <c r="AW42" s="547">
        <f>+AW19</f>
        <v>2031</v>
      </c>
      <c r="AX42" s="548"/>
      <c r="AY42" s="221"/>
      <c r="AZ42" s="547">
        <f>+AZ19</f>
        <v>2032</v>
      </c>
      <c r="BA42" s="548"/>
      <c r="BB42" s="221"/>
      <c r="BC42" s="547">
        <f>+BC19</f>
        <v>2033</v>
      </c>
      <c r="BD42" s="548"/>
      <c r="BE42" s="221"/>
      <c r="BF42" s="547">
        <f>+BF19</f>
        <v>2034</v>
      </c>
      <c r="BG42" s="548"/>
      <c r="BH42" s="221"/>
      <c r="BI42" s="547">
        <f>+BI19</f>
        <v>2035</v>
      </c>
      <c r="BJ42" s="548"/>
    </row>
    <row r="43" spans="1:62" ht="15.65" customHeight="1">
      <c r="A43" s="212" t="s">
        <v>1238</v>
      </c>
      <c r="B43" s="213" t="str">
        <f>+VLOOKUP(A43,Takstblad!$A$33:$B$54,2,FALSE)</f>
        <v/>
      </c>
      <c r="C43" s="285"/>
      <c r="D43" s="285"/>
      <c r="E43" s="285"/>
      <c r="F43" s="285"/>
      <c r="G43" s="285"/>
      <c r="H43" s="285"/>
      <c r="I43" s="285"/>
      <c r="J43" s="285"/>
      <c r="K43" s="285"/>
      <c r="L43" s="285"/>
      <c r="M43" s="19">
        <f>SUM(C43:L43)</f>
        <v>0</v>
      </c>
      <c r="N43" s="285"/>
      <c r="O43" s="285" t="s">
        <v>113</v>
      </c>
      <c r="P43" s="212"/>
      <c r="Q43" s="218"/>
      <c r="R43" s="216">
        <f t="shared" ref="R43:R56" si="55">+AC43</f>
        <v>0</v>
      </c>
      <c r="S43" s="215">
        <f>+IFERROR(IF(S$19=Takstblad!C$3,VLOOKUP($A43,takstblad,3,FALSE)*C43,"fejl i år"),0)</f>
        <v>0</v>
      </c>
      <c r="T43" s="215">
        <f>+IFERROR(IF(T$19=Takstblad!D$3,VLOOKUP($A43,takstblad,4,FALSE)*D43,"fejl i år"),0)</f>
        <v>0</v>
      </c>
      <c r="U43" s="215">
        <f>+IFERROR(IF(U$19=Takstblad!E$3,VLOOKUP($A43,takstblad,5,FALSE)*E43,"fejl i år"),0)</f>
        <v>0</v>
      </c>
      <c r="V43" s="215">
        <f>+IFERROR(IF(V$19=Takstblad!F$3,VLOOKUP($A43,takstblad,6,FALSE)*F43,"fejl i år"),0)</f>
        <v>0</v>
      </c>
      <c r="W43" s="215">
        <f>+IFERROR(IF(W$19=Takstblad!G$3,VLOOKUP($A43,takstblad,7,FALSE)*G43,"fejl i år"),0)</f>
        <v>0</v>
      </c>
      <c r="X43" s="215">
        <f>+IFERROR(IF(X$19=Takstblad!H$3,VLOOKUP($A43,takstblad,8,FALSE)*H43,"fejl i år"),0)</f>
        <v>0</v>
      </c>
      <c r="Y43" s="215">
        <f>+IFERROR(IF(Y$19=Takstblad!I$3,VLOOKUP($A43,takstblad,9,FALSE)*I43,"fejl i år"),0)</f>
        <v>0</v>
      </c>
      <c r="Z43" s="215">
        <f>+IFERROR(IF(Z$19=Takstblad!J$3,VLOOKUP($A43,takstblad,10,FALSE)*J43,"fejl i år"),0)</f>
        <v>0</v>
      </c>
      <c r="AA43" s="215">
        <f>+IFERROR(IF(AA$19=Takstblad!K$3,VLOOKUP($A43,takstblad,11,FALSE)*K43,"fejl i år"),0)</f>
        <v>0</v>
      </c>
      <c r="AB43" s="215">
        <f>+IFERROR(IF(AB$19=Takstblad!L$3,VLOOKUP($A43,takstblad,12,FALSE)*L43,"fejl i år"),0)</f>
        <v>0</v>
      </c>
      <c r="AC43" s="216">
        <f>SUM(S43:AB43)</f>
        <v>0</v>
      </c>
      <c r="AD43" s="221"/>
      <c r="AE43" s="217">
        <f t="shared" ref="AE43:AE52" si="56">+M43*($C$7/12)</f>
        <v>0</v>
      </c>
      <c r="AF43" s="217">
        <f t="shared" ref="AF43:AF53" si="57">IFERROR(AC43/AE43,0)</f>
        <v>0</v>
      </c>
      <c r="AG43" s="221"/>
      <c r="AH43" s="217">
        <f t="shared" ref="AH43:AH53" si="58">+C43*($C$7/12)</f>
        <v>0</v>
      </c>
      <c r="AI43" s="217">
        <f t="shared" ref="AI43:AI56" si="59">IFERROR(S43/AH43,0)</f>
        <v>0</v>
      </c>
      <c r="AJ43" s="221"/>
      <c r="AK43" s="215">
        <f t="shared" ref="AK43:AK53" si="60">+D43*($C$7/12)</f>
        <v>0</v>
      </c>
      <c r="AL43" s="215">
        <f t="shared" ref="AL43:AL56" si="61">IFERROR(T43/AK43,0)</f>
        <v>0</v>
      </c>
      <c r="AM43" s="221"/>
      <c r="AN43" s="215">
        <f t="shared" ref="AN43:AN53" si="62">+E43*($C$7/12)</f>
        <v>0</v>
      </c>
      <c r="AO43" s="215">
        <f t="shared" ref="AO43:AO56" si="63">IFERROR(U43/AN43,0)</f>
        <v>0</v>
      </c>
      <c r="AP43" s="221"/>
      <c r="AQ43" s="215">
        <f t="shared" ref="AQ43:AQ53" si="64">+F43*($C$7/12)</f>
        <v>0</v>
      </c>
      <c r="AR43" s="215">
        <f t="shared" ref="AR43:AR56" si="65">IFERROR(V43/AQ43,0)</f>
        <v>0</v>
      </c>
      <c r="AS43" s="221"/>
      <c r="AT43" s="215">
        <f t="shared" ref="AT43:AT53" si="66">+G43*($C$7/12)</f>
        <v>0</v>
      </c>
      <c r="AU43" s="215">
        <f t="shared" ref="AU43:AU56" si="67">IFERROR(W43/AT43,0)</f>
        <v>0</v>
      </c>
      <c r="AV43" s="221"/>
      <c r="AW43" s="215">
        <f t="shared" ref="AW43:AW53" si="68">+H43*($C$7/12)</f>
        <v>0</v>
      </c>
      <c r="AX43" s="215">
        <f t="shared" ref="AX43:AX56" si="69">IFERROR(X43/AW43,0)</f>
        <v>0</v>
      </c>
      <c r="AY43" s="221"/>
      <c r="AZ43" s="215">
        <f>+I43*($C$7/12)</f>
        <v>0</v>
      </c>
      <c r="BA43" s="215">
        <f>IFERROR(Y43/AZ43,0)</f>
        <v>0</v>
      </c>
      <c r="BB43" s="221"/>
      <c r="BC43" s="215">
        <f>+J43*($C$7/12)</f>
        <v>0</v>
      </c>
      <c r="BD43" s="215">
        <f>IFERROR(Z43/BC43,0)</f>
        <v>0</v>
      </c>
      <c r="BE43" s="221"/>
      <c r="BF43" s="215">
        <f>+K43*($C$7/12)</f>
        <v>0</v>
      </c>
      <c r="BG43" s="215">
        <f>IFERROR(AB43/BF43,0)</f>
        <v>0</v>
      </c>
      <c r="BH43" s="221"/>
      <c r="BI43" s="215">
        <f>+L43*($C$7/12)</f>
        <v>0</v>
      </c>
      <c r="BJ43" s="215">
        <f>IFERROR(AB43/BI43,0)</f>
        <v>0</v>
      </c>
    </row>
    <row r="44" spans="1:62" ht="15.65" customHeight="1">
      <c r="A44" s="7" t="s">
        <v>1238</v>
      </c>
      <c r="B44" s="4" t="str">
        <f>+VLOOKUP(A44,Takstblad!$A$33:$B$54,2,FALSE)</f>
        <v/>
      </c>
      <c r="C44" s="287"/>
      <c r="D44" s="285"/>
      <c r="E44" s="285"/>
      <c r="F44" s="285"/>
      <c r="G44" s="285"/>
      <c r="H44" s="285"/>
      <c r="I44" s="285"/>
      <c r="J44" s="285"/>
      <c r="K44" s="285"/>
      <c r="L44" s="285"/>
      <c r="M44" s="19">
        <f t="shared" ref="M44:M56" si="70">SUM(C44:L44)</f>
        <v>0</v>
      </c>
      <c r="N44" s="285"/>
      <c r="O44" s="285" t="s">
        <v>113</v>
      </c>
      <c r="Q44" s="26"/>
      <c r="R44" s="21">
        <f>+AC44</f>
        <v>0</v>
      </c>
      <c r="S44" s="25">
        <f>+IFERROR(IF(S$19=Takstblad!C$3,VLOOKUP($A44,takstblad,3,FALSE)*C44,"fejl i år"),0)</f>
        <v>0</v>
      </c>
      <c r="T44" s="25">
        <f>+IFERROR(IF(T$19=Takstblad!D$3,VLOOKUP($A44,takstblad,4,FALSE)*D44,"fejl i år"),0)</f>
        <v>0</v>
      </c>
      <c r="U44" s="25">
        <f>+IFERROR(IF(U$19=Takstblad!E$3,VLOOKUP($A44,takstblad,5,FALSE)*E44,"fejl i år"),0)</f>
        <v>0</v>
      </c>
      <c r="V44" s="25">
        <f>+IFERROR(IF(V$19=Takstblad!F$3,VLOOKUP($A44,takstblad,6,FALSE)*F44,"fejl i år"),0)</f>
        <v>0</v>
      </c>
      <c r="W44" s="25">
        <f>+IFERROR(IF(W$19=Takstblad!G$3,VLOOKUP($A44,takstblad,7,FALSE)*G44,"fejl i år"),0)</f>
        <v>0</v>
      </c>
      <c r="X44" s="25">
        <f>+IFERROR(IF(X$19=Takstblad!H$3,VLOOKUP($A44,takstblad,8,FALSE)*H44,"fejl i år"),0)</f>
        <v>0</v>
      </c>
      <c r="Y44" s="25">
        <f>+IFERROR(IF(Y$19=Takstblad!I$3,VLOOKUP($A44,takstblad,9,FALSE)*I44,"fejl i år"),0)</f>
        <v>0</v>
      </c>
      <c r="Z44" s="25">
        <f>+IFERROR(IF(Z$19=Takstblad!J$3,VLOOKUP($A44,takstblad,10,FALSE)*J44,"fejl i år"),0)</f>
        <v>0</v>
      </c>
      <c r="AA44" s="25">
        <f>+IFERROR(IF(AA$19=Takstblad!K$3,VLOOKUP($A44,takstblad,11,FALSE)*K44,"fejl i år"),0)</f>
        <v>0</v>
      </c>
      <c r="AB44" s="25">
        <f>+IFERROR(IF(AB$19=Takstblad!L$3,VLOOKUP($A44,takstblad,12,FALSE)*L44,"fejl i år"),0)</f>
        <v>0</v>
      </c>
      <c r="AC44" s="21">
        <f t="shared" ref="AC44:AC56" si="71">SUM(S44:AB44)</f>
        <v>0</v>
      </c>
      <c r="AD44" s="221"/>
      <c r="AE44" s="25">
        <f t="shared" si="56"/>
        <v>0</v>
      </c>
      <c r="AF44" s="25">
        <f t="shared" si="57"/>
        <v>0</v>
      </c>
      <c r="AG44" s="221"/>
      <c r="AH44" s="25">
        <f t="shared" si="58"/>
        <v>0</v>
      </c>
      <c r="AI44" s="25">
        <f t="shared" si="59"/>
        <v>0</v>
      </c>
      <c r="AJ44" s="221"/>
      <c r="AK44" s="25">
        <f t="shared" si="60"/>
        <v>0</v>
      </c>
      <c r="AL44" s="25">
        <f t="shared" si="61"/>
        <v>0</v>
      </c>
      <c r="AM44" s="221"/>
      <c r="AN44" s="25">
        <f t="shared" si="62"/>
        <v>0</v>
      </c>
      <c r="AO44" s="25">
        <f t="shared" si="63"/>
        <v>0</v>
      </c>
      <c r="AP44" s="221"/>
      <c r="AQ44" s="25">
        <f t="shared" si="64"/>
        <v>0</v>
      </c>
      <c r="AR44" s="25">
        <f t="shared" si="65"/>
        <v>0</v>
      </c>
      <c r="AS44" s="221"/>
      <c r="AT44" s="25">
        <f>+G44*($C$7/12)</f>
        <v>0</v>
      </c>
      <c r="AU44" s="25">
        <f>IFERROR(W44/AT44,0)</f>
        <v>0</v>
      </c>
      <c r="AV44" s="221"/>
      <c r="AW44" s="25">
        <f t="shared" si="68"/>
        <v>0</v>
      </c>
      <c r="AX44" s="25">
        <f t="shared" si="69"/>
        <v>0</v>
      </c>
      <c r="AY44" s="221"/>
      <c r="AZ44" s="25">
        <f t="shared" ref="AZ44:AZ53" si="72">+I44*($C$7/12)</f>
        <v>0</v>
      </c>
      <c r="BA44" s="25">
        <f t="shared" ref="BA44:BA56" si="73">IFERROR(Y44/AZ44,0)</f>
        <v>0</v>
      </c>
      <c r="BB44" s="221"/>
      <c r="BC44" s="25">
        <f t="shared" ref="BC44:BC53" si="74">+J44*($C$7/12)</f>
        <v>0</v>
      </c>
      <c r="BD44" s="25">
        <f t="shared" ref="BD44:BD56" si="75">IFERROR(Z44/BC44,0)</f>
        <v>0</v>
      </c>
      <c r="BE44" s="221"/>
      <c r="BF44" s="25">
        <f t="shared" ref="BF44:BF55" si="76">+K44*($C$7/12)</f>
        <v>0</v>
      </c>
      <c r="BG44" s="25">
        <f t="shared" ref="BG44:BG55" si="77">IFERROR(AB44/BF44,0)</f>
        <v>0</v>
      </c>
      <c r="BH44" s="221"/>
      <c r="BI44" s="25">
        <f t="shared" ref="BI44:BI55" si="78">+L44*($C$7/12)</f>
        <v>0</v>
      </c>
      <c r="BJ44" s="25">
        <f t="shared" ref="BJ44:BJ55" si="79">IFERROR(AB44/BI44,0)</f>
        <v>0</v>
      </c>
    </row>
    <row r="45" spans="1:62" ht="15.65" customHeight="1">
      <c r="A45" s="212" t="s">
        <v>1238</v>
      </c>
      <c r="B45" s="213" t="str">
        <f>+VLOOKUP(A45,Takstblad!$A$33:$B$54,2,FALSE)</f>
        <v/>
      </c>
      <c r="C45" s="285"/>
      <c r="D45" s="285"/>
      <c r="E45" s="285"/>
      <c r="F45" s="285"/>
      <c r="G45" s="285"/>
      <c r="H45" s="285"/>
      <c r="I45" s="285"/>
      <c r="J45" s="285"/>
      <c r="K45" s="285"/>
      <c r="L45" s="285"/>
      <c r="M45" s="19">
        <f t="shared" si="70"/>
        <v>0</v>
      </c>
      <c r="N45" s="285"/>
      <c r="O45" s="285" t="s">
        <v>113</v>
      </c>
      <c r="P45" s="212"/>
      <c r="Q45" s="218"/>
      <c r="R45" s="216">
        <f>+AC45</f>
        <v>0</v>
      </c>
      <c r="S45" s="215">
        <f>+IFERROR(IF(S$19=Takstblad!C$3,VLOOKUP($A45,takstblad,3,FALSE)*C45,"fejl i år"),0)</f>
        <v>0</v>
      </c>
      <c r="T45" s="215">
        <f>+IFERROR(IF(T$19=Takstblad!D$3,VLOOKUP($A45,takstblad,4,FALSE)*D45,"fejl i år"),0)</f>
        <v>0</v>
      </c>
      <c r="U45" s="215">
        <f>+IFERROR(IF(U$19=Takstblad!E$3,VLOOKUP($A45,takstblad,5,FALSE)*E45,"fejl i år"),0)</f>
        <v>0</v>
      </c>
      <c r="V45" s="215">
        <f>+IFERROR(IF(V$19=Takstblad!F$3,VLOOKUP($A45,takstblad,6,FALSE)*F45,"fejl i år"),0)</f>
        <v>0</v>
      </c>
      <c r="W45" s="215">
        <f>+IFERROR(IF(W$19=Takstblad!G$3,VLOOKUP($A45,takstblad,7,FALSE)*G45,"fejl i år"),0)</f>
        <v>0</v>
      </c>
      <c r="X45" s="215">
        <f>+IFERROR(IF(X$19=Takstblad!H$3,VLOOKUP($A45,takstblad,8,FALSE)*H45,"fejl i år"),0)</f>
        <v>0</v>
      </c>
      <c r="Y45" s="215">
        <f>+IFERROR(IF(Y$19=Takstblad!I$3,VLOOKUP($A45,takstblad,9,FALSE)*I45,"fejl i år"),0)</f>
        <v>0</v>
      </c>
      <c r="Z45" s="215">
        <f>+IFERROR(IF(Z$19=Takstblad!J$3,VLOOKUP($A45,takstblad,10,FALSE)*J45,"fejl i år"),0)</f>
        <v>0</v>
      </c>
      <c r="AA45" s="215">
        <f>+IFERROR(IF(AA$19=Takstblad!K$3,VLOOKUP($A45,takstblad,11,FALSE)*K45,"fejl i år"),0)</f>
        <v>0</v>
      </c>
      <c r="AB45" s="215">
        <f>+IFERROR(IF(AB$19=Takstblad!L$3,VLOOKUP($A45,takstblad,12,FALSE)*L45,"fejl i år"),0)</f>
        <v>0</v>
      </c>
      <c r="AC45" s="216">
        <f t="shared" si="71"/>
        <v>0</v>
      </c>
      <c r="AD45" s="221"/>
      <c r="AE45" s="217">
        <f t="shared" si="56"/>
        <v>0</v>
      </c>
      <c r="AF45" s="217">
        <f t="shared" si="57"/>
        <v>0</v>
      </c>
      <c r="AG45" s="221"/>
      <c r="AH45" s="217">
        <f t="shared" si="58"/>
        <v>0</v>
      </c>
      <c r="AI45" s="217">
        <f t="shared" si="59"/>
        <v>0</v>
      </c>
      <c r="AJ45" s="221"/>
      <c r="AK45" s="215">
        <f t="shared" si="60"/>
        <v>0</v>
      </c>
      <c r="AL45" s="215">
        <f t="shared" si="61"/>
        <v>0</v>
      </c>
      <c r="AM45" s="221"/>
      <c r="AN45" s="215">
        <f t="shared" si="62"/>
        <v>0</v>
      </c>
      <c r="AO45" s="215">
        <f t="shared" si="63"/>
        <v>0</v>
      </c>
      <c r="AP45" s="221"/>
      <c r="AQ45" s="215">
        <f t="shared" si="64"/>
        <v>0</v>
      </c>
      <c r="AR45" s="215">
        <f t="shared" si="65"/>
        <v>0</v>
      </c>
      <c r="AS45" s="221"/>
      <c r="AT45" s="215">
        <f t="shared" si="66"/>
        <v>0</v>
      </c>
      <c r="AU45" s="215">
        <f t="shared" si="67"/>
        <v>0</v>
      </c>
      <c r="AV45" s="221"/>
      <c r="AW45" s="215">
        <f t="shared" si="68"/>
        <v>0</v>
      </c>
      <c r="AX45" s="215">
        <f t="shared" si="69"/>
        <v>0</v>
      </c>
      <c r="AY45" s="221"/>
      <c r="AZ45" s="215">
        <f t="shared" si="72"/>
        <v>0</v>
      </c>
      <c r="BA45" s="215">
        <f t="shared" si="73"/>
        <v>0</v>
      </c>
      <c r="BB45" s="221"/>
      <c r="BC45" s="215">
        <f t="shared" si="74"/>
        <v>0</v>
      </c>
      <c r="BD45" s="215">
        <f t="shared" si="75"/>
        <v>0</v>
      </c>
      <c r="BE45" s="221"/>
      <c r="BF45" s="215">
        <f t="shared" si="76"/>
        <v>0</v>
      </c>
      <c r="BG45" s="215">
        <f t="shared" si="77"/>
        <v>0</v>
      </c>
      <c r="BH45" s="221"/>
      <c r="BI45" s="215">
        <f t="shared" si="78"/>
        <v>0</v>
      </c>
      <c r="BJ45" s="215">
        <f t="shared" si="79"/>
        <v>0</v>
      </c>
    </row>
    <row r="46" spans="1:62" ht="15.65" customHeight="1">
      <c r="A46" s="7" t="s">
        <v>1238</v>
      </c>
      <c r="B46" s="4" t="str">
        <f>+VLOOKUP(A46,Takstblad!$A$33:$B$54,2,FALSE)</f>
        <v/>
      </c>
      <c r="C46" s="285"/>
      <c r="D46" s="285"/>
      <c r="E46" s="285"/>
      <c r="F46" s="285"/>
      <c r="G46" s="285"/>
      <c r="H46" s="285"/>
      <c r="I46" s="285"/>
      <c r="J46" s="285"/>
      <c r="K46" s="285"/>
      <c r="L46" s="285"/>
      <c r="M46" s="19">
        <f t="shared" si="70"/>
        <v>0</v>
      </c>
      <c r="N46" s="285"/>
      <c r="O46" s="285" t="s">
        <v>113</v>
      </c>
      <c r="Q46" s="26"/>
      <c r="R46" s="21">
        <f t="shared" si="55"/>
        <v>0</v>
      </c>
      <c r="S46" s="25">
        <f>+IFERROR(IF(S$19=Takstblad!C$3,VLOOKUP($A46,takstblad,3,FALSE)*C46,"fejl i år"),0)</f>
        <v>0</v>
      </c>
      <c r="T46" s="25">
        <f>+IFERROR(IF(T$19=Takstblad!D$3,VLOOKUP($A46,takstblad,4,FALSE)*D46,"fejl i år"),0)</f>
        <v>0</v>
      </c>
      <c r="U46" s="25">
        <f>+IFERROR(IF(U$19=Takstblad!E$3,VLOOKUP($A46,takstblad,5,FALSE)*E46,"fejl i år"),0)</f>
        <v>0</v>
      </c>
      <c r="V46" s="25">
        <f>+IFERROR(IF(V$19=Takstblad!F$3,VLOOKUP($A46,takstblad,6,FALSE)*F46,"fejl i år"),0)</f>
        <v>0</v>
      </c>
      <c r="W46" s="25">
        <f>+IFERROR(IF(W$19=Takstblad!G$3,VLOOKUP($A46,takstblad,7,FALSE)*G46,"fejl i år"),0)</f>
        <v>0</v>
      </c>
      <c r="X46" s="25">
        <f>+IFERROR(IF(X$19=Takstblad!H$3,VLOOKUP($A46,takstblad,8,FALSE)*H46,"fejl i år"),0)</f>
        <v>0</v>
      </c>
      <c r="Y46" s="25">
        <f>+IFERROR(IF(Y$19=Takstblad!I$3,VLOOKUP($A46,takstblad,9,FALSE)*I46,"fejl i år"),0)</f>
        <v>0</v>
      </c>
      <c r="Z46" s="25">
        <f>+IFERROR(IF(Z$19=Takstblad!J$3,VLOOKUP($A46,takstblad,10,FALSE)*J46,"fejl i år"),0)</f>
        <v>0</v>
      </c>
      <c r="AA46" s="25">
        <f>+IFERROR(IF(AA$19=Takstblad!K$3,VLOOKUP($A46,takstblad,11,FALSE)*K46,"fejl i år"),0)</f>
        <v>0</v>
      </c>
      <c r="AB46" s="25">
        <f>+IFERROR(IF(AB$19=Takstblad!L$3,VLOOKUP($A46,takstblad,12,FALSE)*L46,"fejl i år"),0)</f>
        <v>0</v>
      </c>
      <c r="AC46" s="21">
        <f t="shared" si="71"/>
        <v>0</v>
      </c>
      <c r="AD46" s="221"/>
      <c r="AE46" s="25">
        <f t="shared" si="56"/>
        <v>0</v>
      </c>
      <c r="AF46" s="25">
        <f t="shared" si="57"/>
        <v>0</v>
      </c>
      <c r="AG46" s="221"/>
      <c r="AH46" s="25">
        <f t="shared" si="58"/>
        <v>0</v>
      </c>
      <c r="AI46" s="25">
        <f t="shared" si="59"/>
        <v>0</v>
      </c>
      <c r="AJ46" s="221"/>
      <c r="AK46" s="25">
        <f t="shared" si="60"/>
        <v>0</v>
      </c>
      <c r="AL46" s="25">
        <f t="shared" si="61"/>
        <v>0</v>
      </c>
      <c r="AM46" s="221"/>
      <c r="AN46" s="25">
        <f t="shared" si="62"/>
        <v>0</v>
      </c>
      <c r="AO46" s="25">
        <f t="shared" si="63"/>
        <v>0</v>
      </c>
      <c r="AP46" s="221"/>
      <c r="AQ46" s="25">
        <f t="shared" si="64"/>
        <v>0</v>
      </c>
      <c r="AR46" s="25">
        <f t="shared" si="65"/>
        <v>0</v>
      </c>
      <c r="AS46" s="221"/>
      <c r="AT46" s="25">
        <f t="shared" si="66"/>
        <v>0</v>
      </c>
      <c r="AU46" s="25">
        <f t="shared" si="67"/>
        <v>0</v>
      </c>
      <c r="AV46" s="221"/>
      <c r="AW46" s="25">
        <f t="shared" si="68"/>
        <v>0</v>
      </c>
      <c r="AX46" s="25">
        <f t="shared" si="69"/>
        <v>0</v>
      </c>
      <c r="AY46" s="221"/>
      <c r="AZ46" s="25">
        <f t="shared" si="72"/>
        <v>0</v>
      </c>
      <c r="BA46" s="25">
        <f t="shared" si="73"/>
        <v>0</v>
      </c>
      <c r="BB46" s="221"/>
      <c r="BC46" s="25">
        <f t="shared" si="74"/>
        <v>0</v>
      </c>
      <c r="BD46" s="25">
        <f t="shared" si="75"/>
        <v>0</v>
      </c>
      <c r="BE46" s="221"/>
      <c r="BF46" s="25">
        <f t="shared" si="76"/>
        <v>0</v>
      </c>
      <c r="BG46" s="25">
        <f t="shared" si="77"/>
        <v>0</v>
      </c>
      <c r="BH46" s="221"/>
      <c r="BI46" s="25">
        <f t="shared" si="78"/>
        <v>0</v>
      </c>
      <c r="BJ46" s="25">
        <f t="shared" si="79"/>
        <v>0</v>
      </c>
    </row>
    <row r="47" spans="1:62" ht="15.65" customHeight="1">
      <c r="A47" s="212" t="s">
        <v>1238</v>
      </c>
      <c r="B47" s="213" t="str">
        <f>+VLOOKUP(A47,Takstblad!$A$33:$B$54,2,FALSE)</f>
        <v/>
      </c>
      <c r="C47" s="285"/>
      <c r="D47" s="285"/>
      <c r="E47" s="285"/>
      <c r="F47" s="285"/>
      <c r="G47" s="285"/>
      <c r="H47" s="285"/>
      <c r="I47" s="285"/>
      <c r="J47" s="285"/>
      <c r="K47" s="285"/>
      <c r="L47" s="285"/>
      <c r="M47" s="19">
        <f t="shared" si="70"/>
        <v>0</v>
      </c>
      <c r="N47" s="285"/>
      <c r="O47" s="285" t="s">
        <v>113</v>
      </c>
      <c r="P47" s="212"/>
      <c r="Q47" s="218"/>
      <c r="R47" s="216">
        <f t="shared" si="55"/>
        <v>0</v>
      </c>
      <c r="S47" s="215">
        <f>+IFERROR(IF(S$19=Takstblad!C$3,VLOOKUP($A47,takstblad,3,FALSE)*C47,"fejl i år"),0)</f>
        <v>0</v>
      </c>
      <c r="T47" s="215">
        <f>+IFERROR(IF(T$19=Takstblad!D$3,VLOOKUP($A47,takstblad,4,FALSE)*D47,"fejl i år"),0)</f>
        <v>0</v>
      </c>
      <c r="U47" s="215">
        <f>+IFERROR(IF(U$19=Takstblad!E$3,VLOOKUP($A47,takstblad,5,FALSE)*E47,"fejl i år"),0)</f>
        <v>0</v>
      </c>
      <c r="V47" s="215">
        <f>+IFERROR(IF(V$19=Takstblad!F$3,VLOOKUP($A47,takstblad,6,FALSE)*F47,"fejl i år"),0)</f>
        <v>0</v>
      </c>
      <c r="W47" s="215">
        <f>+IFERROR(IF(W$19=Takstblad!G$3,VLOOKUP($A47,takstblad,7,FALSE)*G47,"fejl i år"),0)</f>
        <v>0</v>
      </c>
      <c r="X47" s="215">
        <f>+IFERROR(IF(X$19=Takstblad!H$3,VLOOKUP($A47,takstblad,8,FALSE)*H47,"fejl i år"),0)</f>
        <v>0</v>
      </c>
      <c r="Y47" s="215">
        <f>+IFERROR(IF(Y$19=Takstblad!I$3,VLOOKUP($A47,takstblad,9,FALSE)*I47,"fejl i år"),0)</f>
        <v>0</v>
      </c>
      <c r="Z47" s="215">
        <f>+IFERROR(IF(Z$19=Takstblad!J$3,VLOOKUP($A47,takstblad,10,FALSE)*J47,"fejl i år"),0)</f>
        <v>0</v>
      </c>
      <c r="AA47" s="215">
        <f>+IFERROR(IF(AA$19=Takstblad!K$3,VLOOKUP($A47,takstblad,11,FALSE)*K47,"fejl i år"),0)</f>
        <v>0</v>
      </c>
      <c r="AB47" s="215">
        <f>+IFERROR(IF(AB$19=Takstblad!L$3,VLOOKUP($A47,takstblad,12,FALSE)*L47,"fejl i år"),0)</f>
        <v>0</v>
      </c>
      <c r="AC47" s="216">
        <f t="shared" si="71"/>
        <v>0</v>
      </c>
      <c r="AD47" s="221"/>
      <c r="AE47" s="217">
        <f t="shared" si="56"/>
        <v>0</v>
      </c>
      <c r="AF47" s="217">
        <f t="shared" si="57"/>
        <v>0</v>
      </c>
      <c r="AG47" s="221"/>
      <c r="AH47" s="217">
        <f t="shared" si="58"/>
        <v>0</v>
      </c>
      <c r="AI47" s="217">
        <f t="shared" si="59"/>
        <v>0</v>
      </c>
      <c r="AJ47" s="221"/>
      <c r="AK47" s="215">
        <f t="shared" si="60"/>
        <v>0</v>
      </c>
      <c r="AL47" s="215">
        <f t="shared" si="61"/>
        <v>0</v>
      </c>
      <c r="AM47" s="221"/>
      <c r="AN47" s="215">
        <f t="shared" si="62"/>
        <v>0</v>
      </c>
      <c r="AO47" s="215">
        <f t="shared" si="63"/>
        <v>0</v>
      </c>
      <c r="AP47" s="221"/>
      <c r="AQ47" s="215">
        <f t="shared" si="64"/>
        <v>0</v>
      </c>
      <c r="AR47" s="215">
        <f t="shared" si="65"/>
        <v>0</v>
      </c>
      <c r="AS47" s="221"/>
      <c r="AT47" s="215">
        <f t="shared" si="66"/>
        <v>0</v>
      </c>
      <c r="AU47" s="215">
        <f t="shared" si="67"/>
        <v>0</v>
      </c>
      <c r="AV47" s="221"/>
      <c r="AW47" s="215">
        <f t="shared" si="68"/>
        <v>0</v>
      </c>
      <c r="AX47" s="215">
        <f t="shared" si="69"/>
        <v>0</v>
      </c>
      <c r="AY47" s="221"/>
      <c r="AZ47" s="215">
        <f t="shared" si="72"/>
        <v>0</v>
      </c>
      <c r="BA47" s="215">
        <f t="shared" si="73"/>
        <v>0</v>
      </c>
      <c r="BB47" s="221"/>
      <c r="BC47" s="215">
        <f t="shared" si="74"/>
        <v>0</v>
      </c>
      <c r="BD47" s="215">
        <f t="shared" si="75"/>
        <v>0</v>
      </c>
      <c r="BE47" s="221"/>
      <c r="BF47" s="215">
        <f t="shared" si="76"/>
        <v>0</v>
      </c>
      <c r="BG47" s="215">
        <f t="shared" si="77"/>
        <v>0</v>
      </c>
      <c r="BH47" s="221"/>
      <c r="BI47" s="215">
        <f t="shared" si="78"/>
        <v>0</v>
      </c>
      <c r="BJ47" s="215">
        <f t="shared" si="79"/>
        <v>0</v>
      </c>
    </row>
    <row r="48" spans="1:62" ht="15.65" customHeight="1">
      <c r="A48" s="7" t="s">
        <v>1238</v>
      </c>
      <c r="B48" s="4" t="str">
        <f>+VLOOKUP(A48,Takstblad!$A$33:$B$54,2,FALSE)</f>
        <v/>
      </c>
      <c r="C48" s="285"/>
      <c r="D48" s="285"/>
      <c r="E48" s="285"/>
      <c r="F48" s="285"/>
      <c r="G48" s="285"/>
      <c r="H48" s="285"/>
      <c r="I48" s="285"/>
      <c r="J48" s="285"/>
      <c r="K48" s="285"/>
      <c r="L48" s="285"/>
      <c r="M48" s="19">
        <f t="shared" si="70"/>
        <v>0</v>
      </c>
      <c r="N48" s="285"/>
      <c r="O48" s="285" t="s">
        <v>113</v>
      </c>
      <c r="Q48" s="26"/>
      <c r="R48" s="21">
        <f t="shared" si="55"/>
        <v>0</v>
      </c>
      <c r="S48" s="25">
        <f>+IFERROR(IF(S$19=Takstblad!C$3,VLOOKUP($A48,takstblad,3,FALSE)*C48,"fejl i år"),0)</f>
        <v>0</v>
      </c>
      <c r="T48" s="25">
        <f>+IFERROR(IF(T$19=Takstblad!D$3,VLOOKUP($A48,takstblad,4,FALSE)*D48,"fejl i år"),0)</f>
        <v>0</v>
      </c>
      <c r="U48" s="25">
        <f>+IFERROR(IF(U$19=Takstblad!E$3,VLOOKUP($A48,takstblad,5,FALSE)*E48,"fejl i år"),0)</f>
        <v>0</v>
      </c>
      <c r="V48" s="25">
        <f>+IFERROR(IF(V$19=Takstblad!F$3,VLOOKUP($A48,takstblad,6,FALSE)*F48,"fejl i år"),0)</f>
        <v>0</v>
      </c>
      <c r="W48" s="25">
        <f>+IFERROR(IF(W$19=Takstblad!G$3,VLOOKUP($A48,takstblad,7,FALSE)*G48,"fejl i år"),0)</f>
        <v>0</v>
      </c>
      <c r="X48" s="25">
        <f>+IFERROR(IF(X$19=Takstblad!H$3,VLOOKUP($A48,takstblad,8,FALSE)*H48,"fejl i år"),0)</f>
        <v>0</v>
      </c>
      <c r="Y48" s="25">
        <f>+IFERROR(IF(Y$19=Takstblad!I$3,VLOOKUP($A48,takstblad,9,FALSE)*I48,"fejl i år"),0)</f>
        <v>0</v>
      </c>
      <c r="Z48" s="25">
        <f>+IFERROR(IF(Z$19=Takstblad!J$3,VLOOKUP($A48,takstblad,10,FALSE)*J48,"fejl i år"),0)</f>
        <v>0</v>
      </c>
      <c r="AA48" s="25">
        <f>+IFERROR(IF(AA$19=Takstblad!K$3,VLOOKUP($A48,takstblad,11,FALSE)*K48,"fejl i år"),0)</f>
        <v>0</v>
      </c>
      <c r="AB48" s="25">
        <f>+IFERROR(IF(AB$19=Takstblad!L$3,VLOOKUP($A48,takstblad,12,FALSE)*L48,"fejl i år"),0)</f>
        <v>0</v>
      </c>
      <c r="AC48" s="21">
        <f t="shared" si="71"/>
        <v>0</v>
      </c>
      <c r="AD48" s="221"/>
      <c r="AE48" s="25">
        <f t="shared" si="56"/>
        <v>0</v>
      </c>
      <c r="AF48" s="25">
        <f t="shared" si="57"/>
        <v>0</v>
      </c>
      <c r="AG48" s="221"/>
      <c r="AH48" s="25">
        <f t="shared" si="58"/>
        <v>0</v>
      </c>
      <c r="AI48" s="25">
        <f t="shared" si="59"/>
        <v>0</v>
      </c>
      <c r="AJ48" s="221"/>
      <c r="AK48" s="25">
        <f t="shared" si="60"/>
        <v>0</v>
      </c>
      <c r="AL48" s="25">
        <f t="shared" si="61"/>
        <v>0</v>
      </c>
      <c r="AM48" s="221"/>
      <c r="AN48" s="25">
        <f t="shared" si="62"/>
        <v>0</v>
      </c>
      <c r="AO48" s="25">
        <f t="shared" si="63"/>
        <v>0</v>
      </c>
      <c r="AP48" s="221"/>
      <c r="AQ48" s="25">
        <f t="shared" si="64"/>
        <v>0</v>
      </c>
      <c r="AR48" s="25">
        <f t="shared" si="65"/>
        <v>0</v>
      </c>
      <c r="AS48" s="221"/>
      <c r="AT48" s="25">
        <f t="shared" si="66"/>
        <v>0</v>
      </c>
      <c r="AU48" s="25">
        <f t="shared" si="67"/>
        <v>0</v>
      </c>
      <c r="AV48" s="221"/>
      <c r="AW48" s="25">
        <f t="shared" si="68"/>
        <v>0</v>
      </c>
      <c r="AX48" s="25">
        <f t="shared" si="69"/>
        <v>0</v>
      </c>
      <c r="AY48" s="221"/>
      <c r="AZ48" s="25">
        <f t="shared" si="72"/>
        <v>0</v>
      </c>
      <c r="BA48" s="25">
        <f t="shared" si="73"/>
        <v>0</v>
      </c>
      <c r="BB48" s="221"/>
      <c r="BC48" s="25">
        <f t="shared" si="74"/>
        <v>0</v>
      </c>
      <c r="BD48" s="25">
        <f t="shared" si="75"/>
        <v>0</v>
      </c>
      <c r="BE48" s="221"/>
      <c r="BF48" s="25">
        <f t="shared" si="76"/>
        <v>0</v>
      </c>
      <c r="BG48" s="25">
        <f t="shared" si="77"/>
        <v>0</v>
      </c>
      <c r="BH48" s="221"/>
      <c r="BI48" s="25">
        <f t="shared" si="78"/>
        <v>0</v>
      </c>
      <c r="BJ48" s="25">
        <f t="shared" si="79"/>
        <v>0</v>
      </c>
    </row>
    <row r="49" spans="1:66" ht="15.65" customHeight="1">
      <c r="A49" s="212" t="s">
        <v>1238</v>
      </c>
      <c r="B49" s="213" t="str">
        <f>+VLOOKUP(A49,Takstblad!$A$33:$B$54,2,FALSE)</f>
        <v/>
      </c>
      <c r="C49" s="285"/>
      <c r="D49" s="285"/>
      <c r="E49" s="285"/>
      <c r="F49" s="285"/>
      <c r="G49" s="285"/>
      <c r="H49" s="285"/>
      <c r="I49" s="285"/>
      <c r="J49" s="285"/>
      <c r="K49" s="285"/>
      <c r="L49" s="285"/>
      <c r="M49" s="19">
        <f t="shared" si="70"/>
        <v>0</v>
      </c>
      <c r="N49" s="285"/>
      <c r="O49" s="285" t="s">
        <v>113</v>
      </c>
      <c r="P49" s="212"/>
      <c r="Q49" s="218"/>
      <c r="R49" s="216">
        <f t="shared" si="55"/>
        <v>0</v>
      </c>
      <c r="S49" s="215">
        <f>+IFERROR(IF(S$19=Takstblad!C$3,VLOOKUP($A49,takstblad,3,FALSE)*C49,"fejl i år"),0)</f>
        <v>0</v>
      </c>
      <c r="T49" s="215">
        <f>+IFERROR(IF(T$19=Takstblad!D$3,VLOOKUP($A49,takstblad,4,FALSE)*D49,"fejl i år"),0)</f>
        <v>0</v>
      </c>
      <c r="U49" s="215">
        <f>+IFERROR(IF(U$19=Takstblad!E$3,VLOOKUP($A49,takstblad,5,FALSE)*E49,"fejl i år"),0)</f>
        <v>0</v>
      </c>
      <c r="V49" s="215">
        <f>+IFERROR(IF(V$19=Takstblad!F$3,VLOOKUP($A49,takstblad,6,FALSE)*F49,"fejl i år"),0)</f>
        <v>0</v>
      </c>
      <c r="W49" s="215">
        <f>+IFERROR(IF(W$19=Takstblad!G$3,VLOOKUP($A49,takstblad,7,FALSE)*G49,"fejl i år"),0)</f>
        <v>0</v>
      </c>
      <c r="X49" s="215">
        <f>+IFERROR(IF(X$19=Takstblad!H$3,VLOOKUP($A49,takstblad,8,FALSE)*H49,"fejl i år"),0)</f>
        <v>0</v>
      </c>
      <c r="Y49" s="215">
        <f>+IFERROR(IF(Y$19=Takstblad!I$3,VLOOKUP($A49,takstblad,9,FALSE)*I49,"fejl i år"),0)</f>
        <v>0</v>
      </c>
      <c r="Z49" s="215">
        <f>+IFERROR(IF(Z$19=Takstblad!J$3,VLOOKUP($A49,takstblad,10,FALSE)*J49,"fejl i år"),0)</f>
        <v>0</v>
      </c>
      <c r="AA49" s="215">
        <f>+IFERROR(IF(AA$19=Takstblad!K$3,VLOOKUP($A49,takstblad,11,FALSE)*K49,"fejl i år"),0)</f>
        <v>0</v>
      </c>
      <c r="AB49" s="215">
        <f>+IFERROR(IF(AB$19=Takstblad!L$3,VLOOKUP($A49,takstblad,12,FALSE)*L49,"fejl i år"),0)</f>
        <v>0</v>
      </c>
      <c r="AC49" s="216">
        <f t="shared" si="71"/>
        <v>0</v>
      </c>
      <c r="AD49" s="221"/>
      <c r="AE49" s="217">
        <f t="shared" si="56"/>
        <v>0</v>
      </c>
      <c r="AF49" s="217">
        <f t="shared" si="57"/>
        <v>0</v>
      </c>
      <c r="AG49" s="221"/>
      <c r="AH49" s="217">
        <f t="shared" si="58"/>
        <v>0</v>
      </c>
      <c r="AI49" s="217">
        <f t="shared" si="59"/>
        <v>0</v>
      </c>
      <c r="AJ49" s="221"/>
      <c r="AK49" s="215">
        <f t="shared" si="60"/>
        <v>0</v>
      </c>
      <c r="AL49" s="215">
        <f t="shared" si="61"/>
        <v>0</v>
      </c>
      <c r="AM49" s="221"/>
      <c r="AN49" s="215">
        <f t="shared" si="62"/>
        <v>0</v>
      </c>
      <c r="AO49" s="215">
        <f t="shared" si="63"/>
        <v>0</v>
      </c>
      <c r="AP49" s="221"/>
      <c r="AQ49" s="215">
        <f t="shared" si="64"/>
        <v>0</v>
      </c>
      <c r="AR49" s="215">
        <f t="shared" si="65"/>
        <v>0</v>
      </c>
      <c r="AS49" s="221"/>
      <c r="AT49" s="215">
        <f t="shared" si="66"/>
        <v>0</v>
      </c>
      <c r="AU49" s="215">
        <f t="shared" si="67"/>
        <v>0</v>
      </c>
      <c r="AV49" s="221"/>
      <c r="AW49" s="215">
        <f t="shared" si="68"/>
        <v>0</v>
      </c>
      <c r="AX49" s="215">
        <f t="shared" si="69"/>
        <v>0</v>
      </c>
      <c r="AY49" s="221"/>
      <c r="AZ49" s="215">
        <f t="shared" si="72"/>
        <v>0</v>
      </c>
      <c r="BA49" s="215">
        <f t="shared" si="73"/>
        <v>0</v>
      </c>
      <c r="BB49" s="221"/>
      <c r="BC49" s="215">
        <f t="shared" si="74"/>
        <v>0</v>
      </c>
      <c r="BD49" s="215">
        <f t="shared" si="75"/>
        <v>0</v>
      </c>
      <c r="BE49" s="221"/>
      <c r="BF49" s="215">
        <f t="shared" si="76"/>
        <v>0</v>
      </c>
      <c r="BG49" s="215">
        <f t="shared" si="77"/>
        <v>0</v>
      </c>
      <c r="BH49" s="221"/>
      <c r="BI49" s="215">
        <f t="shared" si="78"/>
        <v>0</v>
      </c>
      <c r="BJ49" s="215">
        <f t="shared" si="79"/>
        <v>0</v>
      </c>
    </row>
    <row r="50" spans="1:66" ht="15.65" customHeight="1">
      <c r="A50" s="7" t="s">
        <v>1238</v>
      </c>
      <c r="B50" s="4" t="str">
        <f>+VLOOKUP(A50,Takstblad!$A$33:$B$54,2,FALSE)</f>
        <v/>
      </c>
      <c r="C50" s="285"/>
      <c r="D50" s="285"/>
      <c r="E50" s="285"/>
      <c r="F50" s="285"/>
      <c r="G50" s="285"/>
      <c r="H50" s="285"/>
      <c r="I50" s="285"/>
      <c r="J50" s="285"/>
      <c r="K50" s="285"/>
      <c r="L50" s="285"/>
      <c r="M50" s="19">
        <f t="shared" si="70"/>
        <v>0</v>
      </c>
      <c r="N50" s="285"/>
      <c r="O50" s="285" t="s">
        <v>113</v>
      </c>
      <c r="Q50" s="26"/>
      <c r="R50" s="21">
        <f t="shared" si="55"/>
        <v>0</v>
      </c>
      <c r="S50" s="25">
        <f>+IFERROR(IF(S$19=Takstblad!C$3,VLOOKUP($A50,takstblad,3,FALSE)*C50,"fejl i år"),0)</f>
        <v>0</v>
      </c>
      <c r="T50" s="25">
        <f>+IFERROR(IF(T$19=Takstblad!D$3,VLOOKUP($A50,takstblad,4,FALSE)*D50,"fejl i år"),0)</f>
        <v>0</v>
      </c>
      <c r="U50" s="25">
        <f>+IFERROR(IF(U$19=Takstblad!E$3,VLOOKUP($A50,takstblad,5,FALSE)*E50,"fejl i år"),0)</f>
        <v>0</v>
      </c>
      <c r="V50" s="25">
        <f>+IFERROR(IF(V$19=Takstblad!F$3,VLOOKUP($A50,takstblad,6,FALSE)*F50,"fejl i år"),0)</f>
        <v>0</v>
      </c>
      <c r="W50" s="25">
        <f>+IFERROR(IF(W$19=Takstblad!G$3,VLOOKUP($A50,takstblad,7,FALSE)*G50,"fejl i år"),0)</f>
        <v>0</v>
      </c>
      <c r="X50" s="25">
        <f>+IFERROR(IF(X$19=Takstblad!H$3,VLOOKUP($A50,takstblad,8,FALSE)*H50,"fejl i år"),0)</f>
        <v>0</v>
      </c>
      <c r="Y50" s="25">
        <f>+IFERROR(IF(Y$19=Takstblad!I$3,VLOOKUP($A50,takstblad,9,FALSE)*I50,"fejl i år"),0)</f>
        <v>0</v>
      </c>
      <c r="Z50" s="25">
        <f>+IFERROR(IF(Z$19=Takstblad!J$3,VLOOKUP($A50,takstblad,10,FALSE)*J50,"fejl i år"),0)</f>
        <v>0</v>
      </c>
      <c r="AA50" s="25">
        <f>+IFERROR(IF(AA$19=Takstblad!K$3,VLOOKUP($A50,takstblad,11,FALSE)*K50,"fejl i år"),0)</f>
        <v>0</v>
      </c>
      <c r="AB50" s="25">
        <f>+IFERROR(IF(AB$19=Takstblad!L$3,VLOOKUP($A50,takstblad,12,FALSE)*L50,"fejl i år"),0)</f>
        <v>0</v>
      </c>
      <c r="AC50" s="21">
        <f t="shared" si="71"/>
        <v>0</v>
      </c>
      <c r="AD50" s="221"/>
      <c r="AE50" s="25">
        <f t="shared" si="56"/>
        <v>0</v>
      </c>
      <c r="AF50" s="25">
        <f t="shared" si="57"/>
        <v>0</v>
      </c>
      <c r="AG50" s="221"/>
      <c r="AH50" s="25">
        <f t="shared" si="58"/>
        <v>0</v>
      </c>
      <c r="AI50" s="25">
        <f t="shared" si="59"/>
        <v>0</v>
      </c>
      <c r="AJ50" s="221"/>
      <c r="AK50" s="25">
        <f t="shared" si="60"/>
        <v>0</v>
      </c>
      <c r="AL50" s="25">
        <f t="shared" si="61"/>
        <v>0</v>
      </c>
      <c r="AM50" s="221"/>
      <c r="AN50" s="25">
        <f t="shared" si="62"/>
        <v>0</v>
      </c>
      <c r="AO50" s="25">
        <f t="shared" si="63"/>
        <v>0</v>
      </c>
      <c r="AP50" s="221"/>
      <c r="AQ50" s="25">
        <f t="shared" si="64"/>
        <v>0</v>
      </c>
      <c r="AR50" s="25">
        <f t="shared" si="65"/>
        <v>0</v>
      </c>
      <c r="AS50" s="221"/>
      <c r="AT50" s="25">
        <f t="shared" si="66"/>
        <v>0</v>
      </c>
      <c r="AU50" s="25">
        <f t="shared" si="67"/>
        <v>0</v>
      </c>
      <c r="AV50" s="221"/>
      <c r="AW50" s="25">
        <f t="shared" si="68"/>
        <v>0</v>
      </c>
      <c r="AX50" s="25">
        <f t="shared" si="69"/>
        <v>0</v>
      </c>
      <c r="AY50" s="221"/>
      <c r="AZ50" s="25">
        <f t="shared" si="72"/>
        <v>0</v>
      </c>
      <c r="BA50" s="25">
        <f t="shared" si="73"/>
        <v>0</v>
      </c>
      <c r="BB50" s="221"/>
      <c r="BC50" s="25">
        <f t="shared" si="74"/>
        <v>0</v>
      </c>
      <c r="BD50" s="25">
        <f t="shared" si="75"/>
        <v>0</v>
      </c>
      <c r="BE50" s="221"/>
      <c r="BF50" s="25">
        <f t="shared" si="76"/>
        <v>0</v>
      </c>
      <c r="BG50" s="25">
        <f t="shared" si="77"/>
        <v>0</v>
      </c>
      <c r="BH50" s="221"/>
      <c r="BI50" s="25">
        <f t="shared" si="78"/>
        <v>0</v>
      </c>
      <c r="BJ50" s="25">
        <f t="shared" si="79"/>
        <v>0</v>
      </c>
    </row>
    <row r="51" spans="1:66" ht="15.65" customHeight="1">
      <c r="A51" s="212" t="s">
        <v>1238</v>
      </c>
      <c r="B51" s="213" t="str">
        <f>+VLOOKUP(A51,Takstblad!$A$33:$B$54,2,FALSE)</f>
        <v/>
      </c>
      <c r="C51" s="285"/>
      <c r="D51" s="285"/>
      <c r="E51" s="285"/>
      <c r="F51" s="285"/>
      <c r="G51" s="285"/>
      <c r="H51" s="285"/>
      <c r="I51" s="285"/>
      <c r="J51" s="285"/>
      <c r="K51" s="285"/>
      <c r="L51" s="285"/>
      <c r="M51" s="19">
        <f t="shared" si="70"/>
        <v>0</v>
      </c>
      <c r="N51" s="285"/>
      <c r="O51" s="285" t="s">
        <v>113</v>
      </c>
      <c r="P51" s="212"/>
      <c r="Q51" s="218"/>
      <c r="R51" s="216">
        <f t="shared" si="55"/>
        <v>0</v>
      </c>
      <c r="S51" s="215">
        <f>+IFERROR(IF(S$19=Takstblad!C$3,VLOOKUP($A51,takstblad,3,FALSE)*C51,"fejl i år"),0)</f>
        <v>0</v>
      </c>
      <c r="T51" s="215">
        <f>+IFERROR(IF(T$19=Takstblad!D$3,VLOOKUP($A51,takstblad,4,FALSE)*D51,"fejl i år"),0)</f>
        <v>0</v>
      </c>
      <c r="U51" s="215">
        <f>+IFERROR(IF(U$19=Takstblad!E$3,VLOOKUP($A51,takstblad,5,FALSE)*E51,"fejl i år"),0)</f>
        <v>0</v>
      </c>
      <c r="V51" s="215">
        <f>+IFERROR(IF(V$19=Takstblad!F$3,VLOOKUP($A51,takstblad,6,FALSE)*F51,"fejl i år"),0)</f>
        <v>0</v>
      </c>
      <c r="W51" s="215">
        <f>+IFERROR(IF(W$19=Takstblad!G$3,VLOOKUP($A51,takstblad,7,FALSE)*G51,"fejl i år"),0)</f>
        <v>0</v>
      </c>
      <c r="X51" s="215">
        <f>+IFERROR(IF(X$19=Takstblad!H$3,VLOOKUP($A51,takstblad,8,FALSE)*H51,"fejl i år"),0)</f>
        <v>0</v>
      </c>
      <c r="Y51" s="215">
        <f>+IFERROR(IF(Y$19=Takstblad!I$3,VLOOKUP($A51,takstblad,9,FALSE)*I51,"fejl i år"),0)</f>
        <v>0</v>
      </c>
      <c r="Z51" s="215">
        <f>+IFERROR(IF(Z$19=Takstblad!J$3,VLOOKUP($A51,takstblad,10,FALSE)*J51,"fejl i år"),0)</f>
        <v>0</v>
      </c>
      <c r="AA51" s="215">
        <f>+IFERROR(IF(AA$19=Takstblad!K$3,VLOOKUP($A51,takstblad,11,FALSE)*K51,"fejl i år"),0)</f>
        <v>0</v>
      </c>
      <c r="AB51" s="215">
        <f>+IFERROR(IF(AB$19=Takstblad!L$3,VLOOKUP($A51,takstblad,12,FALSE)*L51,"fejl i år"),0)</f>
        <v>0</v>
      </c>
      <c r="AC51" s="216">
        <f t="shared" si="71"/>
        <v>0</v>
      </c>
      <c r="AD51" s="221"/>
      <c r="AE51" s="217">
        <f t="shared" si="56"/>
        <v>0</v>
      </c>
      <c r="AF51" s="217">
        <f t="shared" si="57"/>
        <v>0</v>
      </c>
      <c r="AG51" s="221"/>
      <c r="AH51" s="217">
        <f t="shared" si="58"/>
        <v>0</v>
      </c>
      <c r="AI51" s="217">
        <f t="shared" si="59"/>
        <v>0</v>
      </c>
      <c r="AJ51" s="221"/>
      <c r="AK51" s="215">
        <f t="shared" si="60"/>
        <v>0</v>
      </c>
      <c r="AL51" s="215">
        <f t="shared" si="61"/>
        <v>0</v>
      </c>
      <c r="AM51" s="221"/>
      <c r="AN51" s="215">
        <f t="shared" si="62"/>
        <v>0</v>
      </c>
      <c r="AO51" s="215">
        <f t="shared" si="63"/>
        <v>0</v>
      </c>
      <c r="AP51" s="221"/>
      <c r="AQ51" s="215">
        <f t="shared" si="64"/>
        <v>0</v>
      </c>
      <c r="AR51" s="215">
        <f t="shared" si="65"/>
        <v>0</v>
      </c>
      <c r="AS51" s="221"/>
      <c r="AT51" s="215">
        <f t="shared" si="66"/>
        <v>0</v>
      </c>
      <c r="AU51" s="215">
        <f t="shared" si="67"/>
        <v>0</v>
      </c>
      <c r="AV51" s="221"/>
      <c r="AW51" s="215">
        <f t="shared" si="68"/>
        <v>0</v>
      </c>
      <c r="AX51" s="215">
        <f t="shared" si="69"/>
        <v>0</v>
      </c>
      <c r="AY51" s="221"/>
      <c r="AZ51" s="215">
        <f t="shared" si="72"/>
        <v>0</v>
      </c>
      <c r="BA51" s="215">
        <f t="shared" si="73"/>
        <v>0</v>
      </c>
      <c r="BB51" s="221"/>
      <c r="BC51" s="215">
        <f t="shared" si="74"/>
        <v>0</v>
      </c>
      <c r="BD51" s="215">
        <f t="shared" si="75"/>
        <v>0</v>
      </c>
      <c r="BE51" s="221"/>
      <c r="BF51" s="215">
        <f t="shared" si="76"/>
        <v>0</v>
      </c>
      <c r="BG51" s="215">
        <f t="shared" si="77"/>
        <v>0</v>
      </c>
      <c r="BH51" s="221"/>
      <c r="BI51" s="215">
        <f t="shared" si="78"/>
        <v>0</v>
      </c>
      <c r="BJ51" s="215">
        <f t="shared" si="79"/>
        <v>0</v>
      </c>
    </row>
    <row r="52" spans="1:66" ht="15.65" customHeight="1">
      <c r="A52" s="7" t="s">
        <v>1238</v>
      </c>
      <c r="B52" s="4" t="str">
        <f>+VLOOKUP(A52,Takstblad!$A$33:$B$54,2,FALSE)</f>
        <v/>
      </c>
      <c r="C52" s="285"/>
      <c r="D52" s="285"/>
      <c r="E52" s="285"/>
      <c r="F52" s="285"/>
      <c r="G52" s="285"/>
      <c r="H52" s="285"/>
      <c r="I52" s="285"/>
      <c r="J52" s="285"/>
      <c r="K52" s="285"/>
      <c r="L52" s="285"/>
      <c r="M52" s="19">
        <f t="shared" si="70"/>
        <v>0</v>
      </c>
      <c r="N52" s="285"/>
      <c r="O52" s="285" t="s">
        <v>113</v>
      </c>
      <c r="Q52" s="23"/>
      <c r="R52" s="21">
        <f t="shared" si="55"/>
        <v>0</v>
      </c>
      <c r="S52" s="25">
        <f>+IFERROR(IF(S$19=Takstblad!C$3,VLOOKUP($A52,takstblad,3,FALSE)*C52,"fejl i år"),0)</f>
        <v>0</v>
      </c>
      <c r="T52" s="25">
        <f>+IFERROR(IF(T$19=Takstblad!D$3,VLOOKUP($A52,takstblad,4,FALSE)*D52,"fejl i år"),0)</f>
        <v>0</v>
      </c>
      <c r="U52" s="25">
        <f>+IFERROR(IF(U$19=Takstblad!E$3,VLOOKUP($A52,takstblad,5,FALSE)*E52,"fejl i år"),0)</f>
        <v>0</v>
      </c>
      <c r="V52" s="25">
        <f>+IFERROR(IF(V$19=Takstblad!F$3,VLOOKUP($A52,takstblad,6,FALSE)*F52,"fejl i år"),0)</f>
        <v>0</v>
      </c>
      <c r="W52" s="25">
        <f>+IFERROR(IF(W$19=Takstblad!G$3,VLOOKUP($A52,takstblad,7,FALSE)*G52,"fejl i år"),0)</f>
        <v>0</v>
      </c>
      <c r="X52" s="25">
        <f>+IFERROR(IF(X$19=Takstblad!H$3,VLOOKUP($A52,takstblad,8,FALSE)*H52,"fejl i år"),0)</f>
        <v>0</v>
      </c>
      <c r="Y52" s="25">
        <f>+IFERROR(IF(Y$19=Takstblad!I$3,VLOOKUP($A52,takstblad,9,FALSE)*I52,"fejl i år"),0)</f>
        <v>0</v>
      </c>
      <c r="Z52" s="25">
        <f>+IFERROR(IF(Z$19=Takstblad!J$3,VLOOKUP($A52,takstblad,10,FALSE)*J52,"fejl i år"),0)</f>
        <v>0</v>
      </c>
      <c r="AA52" s="25">
        <f>+IFERROR(IF(AA$19=Takstblad!K$3,VLOOKUP($A52,takstblad,11,FALSE)*K52,"fejl i år"),0)</f>
        <v>0</v>
      </c>
      <c r="AB52" s="25">
        <f>+IFERROR(IF(AB$19=Takstblad!L$3,VLOOKUP($A52,takstblad,12,FALSE)*L52,"fejl i år"),0)</f>
        <v>0</v>
      </c>
      <c r="AC52" s="21">
        <f t="shared" si="71"/>
        <v>0</v>
      </c>
      <c r="AD52" s="221"/>
      <c r="AE52" s="25">
        <f t="shared" si="56"/>
        <v>0</v>
      </c>
      <c r="AF52" s="25">
        <f t="shared" si="57"/>
        <v>0</v>
      </c>
      <c r="AG52" s="221"/>
      <c r="AH52" s="25">
        <f t="shared" si="58"/>
        <v>0</v>
      </c>
      <c r="AI52" s="25">
        <f t="shared" si="59"/>
        <v>0</v>
      </c>
      <c r="AJ52" s="221"/>
      <c r="AK52" s="25">
        <f t="shared" si="60"/>
        <v>0</v>
      </c>
      <c r="AL52" s="25">
        <f t="shared" si="61"/>
        <v>0</v>
      </c>
      <c r="AM52" s="221"/>
      <c r="AN52" s="25">
        <f t="shared" si="62"/>
        <v>0</v>
      </c>
      <c r="AO52" s="25">
        <f t="shared" si="63"/>
        <v>0</v>
      </c>
      <c r="AP52" s="221"/>
      <c r="AQ52" s="25">
        <f t="shared" si="64"/>
        <v>0</v>
      </c>
      <c r="AR52" s="25">
        <f t="shared" si="65"/>
        <v>0</v>
      </c>
      <c r="AS52" s="221"/>
      <c r="AT52" s="25">
        <f t="shared" si="66"/>
        <v>0</v>
      </c>
      <c r="AU52" s="25">
        <f t="shared" si="67"/>
        <v>0</v>
      </c>
      <c r="AV52" s="221"/>
      <c r="AW52" s="25">
        <f t="shared" si="68"/>
        <v>0</v>
      </c>
      <c r="AX52" s="25">
        <f t="shared" si="69"/>
        <v>0</v>
      </c>
      <c r="AY52" s="221"/>
      <c r="AZ52" s="25">
        <f t="shared" si="72"/>
        <v>0</v>
      </c>
      <c r="BA52" s="25">
        <f t="shared" si="73"/>
        <v>0</v>
      </c>
      <c r="BB52" s="221"/>
      <c r="BC52" s="25">
        <f t="shared" si="74"/>
        <v>0</v>
      </c>
      <c r="BD52" s="25">
        <f t="shared" si="75"/>
        <v>0</v>
      </c>
      <c r="BE52" s="221"/>
      <c r="BF52" s="25">
        <f t="shared" si="76"/>
        <v>0</v>
      </c>
      <c r="BG52" s="25">
        <f t="shared" si="77"/>
        <v>0</v>
      </c>
      <c r="BH52" s="221"/>
      <c r="BI52" s="25">
        <f t="shared" si="78"/>
        <v>0</v>
      </c>
      <c r="BJ52" s="25">
        <f t="shared" si="79"/>
        <v>0</v>
      </c>
    </row>
    <row r="53" spans="1:66" s="11" customFormat="1" ht="15.65" customHeight="1">
      <c r="A53" s="5" t="s">
        <v>231</v>
      </c>
      <c r="B53" s="4"/>
      <c r="C53" s="157">
        <f>IF($C$12=2,0,IF(OR($G$7="Salary and operations",$G$7="Salary"),S53/Takstblad!C57,0))</f>
        <v>0</v>
      </c>
      <c r="D53" s="157">
        <f>IF($C$12=2,0,IF(OR($G$7="Salary and operations",$G$7="Salary"),T53/Takstblad!D57,0))</f>
        <v>0</v>
      </c>
      <c r="E53" s="157">
        <f>IF($C$12=2,0,IF(OR($G$7="Salary and operations",$G$7="Salary"),U53/Takstblad!E57,0))</f>
        <v>0</v>
      </c>
      <c r="F53" s="157">
        <f>IF($C$12=2,0,IF(OR($G$7="Salary and operations",$G$7="Salary"),V53/Takstblad!F57,0))</f>
        <v>0</v>
      </c>
      <c r="G53" s="157">
        <f>IF($C$12=2,0,IF(OR($G$7="Salary and operations",$G$7="Salary"),W53/Takstblad!G57,0))</f>
        <v>0</v>
      </c>
      <c r="H53" s="157">
        <f>IF($C$12=2,0,IF(OR($G$7="Salary and operations",$G$7="Salary"),X53/Takstblad!H57,0))</f>
        <v>0</v>
      </c>
      <c r="I53" s="157">
        <f>IF($C$12=2,0,IF(OR($G$7="Salary and operations",$G$7="Salary"),Y53/Takstblad!I57,0))</f>
        <v>0</v>
      </c>
      <c r="J53" s="157">
        <f>IF($C$12=2,0,IF(OR($G$7="Salary and operations",$G$7="Salary"),Z53/Takstblad!J57,0))</f>
        <v>0</v>
      </c>
      <c r="K53" s="157">
        <f>IF($C$12=2,0,IF(OR($G$7="Salary and operations",$G$7="Salary"),AA53/Takstblad!K57,0))</f>
        <v>0</v>
      </c>
      <c r="L53" s="157">
        <f>IF($C$12=2,0,IF(OR($G$7="Salary and operations",$G$7="Salary"),AB53/Takstblad!L57,0))</f>
        <v>0</v>
      </c>
      <c r="M53" s="65">
        <f t="shared" si="70"/>
        <v>0</v>
      </c>
      <c r="N53" s="20"/>
      <c r="O53" s="159" t="s">
        <v>152</v>
      </c>
      <c r="Q53" s="27"/>
      <c r="R53" s="21">
        <f>+AC53</f>
        <v>0</v>
      </c>
      <c r="S53" s="25">
        <f>IFERROR(IF($C$12=2,0,IF(OR($G$7="Salary and operations",$G$7="Salary"),VLOOKUP($C$2,Takstblad!$B$58:$L$70,2,FALSE)*C$58,0)),0)</f>
        <v>0</v>
      </c>
      <c r="T53" s="25">
        <f>IFERROR(IF($C$12=2,0,IF(OR($G$7="Salary and operations",$G$7="Salary"),VLOOKUP($C$2,Takstblad!$B$58:$L$70,3,FALSE)*D$58,0)),0)</f>
        <v>0</v>
      </c>
      <c r="U53" s="25">
        <f>IFERROR(IF($C$12=2,0,IF(OR($G$7="Salary and operations",$G$7="Salary"),VLOOKUP($C$2,Takstblad!$B$58:$L$70,4,FALSE)*E$58,0)),0)</f>
        <v>0</v>
      </c>
      <c r="V53" s="25">
        <f>IFERROR(IF($C$12=2,0,IF(OR($G$7="Salary and operations",$G$7="Salary"),VLOOKUP($C$2,Takstblad!$B$58:$L$70,5,FALSE)*F$58,0)),0)</f>
        <v>0</v>
      </c>
      <c r="W53" s="25">
        <f>IFERROR(IF($C$12=2,0,IF(OR($G$7="Salary and operations",$G$7="Salary"),VLOOKUP($C$2,Takstblad!$B$58:$L$70,6,FALSE)*G$58,0)),0)</f>
        <v>0</v>
      </c>
      <c r="X53" s="25">
        <f>IFERROR(IF($C$12=2,0,IF(OR($G$7="Salary and operations",$G$7="Salary"),VLOOKUP($C$2,Takstblad!$B$58:$L$70,7,FALSE)*H$58,0)),0)</f>
        <v>0</v>
      </c>
      <c r="Y53" s="25">
        <f>IFERROR(IF($C$12=2,0,IF(OR($G$7="salary and operations",$G$7="Salary"),VLOOKUP($C$2,Takstblad!$B$58:$L$70,8,FALSE)*I$58,0)),0)</f>
        <v>0</v>
      </c>
      <c r="Z53" s="25">
        <f>IFERROR(IF($C$12=2,0,IF(OR($G$7="salary and operations",$G$7="Salary"),VLOOKUP($C$2,Takstblad!$B$58:$L$70,9,FALSE)*J$58,0)),0)</f>
        <v>0</v>
      </c>
      <c r="AA53" s="25">
        <f>IFERROR(IF($C$12=2,0,IF(OR($G$7="salary and operations",$G$7="Salary"),VLOOKUP($C$2,Takstblad!$B$58:$L$70,10,FALSE)*K$58,0)),0)</f>
        <v>0</v>
      </c>
      <c r="AB53" s="25">
        <f>IFERROR(IF($C$12=2,0,IF(OR($G$7="salary and operations",$G$7="Salary"),VLOOKUP($C$2,Takstblad!$B$58:$L$70,11,FALSE)*L$58,0)),0)</f>
        <v>0</v>
      </c>
      <c r="AC53" s="21">
        <f t="shared" si="71"/>
        <v>0</v>
      </c>
      <c r="AD53" s="221"/>
      <c r="AE53" s="25">
        <f>+M53*($C$7/12)</f>
        <v>0</v>
      </c>
      <c r="AF53" s="25">
        <f t="shared" si="57"/>
        <v>0</v>
      </c>
      <c r="AG53" s="7"/>
      <c r="AH53" s="25">
        <f t="shared" si="58"/>
        <v>0</v>
      </c>
      <c r="AI53" s="25">
        <f t="shared" si="59"/>
        <v>0</v>
      </c>
      <c r="AJ53" s="7"/>
      <c r="AK53" s="25">
        <f t="shared" si="60"/>
        <v>0</v>
      </c>
      <c r="AL53" s="25">
        <f t="shared" si="61"/>
        <v>0</v>
      </c>
      <c r="AM53" s="221"/>
      <c r="AN53" s="25">
        <f t="shared" si="62"/>
        <v>0</v>
      </c>
      <c r="AO53" s="25">
        <f t="shared" si="63"/>
        <v>0</v>
      </c>
      <c r="AP53" s="221"/>
      <c r="AQ53" s="25">
        <f t="shared" si="64"/>
        <v>0</v>
      </c>
      <c r="AR53" s="25">
        <f t="shared" si="65"/>
        <v>0</v>
      </c>
      <c r="AS53" s="221"/>
      <c r="AT53" s="25">
        <f t="shared" si="66"/>
        <v>0</v>
      </c>
      <c r="AU53" s="25">
        <f t="shared" si="67"/>
        <v>0</v>
      </c>
      <c r="AV53" s="221"/>
      <c r="AW53" s="25">
        <f t="shared" si="68"/>
        <v>0</v>
      </c>
      <c r="AX53" s="25">
        <f t="shared" si="69"/>
        <v>0</v>
      </c>
      <c r="AY53" s="7"/>
      <c r="AZ53" s="25">
        <f t="shared" si="72"/>
        <v>0</v>
      </c>
      <c r="BA53" s="25">
        <f t="shared" si="73"/>
        <v>0</v>
      </c>
      <c r="BB53" s="7"/>
      <c r="BC53" s="25">
        <f t="shared" si="74"/>
        <v>0</v>
      </c>
      <c r="BD53" s="25">
        <f t="shared" si="75"/>
        <v>0</v>
      </c>
      <c r="BE53" s="7"/>
      <c r="BF53" s="25">
        <f t="shared" si="76"/>
        <v>0</v>
      </c>
      <c r="BG53" s="25">
        <f t="shared" si="77"/>
        <v>0</v>
      </c>
      <c r="BH53" s="7"/>
      <c r="BI53" s="25">
        <f t="shared" si="78"/>
        <v>0</v>
      </c>
      <c r="BJ53" s="25">
        <f t="shared" si="79"/>
        <v>0</v>
      </c>
      <c r="BK53" s="7"/>
      <c r="BL53" s="7"/>
      <c r="BM53" s="7"/>
      <c r="BN53" s="7"/>
    </row>
    <row r="54" spans="1:66" s="11" customFormat="1" ht="15.65" customHeight="1">
      <c r="A54" s="5" t="s">
        <v>232</v>
      </c>
      <c r="B54" s="4"/>
      <c r="C54" s="157">
        <f>IF($C$12=2,0,IF(OR($G$7="Salary and operations",$G$7="Salary"),S54/Takstblad!C57,0))</f>
        <v>0</v>
      </c>
      <c r="D54" s="157">
        <f>IF($C$12=2,0,IF(OR($G$7="Salary and operations",$G$7="Salary"),T54/Takstblad!D57,0))</f>
        <v>0</v>
      </c>
      <c r="E54" s="157">
        <f>IF($C$12=2,0,IF(OR($G$7="Salary and operations",$G$7="Salary"),U54/Takstblad!E57,0))</f>
        <v>0</v>
      </c>
      <c r="F54" s="157">
        <f>IF($C$12=2,0,IF(OR($G$7="Salary and operations",$G$7="Salary"),V54/Takstblad!F57,0))</f>
        <v>0</v>
      </c>
      <c r="G54" s="157">
        <f>IF($C$12=2,0,IF(OR($G$7="Salary and operations",$G$7="Salary"),W54/Takstblad!G57,0))</f>
        <v>0</v>
      </c>
      <c r="H54" s="157">
        <f>IF($C$12=2,0,IF(OR($G$7="Salary and operations",$G$7="Salary"),X54/Takstblad!H57,0))</f>
        <v>0</v>
      </c>
      <c r="I54" s="157">
        <f>IF($C$12=2,0,IF(OR($G$7="Salary and operations",$G$7="Salary"),Y54/Takstblad!I57,0))</f>
        <v>0</v>
      </c>
      <c r="J54" s="157">
        <f>IF($C$12=2,0,IF(OR($G$7="Salary and operations",$G$7="Salary"),Z54/Takstblad!J57,0))</f>
        <v>0</v>
      </c>
      <c r="K54" s="157">
        <f>IF($C$12=2,0,IF(OR($G$7="Salary and operations",$G$7="Salary"),AA54/Takstblad!K57,0))</f>
        <v>0</v>
      </c>
      <c r="L54" s="157">
        <f>IF($C$12=2,0,IF(OR($G$7="Salary and operations",$G$7="Salary"),AB54/Takstblad!L57,0))</f>
        <v>0</v>
      </c>
      <c r="M54" s="65">
        <f t="shared" si="70"/>
        <v>0</v>
      </c>
      <c r="N54" s="94"/>
      <c r="O54" s="159" t="s">
        <v>112</v>
      </c>
      <c r="Q54" s="27"/>
      <c r="R54" s="21">
        <f t="shared" si="55"/>
        <v>0</v>
      </c>
      <c r="S54" s="25">
        <f>IFERROR(IF($C$12=2,0,IF(OR($G$7="Salary and operations",$G$7="Salary"),VLOOKUP($C$2,Takstblad!$B$58:$L$70,2,FALSE)*C$59,0)),0)</f>
        <v>0</v>
      </c>
      <c r="T54" s="25">
        <f>IFERROR(IF($C$12=2,0,IF(OR($G$7="Salary and operations",$G$7="Salary"),VLOOKUP($C$2,Takstblad!$B$58:$L$70,3,FALSE)*D$59,0)),0)</f>
        <v>0</v>
      </c>
      <c r="U54" s="25">
        <f>IFERROR(IF($C$12=2,0,IF(OR($G$7="Salary and operations",$G$7="Salary"),VLOOKUP($C$2,Takstblad!$B$58:$L$70,4,FALSE)*E$59,0)),0)</f>
        <v>0</v>
      </c>
      <c r="V54" s="25">
        <f>IFERROR(IF($C$12=2,0,IF(OR($G$7="Salary and operations",$G$7="Salary"),VLOOKUP($C$2,Takstblad!$B$58:$L$70,5,FALSE)*F$59,0)),0)</f>
        <v>0</v>
      </c>
      <c r="W54" s="25">
        <f>IFERROR(IF($C$12=2,0,IF(OR($G$7="Salary and operations",$G$7="Salary"),VLOOKUP($C$2,Takstblad!$B$58:$L$70,6,FALSE)*G$59,0)),0)</f>
        <v>0</v>
      </c>
      <c r="X54" s="25">
        <f>IFERROR(IF($C$12=2,0,IF(OR($G$7="Salary and operations",$G$7="Salary"),VLOOKUP($C$2,Takstblad!$B$58:$L$70,7,FALSE)*H$59,0)),0)</f>
        <v>0</v>
      </c>
      <c r="Y54" s="25">
        <f>IFERROR(IF($C$12=2,0,IF(OR($G$7="salary and operations",$G$7="Salary"),VLOOKUP($C$2,Takstblad!$B$58:$L$70,8,FALSE)*I$59,0)),0)</f>
        <v>0</v>
      </c>
      <c r="Z54" s="25">
        <f>IFERROR(IF($C$12=2,0,IF(OR($G$7="salary and operations",$G$7="Salary"),VLOOKUP($C$2,Takstblad!$B$58:$L$70,9,FALSE)*J$59,0)),0)</f>
        <v>0</v>
      </c>
      <c r="AA54" s="25">
        <f>IFERROR(IF($C$12=2,0,IF(OR($G$7="salary and operations",$G$7="Salary"),VLOOKUP($C$2,Takstblad!$B$58:$L$70,10,FALSE)*K$59,0)),0)</f>
        <v>0</v>
      </c>
      <c r="AB54" s="25">
        <f>IFERROR(IF($C$12=2,0,IF(OR($G$7="salary and operations",$G$7="Salary"),VLOOKUP($C$2,Takstblad!$B$58:$L$70,11,FALSE)*L$59,0)),0)</f>
        <v>0</v>
      </c>
      <c r="AC54" s="21">
        <f t="shared" si="71"/>
        <v>0</v>
      </c>
      <c r="AD54" s="7"/>
      <c r="AE54" s="25">
        <f>+M54*($C$7/12)</f>
        <v>0</v>
      </c>
      <c r="AF54" s="25">
        <f>IFERROR(AC54/AE54,0)</f>
        <v>0</v>
      </c>
      <c r="AG54" s="7"/>
      <c r="AH54" s="25">
        <f>+C54*($C$7/12)</f>
        <v>0</v>
      </c>
      <c r="AI54" s="25">
        <f>IFERROR(S54/AH54,0)</f>
        <v>0</v>
      </c>
      <c r="AJ54" s="7"/>
      <c r="AK54" s="25">
        <f>+D54*($C$7/12)</f>
        <v>0</v>
      </c>
      <c r="AL54" s="25">
        <f>IFERROR(T54/AK54,0)</f>
        <v>0</v>
      </c>
      <c r="AM54" s="7"/>
      <c r="AN54" s="25">
        <f>+E54*($C$7/12)</f>
        <v>0</v>
      </c>
      <c r="AO54" s="25">
        <f>IFERROR(U54/AN54,0)</f>
        <v>0</v>
      </c>
      <c r="AP54" s="221"/>
      <c r="AQ54" s="25">
        <f>+F54*($C$7/12)</f>
        <v>0</v>
      </c>
      <c r="AR54" s="25">
        <f>IFERROR(V54/AQ54,0)</f>
        <v>0</v>
      </c>
      <c r="AS54" s="7"/>
      <c r="AT54" s="25">
        <f>+G54*($C$7/12)</f>
        <v>0</v>
      </c>
      <c r="AU54" s="25">
        <f>IFERROR(W54/AT54,0)</f>
        <v>0</v>
      </c>
      <c r="AV54" s="7"/>
      <c r="AW54" s="25">
        <f>+H54*($C$7/12)</f>
        <v>0</v>
      </c>
      <c r="AX54" s="25">
        <f>IFERROR(X54/AW54,0)</f>
        <v>0</v>
      </c>
      <c r="AY54" s="7"/>
      <c r="AZ54" s="25">
        <f>+I54*($C$7/12)</f>
        <v>0</v>
      </c>
      <c r="BA54" s="25">
        <f>IFERROR(Y54/AZ54,0)</f>
        <v>0</v>
      </c>
      <c r="BB54" s="7"/>
      <c r="BC54" s="25">
        <f>+J54*($C$7/12)</f>
        <v>0</v>
      </c>
      <c r="BD54" s="25">
        <f>IFERROR(Z54/BC54,0)</f>
        <v>0</v>
      </c>
      <c r="BE54" s="7"/>
      <c r="BF54" s="25">
        <f t="shared" si="76"/>
        <v>0</v>
      </c>
      <c r="BG54" s="25">
        <f t="shared" si="77"/>
        <v>0</v>
      </c>
      <c r="BH54" s="7"/>
      <c r="BI54" s="25">
        <f t="shared" si="78"/>
        <v>0</v>
      </c>
      <c r="BJ54" s="25">
        <f t="shared" si="79"/>
        <v>0</v>
      </c>
      <c r="BK54" s="7"/>
      <c r="BL54" s="7"/>
      <c r="BM54" s="7"/>
      <c r="BN54" s="7"/>
    </row>
    <row r="55" spans="1:66" ht="15.65" customHeight="1" thickBot="1">
      <c r="A55" s="5" t="s">
        <v>719</v>
      </c>
      <c r="B55" s="4"/>
      <c r="C55" s="160">
        <f>IF($C$10="Yes",((SUMIFS(C$20:C$29,$O$20:$O$29,Lister!$D$29,$A$20:$A$29,Takstblad!$A$18)+SUMIFS(C$20:C$29,$O$20:$O$29,Lister!$D$29,$A$20:$A$29,Takstblad!$A$19)+SUMIFS(C$20:C$29,$O$20:$O$29,Lister!$D$29,$A$20:$A$29,Takstblad!$A$20)+SUMIFS(C$20:C$29,$O$20:$O$29,Lister!$D$29,$A$20:$A$29,Takstblad!$A$21)+SUMIFS(C$20:C$29,$O$20:$O$29,Lister!$D$29,$A$20:$A$29,Takstblad!$A$22)+SUMIFS(C$20:C$29,$O$20:$O$29,Lister!$D$29,$A$20:$A$29,Takstblad!$A$23)+SUMIFS(C$20:C$29,$O$20:$O$29,Lister!$D$30,$A$20:$A$29,Takstblad!$A$18)+SUMIFS(C$20:C$29,$O$20:$O$29,Lister!$D$30,$A$20:$A$29,Takstblad!$A$19)+SUMIFS(C$20:C$29,$O$20:$O$29,Lister!$D$30,$A$20:$A$29,Takstblad!$A$20)+SUMIFS(C$20:C$29,$O$20:$O$29,Lister!$D$30,$A$20:$A$29,Takstblad!$A$21)+SUMIFS(C$20:C$29,$O$20:$O$29,Lister!$D$30,$A$20:$A$29,Takstblad!$A$22)+SUMIFS(C$20:C$29,$O$20:$O$29,Lister!$D$30,$A$20:$A$29,Takstblad!$A$23))/12)*0.5+((+SUMIF($O$43:$O$52,Lister!$D$29,C$43:C$52)-SUMIFS(C$43:C$52,$O$43:$O$52,Lister!$D$29,$A$43:$A$52,Takstblad!$A$34)-SUMIFS(C$43:C$52,$O$43:$O$52,Lister!$D$29,$A$43:$A$52,Takstblad!$A$36)-SUMIFS(C$43:C$52,$O$43:$O$52,Lister!$D$29,$A$43:$A$52,Takstblad!$A$43)-SUMIFS(C$43:C$52,$O$43:$O$52,Lister!$D$29,$A$43:$A$52,Takstblad!$A$44)+SUMIF($O$43:$O$52,Lister!$D$30,C$43:C$52)-SUMIFS(C$43:C$52,$O$43:$O$52,Lister!$D$30,$A$43:$A$52,Takstblad!$A$34)-SUMIFS(C$43:C$52,$O$43:$O$52,Lister!$D$30,$A$43:$A$52,Takstblad!$A$36)-SUMIFS(C$43:C$52,$O$43:$O$52,Lister!$D$30,$A$43:$A$52,Takstblad!$A$43)-SUMIFS(C$43:C$52,$O$43:$O$52,Lister!$D$30,$A$43:$A$52,Takstblad!$A$44))*0.3),0)</f>
        <v>0</v>
      </c>
      <c r="D55" s="160">
        <f>IF($C$10="Yes",((SUMIFS(D$20:D$29,$O$20:$O$29,Lister!$D$29,$A$20:$A$29,Takstblad!$A$18)+SUMIFS(D$20:D$29,$O$20:$O$29,Lister!$D$29,$A$20:$A$29,Takstblad!$A$19)+SUMIFS(D$20:D$29,$O$20:$O$29,Lister!$D$29,$A$20:$A$29,Takstblad!$A$20)+SUMIFS(D$20:D$29,$O$20:$O$29,Lister!$D$29,$A$20:$A$29,Takstblad!$A$21)+SUMIFS(D$20:D$29,$O$20:$O$29,Lister!$D$29,$A$20:$A$29,Takstblad!$A$22)+SUMIFS(D$20:D$29,$O$20:$O$29,Lister!$D$29,$A$20:$A$29,Takstblad!$A$23)+SUMIFS(D$20:D$29,$O$20:$O$29,Lister!$D$30,$A$20:$A$29,Takstblad!$A$18)+SUMIFS(D$20:D$29,$O$20:$O$29,Lister!$D$30,$A$20:$A$29,Takstblad!$A$19)+SUMIFS(D$20:D$29,$O$20:$O$29,Lister!$D$30,$A$20:$A$29,Takstblad!$A$20)+SUMIFS(D$20:D$29,$O$20:$O$29,Lister!$D$30,$A$20:$A$29,Takstblad!$A$21)+SUMIFS(D$20:D$29,$O$20:$O$29,Lister!$D$30,$A$20:$A$29,Takstblad!$A$22)+SUMIFS(D$20:D$29,$O$20:$O$29,Lister!$D$30,$A$20:$A$29,Takstblad!$A$23))/12)*0.5+((+SUMIF($O$43:$O$52,Lister!$D$29,D$43:D$52)-SUMIFS(D$43:D$52,$O$43:$O$52,Lister!$D$29,$A$43:$A$52,Takstblad!$A$34)-SUMIFS(D$43:D$52,$O$43:$O$52,Lister!$D$29,$A$43:$A$52,Takstblad!$A$36)-SUMIFS(D$43:D$52,$O$43:$O$52,Lister!$D$29,$A$43:$A$52,Takstblad!$A$43)-SUMIFS(D$43:D$52,$O$43:$O$52,Lister!$D$29,$A$43:$A$52,Takstblad!$A$44)+SUMIF($O$43:$O$52,Lister!$D$30,D$43:D$52)-SUMIFS(D$43:D$52,$O$43:$O$52,Lister!$D$30,$A$43:$A$52,Takstblad!$A$34)-SUMIFS(D$43:D$52,$O$43:$O$52,Lister!$D$30,$A$43:$A$52,Takstblad!$A$36)-SUMIFS(D$43:D$52,$O$43:$O$52,Lister!$D$30,$A$43:$A$52,Takstblad!$A$43)-SUMIFS(D$43:D$52,$O$43:$O$52,Lister!$D$30,$A$43:$A$52,Takstblad!$A$44))*0.3),0)</f>
        <v>0</v>
      </c>
      <c r="E55" s="160">
        <f>IF($C$10="Yes",((SUMIFS(E$20:E$29,$O$20:$O$29,Lister!$D$29,$A$20:$A$29,Takstblad!$A$18)+SUMIFS(E$20:E$29,$O$20:$O$29,Lister!$D$29,$A$20:$A$29,Takstblad!$A$19)+SUMIFS(E$20:E$29,$O$20:$O$29,Lister!$D$29,$A$20:$A$29,Takstblad!$A$20)+SUMIFS(E$20:E$29,$O$20:$O$29,Lister!$D$29,$A$20:$A$29,Takstblad!$A$21)+SUMIFS(E$20:E$29,$O$20:$O$29,Lister!$D$29,$A$20:$A$29,Takstblad!$A$22)+SUMIFS(E$20:E$29,$O$20:$O$29,Lister!$D$29,$A$20:$A$29,Takstblad!$A$23)+SUMIFS(E$20:E$29,$O$20:$O$29,Lister!$D$30,$A$20:$A$29,Takstblad!$A$18)+SUMIFS(E$20:E$29,$O$20:$O$29,Lister!$D$30,$A$20:$A$29,Takstblad!$A$19)+SUMIFS(E$20:E$29,$O$20:$O$29,Lister!$D$30,$A$20:$A$29,Takstblad!$A$20)+SUMIFS(E$20:E$29,$O$20:$O$29,Lister!$D$30,$A$20:$A$29,Takstblad!$A$21)+SUMIFS(E$20:E$29,$O$20:$O$29,Lister!$D$30,$A$20:$A$29,Takstblad!$A$22)+SUMIFS(E$20:E$29,$O$20:$O$29,Lister!$D$30,$A$20:$A$29,Takstblad!$A$23))/12)*0.5+((+SUMIF($O$43:$O$52,Lister!$D$29,E$43:E$52)-SUMIFS(E$43:E$52,$O$43:$O$52,Lister!$D$29,$A$43:$A$52,Takstblad!$A$34)-SUMIFS(E$43:E$52,$O$43:$O$52,Lister!$D$29,$A$43:$A$52,Takstblad!$A$36)-SUMIFS(E$43:E$52,$O$43:$O$52,Lister!$D$29,$A$43:$A$52,Takstblad!$A$43)-SUMIFS(E$43:E$52,$O$43:$O$52,Lister!$D$29,$A$43:$A$52,Takstblad!$A$44)+SUMIF($O$43:$O$52,Lister!$D$30,E$43:E$52)-SUMIFS(E$43:E$52,$O$43:$O$52,Lister!$D$30,$A$43:$A$52,Takstblad!$A$34)-SUMIFS(E$43:E$52,$O$43:$O$52,Lister!$D$30,$A$43:$A$52,Takstblad!$A$36)-SUMIFS(E$43:E$52,$O$43:$O$52,Lister!$D$30,$A$43:$A$52,Takstblad!$A$43)-SUMIFS(E$43:E$52,$O$43:$O$52,Lister!$D$30,$A$43:$A$52,Takstblad!$A$44))*0.3),0)</f>
        <v>0</v>
      </c>
      <c r="F55" s="160">
        <f>IF($C$10="Yes",((SUMIFS(F$20:F$29,$O$20:$O$29,Lister!$D$29,$A$20:$A$29,Takstblad!$A$18)+SUMIFS(F$20:F$29,$O$20:$O$29,Lister!$D$29,$A$20:$A$29,Takstblad!$A$19)+SUMIFS(F$20:F$29,$O$20:$O$29,Lister!$D$29,$A$20:$A$29,Takstblad!$A$20)+SUMIFS(F$20:F$29,$O$20:$O$29,Lister!$D$29,$A$20:$A$29,Takstblad!$A$21)+SUMIFS(F$20:F$29,$O$20:$O$29,Lister!$D$29,$A$20:$A$29,Takstblad!$A$22)+SUMIFS(F$20:F$29,$O$20:$O$29,Lister!$D$29,$A$20:$A$29,Takstblad!$A$23)+SUMIFS(F$20:F$29,$O$20:$O$29,Lister!$D$30,$A$20:$A$29,Takstblad!$A$18)+SUMIFS(F$20:F$29,$O$20:$O$29,Lister!$D$30,$A$20:$A$29,Takstblad!$A$19)+SUMIFS(F$20:F$29,$O$20:$O$29,Lister!$D$30,$A$20:$A$29,Takstblad!$A$20)+SUMIFS(F$20:F$29,$O$20:$O$29,Lister!$D$30,$A$20:$A$29,Takstblad!$A$21)+SUMIFS(F$20:F$29,$O$20:$O$29,Lister!$D$30,$A$20:$A$29,Takstblad!$A$22)+SUMIFS(F$20:F$29,$O$20:$O$29,Lister!$D$30,$A$20:$A$29,Takstblad!$A$23))/12)*0.5+((+SUMIF($O$43:$O$52,Lister!$D$29,F$43:F$52)-SUMIFS(F$43:F$52,$O$43:$O$52,Lister!$D$29,$A$43:$A$52,Takstblad!$A$34)-SUMIFS(F$43:F$52,$O$43:$O$52,Lister!$D$29,$A$43:$A$52,Takstblad!$A$36)-SUMIFS(F$43:F$52,$O$43:$O$52,Lister!$D$29,$A$43:$A$52,Takstblad!$A$43)-SUMIFS(F$43:F$52,$O$43:$O$52,Lister!$D$29,$A$43:$A$52,Takstblad!$A$44)+SUMIF($O$43:$O$52,Lister!$D$30,F$43:F$52)-SUMIFS(F$43:F$52,$O$43:$O$52,Lister!$D$30,$A$43:$A$52,Takstblad!$A$34)-SUMIFS(F$43:F$52,$O$43:$O$52,Lister!$D$30,$A$43:$A$52,Takstblad!$A$36)-SUMIFS(F$43:F$52,$O$43:$O$52,Lister!$D$30,$A$43:$A$52,Takstblad!$A$43)-SUMIFS(F$43:F$52,$O$43:$O$52,Lister!$D$30,$A$43:$A$52,Takstblad!$A$44))*0.3),0)</f>
        <v>0</v>
      </c>
      <c r="G55" s="160">
        <f>IF($C$10="Yes",((SUMIFS(G$20:G$29,$O$20:$O$29,Lister!$D$29,$A$20:$A$29,Takstblad!$A$18)+SUMIFS(G$20:G$29,$O$20:$O$29,Lister!$D$29,$A$20:$A$29,Takstblad!$A$19)+SUMIFS(G$20:G$29,$O$20:$O$29,Lister!$D$29,$A$20:$A$29,Takstblad!$A$20)+SUMIFS(G$20:G$29,$O$20:$O$29,Lister!$D$29,$A$20:$A$29,Takstblad!$A$21)+SUMIFS(G$20:G$29,$O$20:$O$29,Lister!$D$29,$A$20:$A$29,Takstblad!$A$22)+SUMIFS(G$20:G$29,$O$20:$O$29,Lister!$D$29,$A$20:$A$29,Takstblad!$A$23)+SUMIFS(G$20:G$29,$O$20:$O$29,Lister!$D$30,$A$20:$A$29,Takstblad!$A$18)+SUMIFS(G$20:G$29,$O$20:$O$29,Lister!$D$30,$A$20:$A$29,Takstblad!$A$19)+SUMIFS(G$20:G$29,$O$20:$O$29,Lister!$D$30,$A$20:$A$29,Takstblad!$A$20)+SUMIFS(G$20:G$29,$O$20:$O$29,Lister!$D$30,$A$20:$A$29,Takstblad!$A$21)+SUMIFS(G$20:G$29,$O$20:$O$29,Lister!$D$30,$A$20:$A$29,Takstblad!$A$22)+SUMIFS(G$20:G$29,$O$20:$O$29,Lister!$D$30,$A$20:$A$29,Takstblad!$A$23))/12)*0.5+((+SUMIF($O$43:$O$52,Lister!$D$29,G$43:G$52)-SUMIFS(G$43:G$52,$O$43:$O$52,Lister!$D$29,$A$43:$A$52,Takstblad!$A$34)-SUMIFS(G$43:G$52,$O$43:$O$52,Lister!$D$29,$A$43:$A$52,Takstblad!$A$36)-SUMIFS(G$43:G$52,$O$43:$O$52,Lister!$D$29,$A$43:$A$52,Takstblad!$A$43)-SUMIFS(G$43:G$52,$O$43:$O$52,Lister!$D$29,$A$43:$A$52,Takstblad!$A$44)+SUMIF($O$43:$O$52,Lister!$D$30,G$43:G$52)-SUMIFS(G$43:G$52,$O$43:$O$52,Lister!$D$30,$A$43:$A$52,Takstblad!$A$34)-SUMIFS(G$43:G$52,$O$43:$O$52,Lister!$D$30,$A$43:$A$52,Takstblad!$A$36)-SUMIFS(G$43:G$52,$O$43:$O$52,Lister!$D$30,$A$43:$A$52,Takstblad!$A$43)-SUMIFS(G$43:G$52,$O$43:$O$52,Lister!$D$30,$A$43:$A$52,Takstblad!$A$44))*0.3),0)</f>
        <v>0</v>
      </c>
      <c r="H55" s="160">
        <f>IF($C$10="Yes",((SUMIFS(H$20:H$29,$O$20:$O$29,Lister!$D$29,$A$20:$A$29,Takstblad!$A$18)+SUMIFS(H$20:H$29,$O$20:$O$29,Lister!$D$29,$A$20:$A$29,Takstblad!$A$19)+SUMIFS(H$20:H$29,$O$20:$O$29,Lister!$D$29,$A$20:$A$29,Takstblad!$A$20)+SUMIFS(H$20:H$29,$O$20:$O$29,Lister!$D$29,$A$20:$A$29,Takstblad!$A$21)+SUMIFS(H$20:H$29,$O$20:$O$29,Lister!$D$29,$A$20:$A$29,Takstblad!$A$22)+SUMIFS(H$20:H$29,$O$20:$O$29,Lister!$D$29,$A$20:$A$29,Takstblad!$A$23)+SUMIFS(H$20:H$29,$O$20:$O$29,Lister!$D$30,$A$20:$A$29,Takstblad!$A$18)+SUMIFS(H$20:H$29,$O$20:$O$29,Lister!$D$30,$A$20:$A$29,Takstblad!$A$19)+SUMIFS(H$20:H$29,$O$20:$O$29,Lister!$D$30,$A$20:$A$29,Takstblad!$A$20)+SUMIFS(H$20:H$29,$O$20:$O$29,Lister!$D$30,$A$20:$A$29,Takstblad!$A$21)+SUMIFS(H$20:H$29,$O$20:$O$29,Lister!$D$30,$A$20:$A$29,Takstblad!$A$22)+SUMIFS(H$20:H$29,$O$20:$O$29,Lister!$D$30,$A$20:$A$29,Takstblad!$A$23))/12)*0.5+((+SUMIF($O$43:$O$52,Lister!$D$29,H$43:H$52)-SUMIFS(H$43:H$52,$O$43:$O$52,Lister!$D$29,$A$43:$A$52,Takstblad!$A$34)-SUMIFS(H$43:H$52,$O$43:$O$52,Lister!$D$29,$A$43:$A$52,Takstblad!$A$36)-SUMIFS(H$43:H$52,$O$43:$O$52,Lister!$D$29,$A$43:$A$52,Takstblad!$A$43)-SUMIFS(H$43:H$52,$O$43:$O$52,Lister!$D$29,$A$43:$A$52,Takstblad!$A$44)+SUMIF($O$43:$O$52,Lister!$D$30,H$43:H$52)-SUMIFS(H$43:H$52,$O$43:$O$52,Lister!$D$30,$A$43:$A$52,Takstblad!$A$34)-SUMIFS(H$43:H$52,$O$43:$O$52,Lister!$D$30,$A$43:$A$52,Takstblad!$A$36)-SUMIFS(H$43:H$52,$O$43:$O$52,Lister!$D$30,$A$43:$A$52,Takstblad!$A$43)-SUMIFS(H$43:H$52,$O$43:$O$52,Lister!$D$30,$A$43:$A$52,Takstblad!$A$44))*0.3),0)</f>
        <v>0</v>
      </c>
      <c r="I55" s="161">
        <f>IF($C$10="Yes",((SUMIFS(I$20:I$29,$O$20:$O$29,Lister!$D$29,$A$20:$A$29,Takstblad!$A$18)+SUMIFS(I$20:I$29,$O$20:$O$29,Lister!$D$29,$A$20:$A$29,Takstblad!$A$19)+SUMIFS(I$20:I$29,$O$20:$O$29,Lister!$D$29,$A$20:$A$29,Takstblad!$A$20)+SUMIFS(I$20:I$29,$O$20:$O$29,Lister!$D$29,$A$20:$A$29,Takstblad!$A$21)+SUMIFS(I$20:I$29,$O$20:$O$29,Lister!$D$29,$A$20:$A$29,Takstblad!$A$22)+SUMIFS(I$20:I$29,$O$20:$O$29,Lister!$D$29,$A$20:$A$29,Takstblad!$A$23)+SUMIFS(I$20:I$29,$O$20:$O$29,Lister!$D$30,$A$20:$A$29,Takstblad!$A$18)+SUMIFS(I$20:I$29,$O$20:$O$29,Lister!$D$30,$A$20:$A$29,Takstblad!$A$19)+SUMIFS(I$20:I$29,$O$20:$O$29,Lister!$D$30,$A$20:$A$29,Takstblad!$A$20)+SUMIFS(I$20:I$29,$O$20:$O$29,Lister!$D$30,$A$20:$A$29,Takstblad!$A$21)+SUMIFS(I$20:I$29,$O$20:$O$29,Lister!$D$30,$A$20:$A$29,Takstblad!$A$22)+SUMIFS(I$20:I$29,$O$20:$O$29,Lister!$D$30,$A$20:$A$29,Takstblad!$A$23))/12)*0.5+((+SUMIF($O$43:$O$52,Lister!$D$29,I$43:I$52)-SUMIFS(I$43:I$52,$O$43:$O$52,Lister!$D$29,$A$43:$A$52,Takstblad!$A$34)-SUMIFS(I$43:I$52,$O$43:$O$52,Lister!$D$29,$A$43:$A$52,Takstblad!$A$36)-SUMIFS(I$43:I$52,$O$43:$O$52,Lister!$D$29,$A$43:$A$52,Takstblad!$A$43)-SUMIFS(I$43:I$52,$O$43:$O$52,Lister!$D$29,$A$43:$A$52,Takstblad!$A$44)+SUMIF($O$43:$O$52,Lister!$D$30,I$43:I$52)-SUMIFS(I$43:I$52,$O$43:$O$52,Lister!$D$30,$A$43:$A$52,Takstblad!$A$34)-SUMIFS(I$43:I$52,$O$43:$O$52,Lister!$D$30,$A$43:$A$52,Takstblad!$A$36)-SUMIFS(I$43:I$52,$O$43:$O$52,Lister!$D$30,$A$43:$A$52,Takstblad!$A$43)-SUMIFS(I$43:I$52,$O$43:$O$52,Lister!$D$30,$A$43:$A$52,Takstblad!$A$44))*0.3),0)</f>
        <v>0</v>
      </c>
      <c r="J55" s="161">
        <f>IF($C$10="Yes",((SUMIFS(J$20:J$29,$O$20:$O$29,Lister!$D$29,$A$20:$A$29,Takstblad!$A$18)+SUMIFS(J$20:J$29,$O$20:$O$29,Lister!$D$29,$A$20:$A$29,Takstblad!$A$19)+SUMIFS(J$20:J$29,$O$20:$O$29,Lister!$D$29,$A$20:$A$29,Takstblad!$A$20)+SUMIFS(J$20:J$29,$O$20:$O$29,Lister!$D$29,$A$20:$A$29,Takstblad!$A$21)+SUMIFS(J$20:J$29,$O$20:$O$29,Lister!$D$29,$A$20:$A$29,Takstblad!$A$22)+SUMIFS(J$20:J$29,$O$20:$O$29,Lister!$D$29,$A$20:$A$29,Takstblad!$A$23)+SUMIFS(J$20:J$29,$O$20:$O$29,Lister!$D$30,$A$20:$A$29,Takstblad!$A$18)+SUMIFS(J$20:J$29,$O$20:$O$29,Lister!$D$30,$A$20:$A$29,Takstblad!$A$19)+SUMIFS(J$20:J$29,$O$20:$O$29,Lister!$D$30,$A$20:$A$29,Takstblad!$A$20)+SUMIFS(J$20:J$29,$O$20:$O$29,Lister!$D$30,$A$20:$A$29,Takstblad!$A$21)+SUMIFS(J$20:J$29,$O$20:$O$29,Lister!$D$30,$A$20:$A$29,Takstblad!$A$22)+SUMIFS(J$20:J$29,$O$20:$O$29,Lister!$D$30,$A$20:$A$29,Takstblad!$A$23))/12)*0.5+((+SUMIF($O$43:$O$52,Lister!$D$29,J$43:J$52)-SUMIFS(J$43:J$52,$O$43:$O$52,Lister!$D$29,$A$43:$A$52,Takstblad!$A$34)-SUMIFS(J$43:J$52,$O$43:$O$52,Lister!$D$29,$A$43:$A$52,Takstblad!$A$36)-SUMIFS(J$43:J$52,$O$43:$O$52,Lister!$D$29,$A$43:$A$52,Takstblad!$A$43)-SUMIFS(J$43:J$52,$O$43:$O$52,Lister!$D$29,$A$43:$A$52,Takstblad!$A$44)+SUMIF($O$43:$O$52,Lister!$D$30,J$43:J$52)-SUMIFS(J$43:J$52,$O$43:$O$52,Lister!$D$30,$A$43:$A$52,Takstblad!$A$34)-SUMIFS(J$43:J$52,$O$43:$O$52,Lister!$D$30,$A$43:$A$52,Takstblad!$A$36)-SUMIFS(J$43:J$52,$O$43:$O$52,Lister!$D$30,$A$43:$A$52,Takstblad!$A$43)-SUMIFS(J$43:J$52,$O$43:$O$52,Lister!$D$30,$A$43:$A$52,Takstblad!$A$44))*0.3),0)</f>
        <v>0</v>
      </c>
      <c r="K55" s="161">
        <f>IF($C$10="Yes",((SUMIFS(K$20:K$29,$O$20:$O$29,Lister!$D$29,$A$20:$A$29,Takstblad!$A$18)+SUMIFS(K$20:K$29,$O$20:$O$29,Lister!$D$29,$A$20:$A$29,Takstblad!$A$19)+SUMIFS(K$20:K$29,$O$20:$O$29,Lister!$D$29,$A$20:$A$29,Takstblad!$A$20)+SUMIFS(K$20:K$29,$O$20:$O$29,Lister!$D$29,$A$20:$A$29,Takstblad!$A$21)+SUMIFS(K$20:K$29,$O$20:$O$29,Lister!$D$29,$A$20:$A$29,Takstblad!$A$22)+SUMIFS(K$20:K$29,$O$20:$O$29,Lister!$D$29,$A$20:$A$29,Takstblad!$A$23)+SUMIFS(K$20:K$29,$O$20:$O$29,Lister!$D$30,$A$20:$A$29,Takstblad!$A$18)+SUMIFS(K$20:K$29,$O$20:$O$29,Lister!$D$30,$A$20:$A$29,Takstblad!$A$19)+SUMIFS(K$20:K$29,$O$20:$O$29,Lister!$D$30,$A$20:$A$29,Takstblad!$A$20)+SUMIFS(K$20:K$29,$O$20:$O$29,Lister!$D$30,$A$20:$A$29,Takstblad!$A$21)+SUMIFS(K$20:K$29,$O$20:$O$29,Lister!$D$30,$A$20:$A$29,Takstblad!$A$22)+SUMIFS(K$20:K$29,$O$20:$O$29,Lister!$D$30,$A$20:$A$29,Takstblad!$A$23))/12)*0.5+((+SUMIF($O$43:$O$52,Lister!$D$29,K$43:K$52)-SUMIFS(K$43:K$52,$O$43:$O$52,Lister!$D$29,$A$43:$A$52,Takstblad!$A$34)-SUMIFS(K$43:K$52,$O$43:$O$52,Lister!$D$29,$A$43:$A$52,Takstblad!$A$36)-SUMIFS(K$43:K$52,$O$43:$O$52,Lister!$D$29,$A$43:$A$52,Takstblad!$A$43)-SUMIFS(K$43:K$52,$O$43:$O$52,Lister!$D$29,$A$43:$A$52,Takstblad!$A$44)+SUMIF($O$43:$O$52,Lister!$D$30,K$43:K$52)-SUMIFS(K$43:K$52,$O$43:$O$52,Lister!$D$30,$A$43:$A$52,Takstblad!$A$34)-SUMIFS(K$43:K$52,$O$43:$O$52,Lister!$D$30,$A$43:$A$52,Takstblad!$A$36)-SUMIFS(K$43:K$52,$O$43:$O$52,Lister!$D$30,$A$43:$A$52,Takstblad!$A$43)-SUMIFS(K$43:K$52,$O$43:$O$52,Lister!$D$30,$A$43:$A$52,Takstblad!$A$44))*0.3),0)</f>
        <v>0</v>
      </c>
      <c r="L55" s="161">
        <f>IF($C$10="Yes",((SUMIFS(L$20:L$29,$O$20:$O$29,Lister!$D$29,$A$20:$A$29,Takstblad!$A$18)+SUMIFS(L$20:L$29,$O$20:$O$29,Lister!$D$29,$A$20:$A$29,Takstblad!$A$19)+SUMIFS(L$20:L$29,$O$20:$O$29,Lister!$D$29,$A$20:$A$29,Takstblad!$A$20)+SUMIFS(L$20:L$29,$O$20:$O$29,Lister!$D$29,$A$20:$A$29,Takstblad!$A$21)+SUMIFS(L$20:L$29,$O$20:$O$29,Lister!$D$29,$A$20:$A$29,Takstblad!$A$22)+SUMIFS(L$20:L$29,$O$20:$O$29,Lister!$D$29,$A$20:$A$29,Takstblad!$A$23)+SUMIFS(L$20:L$29,$O$20:$O$29,Lister!$D$30,$A$20:$A$29,Takstblad!$A$18)+SUMIFS(L$20:L$29,$O$20:$O$29,Lister!$D$30,$A$20:$A$29,Takstblad!$A$19)+SUMIFS(L$20:L$29,$O$20:$O$29,Lister!$D$30,$A$20:$A$29,Takstblad!$A$20)+SUMIFS(L$20:L$29,$O$20:$O$29,Lister!$D$30,$A$20:$A$29,Takstblad!$A$21)+SUMIFS(L$20:L$29,$O$20:$O$29,Lister!$D$30,$A$20:$A$29,Takstblad!$A$22)+SUMIFS(L$20:L$29,$O$20:$O$29,Lister!$D$30,$A$20:$A$29,Takstblad!$A$23))/12)*0.5+((+SUMIF($O$43:$O$52,Lister!$D$29,L$43:L$52)-SUMIFS(L$43:L$52,$O$43:$O$52,Lister!$D$29,$A$43:$A$52,Takstblad!$A$34)-SUMIFS(L$43:L$52,$O$43:$O$52,Lister!$D$29,$A$43:$A$52,Takstblad!$A$36)-SUMIFS(L$43:L$52,$O$43:$O$52,Lister!$D$29,$A$43:$A$52,Takstblad!$A$43)-SUMIFS(L$43:L$52,$O$43:$O$52,Lister!$D$29,$A$43:$A$52,Takstblad!$A$44)+SUMIF($O$43:$O$52,Lister!$D$30,L$43:L$52)-SUMIFS(L$43:L$52,$O$43:$O$52,Lister!$D$30,$A$43:$A$52,Takstblad!$A$34)-SUMIFS(L$43:L$52,$O$43:$O$52,Lister!$D$30,$A$43:$A$52,Takstblad!$A$36)-SUMIFS(L$43:L$52,$O$43:$O$52,Lister!$D$30,$A$43:$A$52,Takstblad!$A$43)-SUMIFS(L$43:L$52,$O$43:$O$52,Lister!$D$30,$A$43:$A$52,Takstblad!$A$44))*0.3),0)</f>
        <v>0</v>
      </c>
      <c r="M55" s="65">
        <f t="shared" si="70"/>
        <v>0</v>
      </c>
      <c r="N55" s="162"/>
      <c r="O55" s="159" t="s">
        <v>152</v>
      </c>
      <c r="P55" s="11"/>
      <c r="Q55" s="27"/>
      <c r="R55" s="202">
        <f t="shared" si="55"/>
        <v>0</v>
      </c>
      <c r="S55" s="25">
        <f>+C55*Takstblad!C39</f>
        <v>0</v>
      </c>
      <c r="T55" s="25">
        <f>+D55*Takstblad!D39</f>
        <v>0</v>
      </c>
      <c r="U55" s="25">
        <f>+E55*Takstblad!E39</f>
        <v>0</v>
      </c>
      <c r="V55" s="25">
        <f>+F55*Takstblad!F39</f>
        <v>0</v>
      </c>
      <c r="W55" s="25">
        <f>+G55*Takstblad!G39</f>
        <v>0</v>
      </c>
      <c r="X55" s="25">
        <f>+H55*Takstblad!H39</f>
        <v>0</v>
      </c>
      <c r="Y55" s="25">
        <f>+I55*Takstblad!I39</f>
        <v>0</v>
      </c>
      <c r="Z55" s="25">
        <f>+J55*Takstblad!J39</f>
        <v>0</v>
      </c>
      <c r="AA55" s="25">
        <f>+K55*Takstblad!K39</f>
        <v>0</v>
      </c>
      <c r="AB55" s="25">
        <f>+L55*Takstblad!L39</f>
        <v>0</v>
      </c>
      <c r="AC55" s="25">
        <f t="shared" si="71"/>
        <v>0</v>
      </c>
      <c r="AE55" s="25">
        <f>+M55*($C$7/12)</f>
        <v>0</v>
      </c>
      <c r="AF55" s="25">
        <f>IFERROR(AC55/AE55,0)</f>
        <v>0</v>
      </c>
      <c r="AH55" s="25">
        <f>+C55*($C$7/12)</f>
        <v>0</v>
      </c>
      <c r="AI55" s="25">
        <f>IFERROR(S55/AH55,0)</f>
        <v>0</v>
      </c>
      <c r="AK55" s="25">
        <f>+D55*($C$7/12)</f>
        <v>0</v>
      </c>
      <c r="AL55" s="25">
        <f>IFERROR(T55/AK55,0)</f>
        <v>0</v>
      </c>
      <c r="AN55" s="25">
        <f>+E55*($C$7/12)</f>
        <v>0</v>
      </c>
      <c r="AO55" s="25">
        <f>IFERROR(U55/AN55,0)</f>
        <v>0</v>
      </c>
      <c r="AQ55" s="25">
        <f>+F55*($C$7/12)</f>
        <v>0</v>
      </c>
      <c r="AR55" s="25">
        <f>IFERROR(V55/AQ55,0)</f>
        <v>0</v>
      </c>
      <c r="AT55" s="25">
        <f>+G55*($C$7/12)</f>
        <v>0</v>
      </c>
      <c r="AU55" s="25">
        <f>IFERROR(W55/AT55,0)</f>
        <v>0</v>
      </c>
      <c r="AW55" s="25">
        <f>+H55*($C$7/12)</f>
        <v>0</v>
      </c>
      <c r="AX55" s="25">
        <f>IFERROR(X55/AW55,0)</f>
        <v>0</v>
      </c>
      <c r="AZ55" s="25">
        <f>+I55*($C$7/12)</f>
        <v>0</v>
      </c>
      <c r="BA55" s="25">
        <f>IFERROR(Y55/AZ55,0)</f>
        <v>0</v>
      </c>
      <c r="BC55" s="25">
        <f>+J55*($C$7/12)</f>
        <v>0</v>
      </c>
      <c r="BD55" s="25">
        <f>IFERROR(Z55/BC55,0)</f>
        <v>0</v>
      </c>
      <c r="BF55" s="25">
        <f t="shared" si="76"/>
        <v>0</v>
      </c>
      <c r="BG55" s="25">
        <f t="shared" si="77"/>
        <v>0</v>
      </c>
      <c r="BI55" s="25">
        <f t="shared" si="78"/>
        <v>0</v>
      </c>
      <c r="BJ55" s="25">
        <f t="shared" si="79"/>
        <v>0</v>
      </c>
    </row>
    <row r="56" spans="1:66" ht="15.65" customHeight="1" thickBot="1">
      <c r="A56" s="4" t="s">
        <v>71</v>
      </c>
      <c r="B56" s="4"/>
      <c r="C56" s="12">
        <f t="shared" ref="C56:J56" si="80">SUM(C43:C55)</f>
        <v>0</v>
      </c>
      <c r="D56" s="12">
        <f t="shared" si="80"/>
        <v>0</v>
      </c>
      <c r="E56" s="12">
        <f t="shared" si="80"/>
        <v>0</v>
      </c>
      <c r="F56" s="12">
        <f t="shared" si="80"/>
        <v>0</v>
      </c>
      <c r="G56" s="12">
        <f t="shared" si="80"/>
        <v>0</v>
      </c>
      <c r="H56" s="12">
        <f t="shared" si="80"/>
        <v>0</v>
      </c>
      <c r="I56" s="12">
        <f t="shared" si="80"/>
        <v>0</v>
      </c>
      <c r="J56" s="12">
        <f t="shared" si="80"/>
        <v>0</v>
      </c>
      <c r="K56" s="12">
        <f>SUM(K43:K55)</f>
        <v>0</v>
      </c>
      <c r="L56" s="12">
        <f>SUM(L43:L55)</f>
        <v>0</v>
      </c>
      <c r="M56" s="12">
        <f t="shared" si="70"/>
        <v>0</v>
      </c>
      <c r="N56" s="12"/>
      <c r="O56" s="48"/>
      <c r="P56" s="48"/>
      <c r="Q56" s="23" t="s">
        <v>75</v>
      </c>
      <c r="R56" s="46">
        <f t="shared" si="55"/>
        <v>0</v>
      </c>
      <c r="S56" s="22">
        <f t="shared" ref="S56:Z56" si="81">SUM(S43:S55)</f>
        <v>0</v>
      </c>
      <c r="T56" s="22">
        <f t="shared" si="81"/>
        <v>0</v>
      </c>
      <c r="U56" s="22">
        <f t="shared" si="81"/>
        <v>0</v>
      </c>
      <c r="V56" s="22">
        <f t="shared" si="81"/>
        <v>0</v>
      </c>
      <c r="W56" s="22">
        <f t="shared" si="81"/>
        <v>0</v>
      </c>
      <c r="X56" s="22">
        <f t="shared" si="81"/>
        <v>0</v>
      </c>
      <c r="Y56" s="51">
        <f t="shared" si="81"/>
        <v>0</v>
      </c>
      <c r="Z56" s="51">
        <f t="shared" si="81"/>
        <v>0</v>
      </c>
      <c r="AA56" s="51">
        <f>SUM(AA43:AA55)</f>
        <v>0</v>
      </c>
      <c r="AB56" s="51">
        <f>SUM(AB43:AB55)</f>
        <v>0</v>
      </c>
      <c r="AC56" s="46">
        <f t="shared" si="71"/>
        <v>0</v>
      </c>
      <c r="AE56" s="22">
        <f>SUM(AE43:AE55)</f>
        <v>0</v>
      </c>
      <c r="AF56" s="13">
        <f>IFERROR(AC56/AE56,0)</f>
        <v>0</v>
      </c>
      <c r="AH56" s="22">
        <f>SUM(AH43:AH55)</f>
        <v>0</v>
      </c>
      <c r="AI56" s="13">
        <f t="shared" si="59"/>
        <v>0</v>
      </c>
      <c r="AK56" s="22">
        <f>SUM(AK43:AK55)</f>
        <v>0</v>
      </c>
      <c r="AL56" s="13">
        <f t="shared" si="61"/>
        <v>0</v>
      </c>
      <c r="AN56" s="22">
        <f>SUM(AN43:AN55)</f>
        <v>0</v>
      </c>
      <c r="AO56" s="13">
        <f t="shared" si="63"/>
        <v>0</v>
      </c>
      <c r="AQ56" s="22">
        <f>SUM(AQ43:AQ55)</f>
        <v>0</v>
      </c>
      <c r="AR56" s="13">
        <f t="shared" si="65"/>
        <v>0</v>
      </c>
      <c r="AT56" s="22">
        <f>SUM(AT43:AT55)</f>
        <v>0</v>
      </c>
      <c r="AU56" s="13">
        <f t="shared" si="67"/>
        <v>0</v>
      </c>
      <c r="AW56" s="22">
        <f>SUM(AW43:AW55)</f>
        <v>0</v>
      </c>
      <c r="AX56" s="13">
        <f t="shared" si="69"/>
        <v>0</v>
      </c>
      <c r="AZ56" s="22">
        <f>SUM(AZ43:AZ55)</f>
        <v>0</v>
      </c>
      <c r="BA56" s="13">
        <f t="shared" si="73"/>
        <v>0</v>
      </c>
      <c r="BC56" s="22">
        <f>SUM(BC43:BC55)</f>
        <v>0</v>
      </c>
      <c r="BD56" s="13">
        <f t="shared" si="75"/>
        <v>0</v>
      </c>
      <c r="BF56" s="22">
        <f>SUM(BF43:BF55)</f>
        <v>0</v>
      </c>
      <c r="BG56" s="13">
        <f>IFERROR(AC56/BF56,0)</f>
        <v>0</v>
      </c>
      <c r="BI56" s="22">
        <f>SUM(BI43:BI55)</f>
        <v>0</v>
      </c>
      <c r="BJ56" s="13">
        <f>IFERROR(AF56/BI56,0)</f>
        <v>0</v>
      </c>
      <c r="BK56" s="70"/>
      <c r="BL56" s="70"/>
      <c r="BM56" s="70"/>
    </row>
    <row r="57" spans="1:66" ht="15.65" customHeight="1">
      <c r="A57" s="9"/>
      <c r="B57" s="48"/>
      <c r="C57" s="48"/>
      <c r="D57" s="48"/>
      <c r="E57" s="48"/>
      <c r="F57" s="48"/>
      <c r="G57" s="48"/>
      <c r="H57" s="48"/>
      <c r="I57" s="48"/>
      <c r="J57" s="48"/>
      <c r="K57" s="48"/>
      <c r="L57" s="48"/>
      <c r="M57" s="48"/>
      <c r="N57" s="48"/>
      <c r="O57" s="48"/>
      <c r="P57" s="48"/>
      <c r="Q57" s="23"/>
      <c r="R57" s="5"/>
      <c r="S57" s="4"/>
      <c r="T57" s="4"/>
      <c r="U57" s="4"/>
      <c r="V57" s="4"/>
      <c r="W57" s="4"/>
      <c r="X57" s="4"/>
      <c r="Y57" s="4"/>
      <c r="Z57" s="4"/>
      <c r="AA57" s="4"/>
      <c r="AB57" s="4"/>
      <c r="AC57" s="5"/>
      <c r="AD57" s="70"/>
      <c r="AE57" s="76"/>
      <c r="AF57" s="76"/>
      <c r="AG57" s="70"/>
      <c r="AH57" s="77"/>
      <c r="AI57" s="70"/>
      <c r="AJ57" s="70"/>
      <c r="AK57" s="70"/>
      <c r="AL57" s="70"/>
      <c r="AM57" s="70"/>
      <c r="AN57" s="70"/>
      <c r="AO57" s="70"/>
      <c r="AP57" s="70"/>
      <c r="AQ57" s="70"/>
      <c r="AR57" s="70"/>
      <c r="AS57" s="70"/>
      <c r="AT57" s="70"/>
      <c r="AU57" s="70"/>
      <c r="AV57" s="70"/>
      <c r="AW57" s="70"/>
      <c r="AX57" s="70"/>
      <c r="AY57" s="70"/>
      <c r="AZ57" s="70"/>
      <c r="BA57" s="70"/>
      <c r="BB57" s="70"/>
      <c r="BC57" s="70"/>
      <c r="BD57" s="70"/>
      <c r="BE57" s="70"/>
      <c r="BF57" s="70"/>
      <c r="BG57" s="70"/>
      <c r="BH57" s="70"/>
      <c r="BI57" s="70"/>
      <c r="BJ57" s="70"/>
      <c r="BK57" s="70"/>
      <c r="BL57" s="70"/>
      <c r="BM57" s="70"/>
    </row>
    <row r="58" spans="1:66" ht="15.65" hidden="1" customHeight="1">
      <c r="A58" s="9" t="s">
        <v>185</v>
      </c>
      <c r="B58" s="48"/>
      <c r="C58" s="100">
        <f>+SUMIF($O$20:$O$29,Lister!$D$30,C20:C29)-SUMIFS(C20:C29,$O$20:$O$29,Lister!$D$30,$B$20:$B$29,Lister!$B$20)-+SUMIFS(C43:C52,$O$43:$O$52,Lister!$D$30,$B$43:$B$52,Lister!$A$24)+SUMIF($O$20:$O$29,Lister!$D$29,C20:C29)-SUMIFS(C20:C29,$O$20:$O$29,Lister!$D$29,$B$20:$B$29,Lister!$B$20)+SUMIFS(C43:C52,$O$43:$O$52,Lister!$D$29,$B$43:$B$52,Lister!$A$24)</f>
        <v>0</v>
      </c>
      <c r="D58" s="100">
        <f>+SUMIF($O$20:$O$29,Lister!$D$30,D20:D29)-SUMIFS(D20:D29,$O$20:$O$29,Lister!$D$30,$B$20:$B$29,Lister!$B$20)-+SUMIFS(D43:D52,$O$43:$O$52,Lister!$D$30,$B$43:$B$52,Lister!$A$24)+SUMIF($O$20:$O$29,Lister!$D$29,D20:D29)-SUMIFS(D20:D29,$O$20:$O$29,Lister!$D$29,$B$20:$B$29,Lister!$B$20)+SUMIFS(D43:D52,$O$43:$O$52,Lister!$D$29,$B$43:$B$52,Lister!$A$24)</f>
        <v>0</v>
      </c>
      <c r="E58" s="100">
        <f>+SUMIF($O$20:$O$39,Lister!$D$30,E20:E39)-SUMIFS(E20:E39,$O$20:$O$39,Lister!$D$30,$B$20:$B$39,Lister!$B$20)+SUMIFS(E43:E52,$O$43:$O$52,Lister!$D$30,$B$43:$B$52,Lister!$A$24)+SUMIF($O$20:$O$39,Lister!$D$29,E20:E39)-SUMIFS(E20:E39,$O$20:$O$39,Lister!$D$29,$B$20:$B$39,Lister!$B$20)+SUMIFS(E43:E52,$O$43:$O$52,Lister!$D$29,$B$43:$B$52,Lister!$A$24)</f>
        <v>0</v>
      </c>
      <c r="F58" s="100">
        <f>+SUMIF($O$20:$O$29,Lister!$D$30,F20:F29)-SUMIFS(F20:F29,$O$20:$O$29,Lister!$D$30,$B$20:$B$29,Lister!$B$20)-+SUMIFS(F43:F52,$O$43:$O$52,Lister!$D$30,$B$43:$B$52,Lister!$A$24)+SUMIF($O$20:$O$29,Lister!$D$29,F20:F29)-SUMIFS(F20:F29,$O$20:$O$29,Lister!$D$29,$B$20:$B$29,Lister!$B$20)+SUMIFS(F43:F52,$O$43:$O$52,Lister!$D$29,$B$43:$B$52,Lister!$A$24)</f>
        <v>0</v>
      </c>
      <c r="G58" s="100">
        <f>+SUMIF($O$20:$O$39,Lister!$D$30,G20:G39)-SUMIFS(G20:G39,$O$20:$O$39,Lister!$D$30,$B$20:$B$39,Lister!$B$20)+SUMIFS(G43:G52,$O$43:$O$52,Lister!$D$30,$B$43:$B$52,Lister!$A$24)+SUMIF($O$20:$O$39,Lister!$D$29,G20:G39)-SUMIFS(G20:G39,$O$20:$O$39,Lister!$D$29,$B$20:$B$39,Lister!$B$20)+SUMIFS(G43:G52,$O$43:$O$52,Lister!$D$29,$B$43:$B$52,Lister!$A$24)</f>
        <v>0</v>
      </c>
      <c r="H58" s="100">
        <f>+SUMIF($O$20:$O$39,Lister!$D$30,H20:H39)-SUMIFS(H20:H39,$O$20:$O$39,Lister!$D$30,$B$20:$B$39,Lister!$B$20)+SUMIFS(H43:H52,$O$43:$O$52,Lister!$D$30,$B$43:$B$52,Lister!$A$24)+SUMIF($O$20:$O$39,Lister!$D$29,H20:H39)-SUMIFS(H20:H39,$O$20:$O$39,Lister!$D$29,$B$20:$B$39,Lister!$B$20)+SUMIFS(H43:H52,$O$43:$O$52,Lister!$D$29,$B$43:$B$52,Lister!$A$24)</f>
        <v>0</v>
      </c>
      <c r="I58" s="100">
        <f>+SUMIF($O$20:$O$29,Lister!$D$30,I20:I29)-SUMIFS(I20:I29,$O$20:$O$29,Lister!$D$30,$B$20:$B$29,Lister!$B$20)-+SUMIFS(I43:I52,$O$43:$O$52,Lister!$D$30,$B$43:$B$52,Lister!$A$24)+SUMIF($O$20:$O$29,Lister!$D$29,I20:I29)-SUMIFS(I20:I29,$O$20:$O$29,Lister!$D$29,$B$20:$B$29,Lister!$B$20)+SUMIFS(I43:I52,$O$43:$O$52,Lister!$D$29,$B$43:$B$52,Lister!$A$24)</f>
        <v>0</v>
      </c>
      <c r="J58" s="100">
        <f>+SUMIF($O$20:$O$29,Lister!$D$30,J20:J29)-SUMIFS(J20:J29,$O$20:$O$29,Lister!$D$30,$B$20:$B$29,Lister!$B$20)-+SUMIFS(J43:J52,$O$43:$O$52,Lister!$D$30,$B$43:$B$52,Lister!$A$24)+SUMIF($O$20:$O$29,Lister!$D$29,J20:J29)-SUMIFS(J20:J29,$O$20:$O$29,Lister!$D$29,$B$20:$B$29,Lister!$B$20)+SUMIFS(J43:J52,$O$43:$O$52,Lister!$D$29,$B$43:$B$52,Lister!$A$24)</f>
        <v>0</v>
      </c>
      <c r="K58" s="100">
        <f>+SUMIF($O$20:$O$29,Lister!$D$30,K20:K29)-SUMIFS(K20:K29,$O$20:$O$29,Lister!$D$30,$B$20:$B$29,Lister!$B$20)-+SUMIFS(K43:K52,$O$43:$O$52,Lister!$D$30,$B$43:$B$52,Lister!$A$24)+SUMIF($O$20:$O$29,Lister!$D$29,K20:K29)-SUMIFS(K20:K29,$O$20:$O$29,Lister!$D$29,$B$20:$B$29,Lister!$B$20)+SUMIFS(K43:K52,$O$43:$O$52,Lister!$D$29,$B$43:$B$52,Lister!$A$24)</f>
        <v>0</v>
      </c>
      <c r="L58" s="100">
        <f>+SUMIF($O$20:$O$29,Lister!$D$30,L20:L29)-SUMIFS(L20:L29,$O$20:$O$29,Lister!$D$30,$B$20:$B$29,Lister!$B$20)-+SUMIFS(L43:L52,$O$43:$O$52,Lister!$D$30,$B$43:$B$52,Lister!$A$24)+SUMIF($O$20:$O$29,Lister!$D$29,L20:L29)-SUMIFS(L20:L29,$O$20:$O$29,Lister!$D$29,$B$20:$B$29,Lister!$B$20)+SUMIFS(L43:L52,$O$43:$O$52,Lister!$D$29,$B$43:$B$52,Lister!$A$24)</f>
        <v>0</v>
      </c>
      <c r="M58" s="48"/>
      <c r="N58" s="48"/>
      <c r="O58" s="48"/>
      <c r="P58" s="48"/>
      <c r="Q58" s="23"/>
      <c r="R58" s="5"/>
      <c r="S58" s="4"/>
      <c r="T58" s="4"/>
      <c r="U58" s="4"/>
      <c r="V58" s="4"/>
      <c r="W58" s="4"/>
      <c r="X58" s="4"/>
      <c r="Y58" s="4"/>
      <c r="Z58" s="4"/>
      <c r="AA58" s="4"/>
      <c r="AB58" s="4"/>
      <c r="AC58" s="5"/>
      <c r="AD58" s="70"/>
      <c r="AE58" s="76"/>
      <c r="AF58" s="76"/>
      <c r="AG58" s="70"/>
      <c r="AH58" s="77"/>
      <c r="AI58" s="70"/>
      <c r="AJ58" s="70"/>
      <c r="AK58" s="70"/>
      <c r="AL58" s="70"/>
      <c r="AM58" s="70"/>
      <c r="AN58" s="70"/>
      <c r="AO58" s="70"/>
      <c r="AP58" s="70"/>
      <c r="AQ58" s="70"/>
      <c r="AR58" s="70"/>
      <c r="AS58" s="70"/>
      <c r="AT58" s="70"/>
      <c r="AU58" s="70"/>
      <c r="AV58" s="70"/>
      <c r="AW58" s="70"/>
      <c r="AX58" s="70"/>
      <c r="AY58" s="70"/>
      <c r="AZ58" s="70"/>
      <c r="BA58" s="70"/>
      <c r="BB58" s="70"/>
      <c r="BC58" s="70"/>
      <c r="BD58" s="70"/>
      <c r="BE58" s="70"/>
      <c r="BF58" s="70"/>
      <c r="BG58" s="70"/>
      <c r="BH58" s="70"/>
      <c r="BI58" s="70"/>
      <c r="BJ58" s="70"/>
      <c r="BK58" s="70"/>
      <c r="BL58" s="70"/>
      <c r="BM58" s="70"/>
    </row>
    <row r="59" spans="1:66" ht="15.65" hidden="1" customHeight="1">
      <c r="A59" s="9" t="s">
        <v>186</v>
      </c>
      <c r="B59" s="48"/>
      <c r="C59" s="100">
        <f>+SUMIF($O$20:$O$39,Lister!$D$31,C20:C39)-SUMIFS(C20:C39,$O$20:$O$39,Lister!$D$31,$B$20:$B$39,Lister!$B$20)+SUMIFS(C43:C52,$O$43:$O$52,Lister!$D$31,$B$43:$B$52,Lister!$A$24)</f>
        <v>0</v>
      </c>
      <c r="D59" s="100">
        <f>+SUMIF($O$20:$O$39,Lister!$D$31,D20:D39)-SUMIFS(D20:D39,$O$20:$O$39,Lister!$D$31,$B$20:$B$39,Lister!$B$20)+SUMIFS(D43:D52,$O$43:$O$52,Lister!$D$31,$B$43:$B$52,Lister!$A$24)</f>
        <v>0</v>
      </c>
      <c r="E59" s="100">
        <f>+SUMIF($O$20:$O$39,Lister!$D$31,E20:E39)-SUMIFS(E20:E39,$O$20:$O$39,Lister!$D$31,$B$20:$B$39,Lister!$B$20)+SUMIFS(E43:E52,$O$43:$O$52,Lister!$D$31,$B$43:$B$52,Lister!$A$24)</f>
        <v>0</v>
      </c>
      <c r="F59" s="100">
        <f>+SUMIF($O$20:$O$39,Lister!$D$31,F20:F39)-SUMIFS(F20:F39,$O$20:$O$39,Lister!$D$31,$B$20:$B$39,Lister!$B$20)+SUMIFS(F43:F52,$O$43:$O$52,Lister!$D$31,$B$43:$B$52,Lister!$A$24)</f>
        <v>0</v>
      </c>
      <c r="G59" s="100">
        <f>+SUMIF($O$20:$O$39,Lister!$D$31,G20:G39)-SUMIFS(G20:G39,$O$20:$O$39,Lister!$D$31,$B$20:$B$39,Lister!$B$20)+SUMIFS(G43:G52,$O$43:$O$52,Lister!$D$31,$B$43:$B$52,Lister!$A$24)</f>
        <v>0</v>
      </c>
      <c r="H59" s="100">
        <f>+SUMIF($O$20:$O$39,Lister!$D$31,H20:H39)-SUMIFS(H20:H39,$O$20:$O$39,Lister!$D$31,$B$20:$B$39,Lister!$B$20)+SUMIFS(H43:H52,$O$43:$O$52,Lister!$D$31,$B$43:$B$52,Lister!$A$24)</f>
        <v>0</v>
      </c>
      <c r="I59" s="100">
        <f>+SUMIF($O$20:$O$39,Lister!$D$31,I20:I39)-SUMIFS(I20:I39,$O$20:$O$39,Lister!$D$31,$B$20:$B$39,Lister!$B$20)+SUMIFS(I43:I52,$O$43:$O$52,Lister!$D$31,$B$43:$B$52,Lister!$A$24)</f>
        <v>0</v>
      </c>
      <c r="J59" s="100">
        <f>+SUMIF($O$20:$O$39,Lister!$D$31,J20:J39)-SUMIFS(J20:J39,$O$20:$O$39,Lister!$D$31,$B$20:$B$39,Lister!$B$20)+SUMIFS(J43:J52,$O$43:$O$52,Lister!$D$31,$B$43:$B$52,Lister!$A$24)</f>
        <v>0</v>
      </c>
      <c r="K59" s="100">
        <f>+SUMIF($O$20:$O$39,Lister!$D$31,K20:K39)-SUMIFS(K20:K39,$O$20:$O$39,Lister!$D$31,$B$20:$B$39,Lister!$B$20)+SUMIFS(K43:K52,$O$43:$O$52,Lister!$D$31,$B$43:$B$52,Lister!$A$24)</f>
        <v>0</v>
      </c>
      <c r="L59" s="100">
        <f>+SUMIF($O$20:$O$39,Lister!$D$31,L20:L39)-SUMIFS(L20:L39,$O$20:$O$39,Lister!$D$31,$B$20:$B$39,Lister!$B$20)+SUMIFS(L43:L52,$O$43:$O$52,Lister!$D$31,$B$43:$B$52,Lister!$A$24)</f>
        <v>0</v>
      </c>
      <c r="M59" s="48"/>
      <c r="N59" s="48"/>
      <c r="O59" s="48"/>
      <c r="P59" s="48"/>
      <c r="Q59" s="23"/>
      <c r="R59" s="5"/>
      <c r="S59" s="4"/>
      <c r="T59" s="4"/>
      <c r="U59" s="4"/>
      <c r="V59" s="4"/>
      <c r="W59" s="4"/>
      <c r="X59" s="4"/>
      <c r="Y59" s="4"/>
      <c r="Z59" s="4"/>
      <c r="AA59" s="4"/>
      <c r="AB59" s="4"/>
      <c r="AC59" s="5"/>
      <c r="AD59" s="70"/>
      <c r="AE59" s="76"/>
      <c r="AF59" s="76"/>
      <c r="AG59" s="70"/>
      <c r="AH59" s="77"/>
      <c r="AI59" s="70"/>
      <c r="AJ59" s="70"/>
      <c r="AK59" s="70"/>
      <c r="AL59" s="70"/>
      <c r="AM59" s="70"/>
      <c r="AN59" s="70"/>
      <c r="AO59" s="70"/>
      <c r="AP59" s="70"/>
      <c r="AQ59" s="70"/>
      <c r="AR59" s="70"/>
      <c r="AS59" s="70"/>
      <c r="AT59" s="70"/>
      <c r="AU59" s="70"/>
      <c r="AV59" s="70"/>
      <c r="AW59" s="70"/>
      <c r="AX59" s="70"/>
      <c r="AY59" s="70"/>
      <c r="AZ59" s="70"/>
      <c r="BA59" s="70"/>
      <c r="BB59" s="70"/>
      <c r="BC59" s="70"/>
      <c r="BD59" s="70"/>
      <c r="BE59" s="70"/>
      <c r="BF59" s="70"/>
      <c r="BG59" s="70"/>
      <c r="BH59" s="70"/>
      <c r="BI59" s="70"/>
      <c r="BJ59" s="70"/>
      <c r="BK59" s="70"/>
      <c r="BL59" s="70"/>
      <c r="BM59" s="70"/>
    </row>
    <row r="60" spans="1:66" ht="15.65" customHeight="1">
      <c r="A60" s="9"/>
      <c r="B60" s="48"/>
      <c r="C60" s="48"/>
      <c r="D60" s="48"/>
      <c r="E60" s="48"/>
      <c r="F60" s="48"/>
      <c r="G60" s="48"/>
      <c r="H60" s="48"/>
      <c r="I60" s="48"/>
      <c r="J60" s="48"/>
      <c r="K60" s="48"/>
      <c r="L60" s="48"/>
      <c r="M60" s="48"/>
      <c r="N60" s="48"/>
      <c r="O60" s="48"/>
      <c r="P60" s="48"/>
      <c r="Q60" s="70"/>
      <c r="R60" s="70"/>
      <c r="S60" s="77"/>
      <c r="T60" s="70"/>
      <c r="U60" s="70"/>
      <c r="V60" s="70"/>
      <c r="W60" s="70"/>
      <c r="X60" s="70"/>
      <c r="Y60" s="70"/>
      <c r="Z60" s="70"/>
      <c r="AA60" s="70"/>
      <c r="AB60" s="70"/>
      <c r="AC60" s="70"/>
      <c r="AD60" s="70"/>
      <c r="AE60" s="70"/>
      <c r="AF60" s="70"/>
      <c r="AG60" s="70"/>
      <c r="AH60" s="70"/>
      <c r="AI60" s="70"/>
      <c r="AJ60" s="70"/>
      <c r="AK60" s="70"/>
      <c r="AL60" s="70"/>
      <c r="AM60" s="70"/>
      <c r="AN60" s="70"/>
      <c r="AO60" s="70"/>
      <c r="AP60" s="70"/>
      <c r="AQ60" s="70"/>
      <c r="AR60" s="70"/>
      <c r="AS60" s="70"/>
      <c r="AT60" s="70"/>
      <c r="AU60" s="70"/>
      <c r="AV60" s="70"/>
      <c r="AW60" s="70"/>
      <c r="AX60" s="70"/>
      <c r="AY60" s="70"/>
      <c r="AZ60" s="70"/>
    </row>
    <row r="61" spans="1:66" ht="15.65" customHeight="1" thickBot="1">
      <c r="A61" s="4" t="s">
        <v>91</v>
      </c>
      <c r="B61" s="8"/>
      <c r="C61" s="8">
        <f t="shared" ref="C61:L61" si="82">+C19</f>
        <v>2026</v>
      </c>
      <c r="D61" s="8">
        <f t="shared" si="82"/>
        <v>2027</v>
      </c>
      <c r="E61" s="8">
        <f t="shared" si="82"/>
        <v>2028</v>
      </c>
      <c r="F61" s="8">
        <f t="shared" si="82"/>
        <v>2029</v>
      </c>
      <c r="G61" s="8">
        <f t="shared" si="82"/>
        <v>2030</v>
      </c>
      <c r="H61" s="8">
        <f t="shared" si="82"/>
        <v>2031</v>
      </c>
      <c r="I61" s="8">
        <f t="shared" si="82"/>
        <v>2032</v>
      </c>
      <c r="J61" s="8">
        <f t="shared" si="82"/>
        <v>2033</v>
      </c>
      <c r="K61" s="8">
        <f t="shared" si="82"/>
        <v>2034</v>
      </c>
      <c r="L61" s="8">
        <f t="shared" si="82"/>
        <v>2035</v>
      </c>
      <c r="M61" s="8" t="s">
        <v>34</v>
      </c>
      <c r="N61" s="8"/>
      <c r="O61" s="8"/>
      <c r="P61" s="8"/>
      <c r="Q61" s="70"/>
      <c r="R61" s="70"/>
      <c r="S61" s="70"/>
      <c r="T61" s="70"/>
      <c r="U61" s="70"/>
      <c r="V61" s="70"/>
      <c r="W61" s="70"/>
      <c r="X61" s="70"/>
      <c r="Y61" s="70"/>
      <c r="Z61" s="70"/>
      <c r="AA61" s="70"/>
      <c r="AB61" s="70"/>
      <c r="AC61" s="70"/>
      <c r="AD61" s="70"/>
      <c r="AE61" s="70"/>
      <c r="AF61" s="70"/>
      <c r="AG61" s="70"/>
      <c r="AH61" s="70"/>
      <c r="AI61" s="70"/>
      <c r="AJ61" s="70"/>
      <c r="AK61" s="70"/>
      <c r="AL61" s="70"/>
      <c r="AM61" s="70"/>
      <c r="AN61" s="70"/>
      <c r="AO61" s="70"/>
      <c r="AP61" s="70"/>
      <c r="AQ61" s="70"/>
      <c r="AR61" s="70"/>
      <c r="AS61" s="70"/>
      <c r="AT61" s="70"/>
      <c r="AU61" s="70"/>
      <c r="AV61" s="70"/>
      <c r="AW61" s="70"/>
      <c r="AX61" s="70"/>
      <c r="AY61" s="70"/>
      <c r="AZ61" s="70"/>
    </row>
    <row r="62" spans="1:66" s="9" customFormat="1" ht="15.65" customHeight="1">
      <c r="A62" s="219" t="s">
        <v>114</v>
      </c>
      <c r="B62" s="220"/>
      <c r="C62" s="288"/>
      <c r="D62" s="288"/>
      <c r="E62" s="288"/>
      <c r="F62" s="288"/>
      <c r="G62" s="288"/>
      <c r="H62" s="288"/>
      <c r="I62" s="288"/>
      <c r="J62" s="288"/>
      <c r="K62" s="288"/>
      <c r="L62" s="288"/>
      <c r="M62" s="21">
        <f>SUM(C62:L62)</f>
        <v>0</v>
      </c>
      <c r="N62" s="285"/>
      <c r="O62" s="285" t="s">
        <v>113</v>
      </c>
      <c r="P62" s="7"/>
      <c r="Q62" s="120" t="s">
        <v>101</v>
      </c>
      <c r="R62" s="123"/>
      <c r="S62" s="121"/>
      <c r="T62" s="135"/>
      <c r="U62" s="135"/>
      <c r="V62" s="135"/>
      <c r="W62" s="135"/>
      <c r="X62" s="304"/>
      <c r="Y62" s="135"/>
      <c r="Z62" s="135"/>
      <c r="AA62" s="135"/>
      <c r="AB62" s="135"/>
      <c r="AC62" s="123"/>
      <c r="AF62" s="70"/>
      <c r="AG62" s="70"/>
      <c r="AH62" s="70"/>
      <c r="AI62" s="70"/>
      <c r="AJ62" s="70"/>
      <c r="AK62" s="70"/>
      <c r="AL62" s="70"/>
      <c r="AM62" s="70"/>
      <c r="AN62" s="70"/>
      <c r="AO62" s="70"/>
      <c r="AP62" s="70"/>
      <c r="AQ62" s="70"/>
      <c r="AR62" s="71"/>
      <c r="AS62" s="71"/>
      <c r="AT62" s="71"/>
      <c r="AU62" s="71"/>
      <c r="AV62" s="71"/>
      <c r="AW62" s="71"/>
      <c r="AX62" s="71"/>
      <c r="AY62" s="71"/>
      <c r="AZ62" s="71"/>
    </row>
    <row r="63" spans="1:66" ht="15.65" customHeight="1">
      <c r="A63" s="201" t="s">
        <v>114</v>
      </c>
      <c r="B63" s="16"/>
      <c r="C63" s="288"/>
      <c r="D63" s="288"/>
      <c r="E63" s="288"/>
      <c r="F63" s="288"/>
      <c r="G63" s="288"/>
      <c r="H63" s="288"/>
      <c r="I63" s="288"/>
      <c r="J63" s="288"/>
      <c r="K63" s="288"/>
      <c r="L63" s="288"/>
      <c r="M63" s="21">
        <f t="shared" ref="M63:M75" si="83">SUM(C63:L63)</f>
        <v>0</v>
      </c>
      <c r="N63" s="285"/>
      <c r="O63" s="285" t="s">
        <v>113</v>
      </c>
      <c r="Q63" s="107" t="s">
        <v>22</v>
      </c>
      <c r="R63" s="124" t="s">
        <v>34</v>
      </c>
      <c r="S63" s="45">
        <f>+S19</f>
        <v>2026</v>
      </c>
      <c r="T63" s="45">
        <f>+S63+1</f>
        <v>2027</v>
      </c>
      <c r="U63" s="8">
        <f t="shared" ref="U63:Z63" si="84">+T63+1</f>
        <v>2028</v>
      </c>
      <c r="V63" s="8">
        <f t="shared" si="84"/>
        <v>2029</v>
      </c>
      <c r="W63" s="8">
        <f t="shared" si="84"/>
        <v>2030</v>
      </c>
      <c r="X63" s="124">
        <f t="shared" si="84"/>
        <v>2031</v>
      </c>
      <c r="Y63" s="8">
        <f t="shared" si="84"/>
        <v>2032</v>
      </c>
      <c r="Z63" s="8">
        <f t="shared" si="84"/>
        <v>2033</v>
      </c>
      <c r="AA63" s="8">
        <f>+Z63+1</f>
        <v>2034</v>
      </c>
      <c r="AB63" s="8">
        <f>+AA63+1</f>
        <v>2035</v>
      </c>
      <c r="AC63" s="124" t="s">
        <v>34</v>
      </c>
      <c r="AF63" s="71"/>
      <c r="AG63" s="71"/>
      <c r="AH63" s="71"/>
      <c r="AI63" s="71"/>
      <c r="AJ63" s="71"/>
      <c r="AK63" s="71"/>
      <c r="AL63" s="71"/>
      <c r="AM63" s="71"/>
      <c r="AN63" s="71"/>
      <c r="AO63" s="71"/>
      <c r="AP63" s="71"/>
      <c r="AQ63" s="71"/>
      <c r="AR63" s="70"/>
      <c r="AS63" s="70"/>
      <c r="AT63" s="70"/>
      <c r="AU63" s="70"/>
      <c r="AV63" s="70"/>
      <c r="AW63" s="70"/>
      <c r="AX63" s="70"/>
      <c r="AY63" s="70"/>
      <c r="AZ63" s="70"/>
    </row>
    <row r="64" spans="1:66" ht="15.65" customHeight="1">
      <c r="A64" s="219" t="s">
        <v>114</v>
      </c>
      <c r="B64" s="220"/>
      <c r="C64" s="288"/>
      <c r="D64" s="288"/>
      <c r="E64" s="288"/>
      <c r="F64" s="288"/>
      <c r="G64" s="288"/>
      <c r="H64" s="288"/>
      <c r="I64" s="288"/>
      <c r="J64" s="288"/>
      <c r="K64" s="288"/>
      <c r="L64" s="288"/>
      <c r="M64" s="21">
        <f t="shared" si="83"/>
        <v>0</v>
      </c>
      <c r="N64" s="285"/>
      <c r="O64" s="285" t="s">
        <v>113</v>
      </c>
      <c r="P64" s="119"/>
      <c r="Q64" s="147" t="s">
        <v>74</v>
      </c>
      <c r="R64" s="318">
        <f t="shared" ref="R64:R73" si="85">+AC64</f>
        <v>0</v>
      </c>
      <c r="S64" s="316">
        <f>+S40</f>
        <v>0</v>
      </c>
      <c r="T64" s="316">
        <f t="shared" ref="T64:Z64" si="86">+T40</f>
        <v>0</v>
      </c>
      <c r="U64" s="316">
        <f t="shared" si="86"/>
        <v>0</v>
      </c>
      <c r="V64" s="316">
        <f t="shared" si="86"/>
        <v>0</v>
      </c>
      <c r="W64" s="316">
        <f t="shared" si="86"/>
        <v>0</v>
      </c>
      <c r="X64" s="317">
        <f t="shared" si="86"/>
        <v>0</v>
      </c>
      <c r="Y64" s="294">
        <f t="shared" si="86"/>
        <v>0</v>
      </c>
      <c r="Z64" s="28">
        <f t="shared" si="86"/>
        <v>0</v>
      </c>
      <c r="AA64" s="28">
        <f>+AA40</f>
        <v>0</v>
      </c>
      <c r="AB64" s="28">
        <f>+AB40</f>
        <v>0</v>
      </c>
      <c r="AC64" s="125">
        <f>SUM(S64:AB64)</f>
        <v>0</v>
      </c>
      <c r="AF64" s="70"/>
      <c r="AG64" s="70"/>
      <c r="AH64" s="70"/>
      <c r="AI64" s="70"/>
      <c r="AJ64" s="70"/>
      <c r="AK64" s="70"/>
      <c r="AL64" s="70"/>
      <c r="AM64" s="70"/>
      <c r="AN64" s="70"/>
      <c r="AO64" s="70"/>
      <c r="AP64" s="70"/>
      <c r="AQ64" s="70"/>
      <c r="AR64" s="70"/>
      <c r="AS64" s="70"/>
      <c r="AT64" s="70"/>
      <c r="AU64" s="70"/>
      <c r="AV64" s="70"/>
      <c r="AW64" s="70"/>
      <c r="AX64" s="70"/>
      <c r="AY64" s="70"/>
      <c r="AZ64" s="70"/>
    </row>
    <row r="65" spans="1:52" ht="15.65" customHeight="1">
      <c r="A65" s="201" t="s">
        <v>114</v>
      </c>
      <c r="B65" s="16"/>
      <c r="C65" s="288"/>
      <c r="D65" s="288"/>
      <c r="E65" s="288"/>
      <c r="F65" s="288"/>
      <c r="G65" s="288"/>
      <c r="H65" s="288"/>
      <c r="I65" s="288"/>
      <c r="J65" s="288"/>
      <c r="K65" s="288"/>
      <c r="L65" s="288"/>
      <c r="M65" s="21">
        <f t="shared" si="83"/>
        <v>0</v>
      </c>
      <c r="N65" s="285"/>
      <c r="O65" s="285" t="s">
        <v>113</v>
      </c>
      <c r="P65" s="119"/>
      <c r="Q65" s="148" t="s">
        <v>75</v>
      </c>
      <c r="R65" s="309">
        <f>+AC65</f>
        <v>0</v>
      </c>
      <c r="S65" s="310">
        <f t="shared" ref="S65:Z65" si="87">+S56</f>
        <v>0</v>
      </c>
      <c r="T65" s="310">
        <f t="shared" si="87"/>
        <v>0</v>
      </c>
      <c r="U65" s="310">
        <f t="shared" si="87"/>
        <v>0</v>
      </c>
      <c r="V65" s="310">
        <f t="shared" si="87"/>
        <v>0</v>
      </c>
      <c r="W65" s="310">
        <f t="shared" si="87"/>
        <v>0</v>
      </c>
      <c r="X65" s="311">
        <f t="shared" si="87"/>
        <v>0</v>
      </c>
      <c r="Y65" s="295">
        <f t="shared" si="87"/>
        <v>0</v>
      </c>
      <c r="Z65" s="113">
        <f t="shared" si="87"/>
        <v>0</v>
      </c>
      <c r="AA65" s="113">
        <f>+AA56</f>
        <v>0</v>
      </c>
      <c r="AB65" s="113">
        <f>+AB56</f>
        <v>0</v>
      </c>
      <c r="AC65" s="141">
        <f t="shared" ref="AC65:AC73" si="88">SUM(S65:AB65)</f>
        <v>0</v>
      </c>
      <c r="AF65" s="70"/>
      <c r="AG65" s="70"/>
      <c r="AH65" s="70"/>
      <c r="AI65" s="70"/>
      <c r="AJ65" s="70"/>
      <c r="AK65" s="70"/>
      <c r="AL65" s="70"/>
      <c r="AM65" s="70"/>
      <c r="AN65" s="70"/>
      <c r="AO65" s="70"/>
      <c r="AP65" s="70"/>
      <c r="AQ65" s="70"/>
      <c r="AR65" s="70"/>
      <c r="AS65" s="70"/>
      <c r="AT65" s="70"/>
      <c r="AU65" s="70"/>
      <c r="AV65" s="70"/>
      <c r="AW65" s="70"/>
      <c r="AX65" s="70"/>
      <c r="AY65" s="70"/>
      <c r="AZ65" s="70"/>
    </row>
    <row r="66" spans="1:52" ht="15.65" customHeight="1">
      <c r="A66" s="219" t="s">
        <v>114</v>
      </c>
      <c r="B66" s="220"/>
      <c r="C66" s="288"/>
      <c r="D66" s="288"/>
      <c r="E66" s="288"/>
      <c r="F66" s="288"/>
      <c r="G66" s="288"/>
      <c r="H66" s="288"/>
      <c r="I66" s="288"/>
      <c r="J66" s="288"/>
      <c r="K66" s="288"/>
      <c r="L66" s="288"/>
      <c r="M66" s="21">
        <f t="shared" si="83"/>
        <v>0</v>
      </c>
      <c r="N66" s="285"/>
      <c r="O66" s="285" t="s">
        <v>113</v>
      </c>
      <c r="P66" s="119"/>
      <c r="Q66" s="149" t="s">
        <v>76</v>
      </c>
      <c r="R66" s="312">
        <f t="shared" si="85"/>
        <v>0</v>
      </c>
      <c r="S66" s="313">
        <f>+SUM(S64:S65)</f>
        <v>0</v>
      </c>
      <c r="T66" s="313">
        <f t="shared" ref="T66:Z66" si="89">+SUM(T64:T65)</f>
        <v>0</v>
      </c>
      <c r="U66" s="313">
        <f t="shared" si="89"/>
        <v>0</v>
      </c>
      <c r="V66" s="313">
        <f t="shared" si="89"/>
        <v>0</v>
      </c>
      <c r="W66" s="313">
        <f t="shared" si="89"/>
        <v>0</v>
      </c>
      <c r="X66" s="314">
        <f t="shared" si="89"/>
        <v>0</v>
      </c>
      <c r="Y66" s="296">
        <f t="shared" si="89"/>
        <v>0</v>
      </c>
      <c r="Z66" s="137">
        <f t="shared" si="89"/>
        <v>0</v>
      </c>
      <c r="AA66" s="137">
        <f>+SUM(AA64:AA65)</f>
        <v>0</v>
      </c>
      <c r="AB66" s="137">
        <f>+SUM(AB64:AB65)</f>
        <v>0</v>
      </c>
      <c r="AC66" s="138">
        <f t="shared" si="88"/>
        <v>0</v>
      </c>
      <c r="AF66" s="70"/>
      <c r="AG66" s="70"/>
      <c r="AH66" s="70"/>
      <c r="AI66" s="70"/>
      <c r="AJ66" s="70"/>
      <c r="AK66" s="70"/>
      <c r="AL66" s="70"/>
      <c r="AM66" s="70"/>
      <c r="AN66" s="70"/>
      <c r="AO66" s="70"/>
      <c r="AP66" s="70"/>
      <c r="AQ66" s="70"/>
      <c r="AR66" s="70"/>
      <c r="AS66" s="70"/>
      <c r="AT66" s="70"/>
      <c r="AU66" s="70"/>
      <c r="AV66" s="70"/>
      <c r="AW66" s="70"/>
      <c r="AX66" s="70"/>
      <c r="AY66" s="70"/>
      <c r="AZ66" s="70"/>
    </row>
    <row r="67" spans="1:52" ht="15.65" customHeight="1">
      <c r="A67" s="201" t="s">
        <v>114</v>
      </c>
      <c r="B67" s="16"/>
      <c r="C67" s="288"/>
      <c r="D67" s="288"/>
      <c r="E67" s="288"/>
      <c r="F67" s="288"/>
      <c r="G67" s="288"/>
      <c r="H67" s="288"/>
      <c r="I67" s="288"/>
      <c r="J67" s="288"/>
      <c r="K67" s="288"/>
      <c r="L67" s="288"/>
      <c r="M67" s="21">
        <f t="shared" si="83"/>
        <v>0</v>
      </c>
      <c r="N67" s="285"/>
      <c r="O67" s="285" t="s">
        <v>113</v>
      </c>
      <c r="P67" s="119"/>
      <c r="Q67" s="149" t="s">
        <v>77</v>
      </c>
      <c r="R67" s="312">
        <f t="shared" si="85"/>
        <v>0</v>
      </c>
      <c r="S67" s="313">
        <f>+C75</f>
        <v>0</v>
      </c>
      <c r="T67" s="313">
        <f t="shared" ref="T67:AB67" si="90">+D75</f>
        <v>0</v>
      </c>
      <c r="U67" s="313">
        <f t="shared" si="90"/>
        <v>0</v>
      </c>
      <c r="V67" s="313">
        <f t="shared" si="90"/>
        <v>0</v>
      </c>
      <c r="W67" s="313">
        <f t="shared" si="90"/>
        <v>0</v>
      </c>
      <c r="X67" s="314">
        <f t="shared" si="90"/>
        <v>0</v>
      </c>
      <c r="Y67" s="296">
        <f t="shared" si="90"/>
        <v>0</v>
      </c>
      <c r="Z67" s="137">
        <f t="shared" si="90"/>
        <v>0</v>
      </c>
      <c r="AA67" s="137">
        <f t="shared" si="90"/>
        <v>0</v>
      </c>
      <c r="AB67" s="137">
        <f t="shared" si="90"/>
        <v>0</v>
      </c>
      <c r="AC67" s="138">
        <f t="shared" si="88"/>
        <v>0</v>
      </c>
      <c r="AF67" s="70"/>
      <c r="AG67" s="70"/>
      <c r="AH67" s="70"/>
      <c r="AI67" s="70"/>
      <c r="AJ67" s="70"/>
      <c r="AK67" s="70"/>
      <c r="AL67" s="70"/>
      <c r="AM67" s="70"/>
      <c r="AN67" s="70"/>
      <c r="AO67" s="70"/>
      <c r="AP67" s="70"/>
      <c r="AQ67" s="70"/>
      <c r="AR67" s="70"/>
      <c r="AS67" s="70"/>
      <c r="AT67" s="70"/>
      <c r="AU67" s="70"/>
      <c r="AV67" s="70"/>
      <c r="AW67" s="70"/>
      <c r="AX67" s="70"/>
      <c r="AY67" s="70"/>
      <c r="AZ67" s="70"/>
    </row>
    <row r="68" spans="1:52" ht="15.65" customHeight="1">
      <c r="A68" s="219" t="s">
        <v>114</v>
      </c>
      <c r="B68" s="220"/>
      <c r="C68" s="288"/>
      <c r="D68" s="288"/>
      <c r="E68" s="288"/>
      <c r="F68" s="288"/>
      <c r="G68" s="288"/>
      <c r="H68" s="288"/>
      <c r="I68" s="288"/>
      <c r="J68" s="288"/>
      <c r="K68" s="288"/>
      <c r="L68" s="288"/>
      <c r="M68" s="21">
        <f t="shared" si="83"/>
        <v>0</v>
      </c>
      <c r="N68" s="285"/>
      <c r="O68" s="285" t="s">
        <v>113</v>
      </c>
      <c r="P68" s="119"/>
      <c r="Q68" s="149" t="s">
        <v>78</v>
      </c>
      <c r="R68" s="312">
        <f t="shared" si="85"/>
        <v>0</v>
      </c>
      <c r="S68" s="313">
        <f>+S67+S66</f>
        <v>0</v>
      </c>
      <c r="T68" s="313">
        <f t="shared" ref="T68:Z68" si="91">+T67+T66</f>
        <v>0</v>
      </c>
      <c r="U68" s="313">
        <f t="shared" si="91"/>
        <v>0</v>
      </c>
      <c r="V68" s="313">
        <f t="shared" si="91"/>
        <v>0</v>
      </c>
      <c r="W68" s="313">
        <f t="shared" si="91"/>
        <v>0</v>
      </c>
      <c r="X68" s="314">
        <f t="shared" si="91"/>
        <v>0</v>
      </c>
      <c r="Y68" s="296">
        <f t="shared" si="91"/>
        <v>0</v>
      </c>
      <c r="Z68" s="137">
        <f t="shared" si="91"/>
        <v>0</v>
      </c>
      <c r="AA68" s="137">
        <f>+AA67+AA66</f>
        <v>0</v>
      </c>
      <c r="AB68" s="137">
        <f>+AB67+AB66</f>
        <v>0</v>
      </c>
      <c r="AC68" s="138">
        <f t="shared" si="88"/>
        <v>0</v>
      </c>
      <c r="AF68" s="70"/>
      <c r="AG68" s="70"/>
      <c r="AH68" s="70"/>
      <c r="AI68" s="70"/>
      <c r="AJ68" s="70"/>
      <c r="AK68" s="70"/>
      <c r="AL68" s="70"/>
      <c r="AM68" s="70"/>
      <c r="AN68" s="70"/>
      <c r="AO68" s="70"/>
      <c r="AP68" s="70"/>
      <c r="AQ68" s="70"/>
      <c r="AR68" s="70"/>
      <c r="AS68" s="70"/>
      <c r="AT68" s="70"/>
      <c r="AU68" s="70"/>
      <c r="AV68" s="70"/>
      <c r="AW68" s="70"/>
      <c r="AX68" s="70"/>
      <c r="AY68" s="70"/>
      <c r="AZ68" s="70"/>
    </row>
    <row r="69" spans="1:52" ht="15.65" customHeight="1">
      <c r="A69" s="201" t="s">
        <v>114</v>
      </c>
      <c r="B69" s="16"/>
      <c r="C69" s="288"/>
      <c r="D69" s="288"/>
      <c r="E69" s="288"/>
      <c r="F69" s="288"/>
      <c r="G69" s="288"/>
      <c r="H69" s="288"/>
      <c r="I69" s="288"/>
      <c r="J69" s="288"/>
      <c r="K69" s="288"/>
      <c r="L69" s="288"/>
      <c r="M69" s="21">
        <f t="shared" si="83"/>
        <v>0</v>
      </c>
      <c r="N69" s="285"/>
      <c r="O69" s="285" t="s">
        <v>113</v>
      </c>
      <c r="P69" s="119"/>
      <c r="Q69" s="150" t="s">
        <v>0</v>
      </c>
      <c r="R69" s="312">
        <f t="shared" si="85"/>
        <v>0</v>
      </c>
      <c r="S69" s="153">
        <f>IF($C$12=2,S66*$C$6/100,
IF($G$6=Lister!$D$4,S66*$C$6/100,
IF($G$6=Lister!$D$5,S68*$C$6/100,
IF($G$6=Lister!$D$6,(S68-SUMIF($A$62:$A$72,Lister!$M$10,C62:C72))*$C$6/100,
IF($G$6=Lister!$D$7,(S68-SUMIF($A$62:$A$72,Lister!$M$10,C62:C72)-SUMIF($A$62:$A$72,Lister!$M$7,C62:C72))*$C$6/100,
IF($G$6=Lister!$D$8,(S68+S70)*$C$6/100,
IF($G$6=Lister!$D$9,S67*$C$6/100,0)))))))</f>
        <v>0</v>
      </c>
      <c r="T69" s="153">
        <f>IF($C$12=2,T66*$C$6/100,
IF($G$6=Lister!$D$4,T66*$C$6/100,
IF($G$6=Lister!$D$5,T68*$C$6/100,
IF($G$6=Lister!$D$6,(T68-SUMIF($A$62:$A$72,Lister!$M$10,D62:D72))*$C$6/100,
IF($G$6=Lister!$D$7,(T68-SUMIF($A$62:$A$72,Lister!$M$10,D62:D72)-SUMIF($A$62:$A$72,Lister!$M$7,D62:D72))*$C$6/100,
IF($G$6=Lister!$D$8,(T68+T70)*$C$6/100,
IF($G$6=Lister!$D$9,T67*$C$6/100,0)))))))</f>
        <v>0</v>
      </c>
      <c r="U69" s="153">
        <f>IF($C$12=2,U66*$C$6/100,
IF($G$6=Lister!$D$4,U66*$C$6/100,
IF($G$6=Lister!$D$5,U68*$C$6/100,
IF($G$6=Lister!$D$6,(U68-SUMIF($A$62:$A$72,Lister!$M$10,E62:E72))*$C$6/100,
IF($G$6=Lister!$D$7,(U68-SUMIF($A$62:$A$72,Lister!$M$10,E62:E72)-SUMIF($A$62:$A$72,Lister!$M$7,E62:E72))*$C$6/100,
IF($G$6=Lister!$D$8,(U68+U70)*$C$6/100,
IF($G$6=Lister!$D$9,U67*$C$6/100,0)))))))</f>
        <v>0</v>
      </c>
      <c r="V69" s="153">
        <f>IF($C$12=2,V66*$C$6/100,
IF($G$6=Lister!$D$4,V66*$C$6/100,
IF($G$6=Lister!$D$5,V68*$C$6/100,
IF($G$6=Lister!$D$6,(V68-SUMIF($A$62:$A$72,Lister!$M$10,F62:F72))*$C$6/100,
IF($G$6=Lister!$D$7,(V68-SUMIF($A$62:$A$72,Lister!$M$10,F62:F72)-SUMIF($A$62:$A$72,Lister!$M$7,F62:F72))*$C$6/100,
IF($G$6=Lister!$D$8,(V68+V70)*$C$6/100,
IF($G$6=Lister!$D$9,V67*$C$6/100,0)))))))</f>
        <v>0</v>
      </c>
      <c r="W69" s="153">
        <f>IF($C$12=2,W66*$C$6/100,
IF($G$6=Lister!$D$4,W66*$C$6/100,
IF($G$6=Lister!$D$5,W68*$C$6/100,
IF($G$6=Lister!$D$6,(W68-SUMIF($A$62:$A$72,Lister!$M$10,G62:G72))*$C$6/100,
IF($G$6=Lister!$D$7,(W68-SUMIF($A$62:$A$72,Lister!$M$10,G62:G72)-SUMIF($A$62:$A$72,Lister!$M$7,G62:G72))*$C$6/100,
IF($G$6=Lister!$D$8,(W68+W70)*$C$6/100,
IF($G$6=Lister!$D$9,W67*$C$6/100,0)))))))</f>
        <v>0</v>
      </c>
      <c r="X69" s="300">
        <f>IF($C$12=2,X66*$C$6/100,
IF($G$6=Lister!$D$4,X66*$C$6/100,
IF($G$6=Lister!$D$5,X68*$C$6/100,
IF($G$6=Lister!$D$6,(X68-SUMIF($A$62:$A$72,Lister!$M$10,H62:H72))*$C$6/100,
IF($G$6=Lister!$D$7,(X68-SUMIF($A$62:$A$72,Lister!$M$10,H62:H72)-SUMIF($A$62:$A$72,Lister!$M$7,H62:H72))*$C$6/100,
IF($G$6=Lister!$D$8,(X68+X70)*$C$6/100,
IF($G$6=Lister!$D$9,X67*$C$6/100,0)))))))</f>
        <v>0</v>
      </c>
      <c r="Y69" s="297">
        <f>IF($C$12=2,Y66*$C$6/100,
IF($G$6=Lister!$D$4,Y66*$C$6/100,
IF($G$6=Lister!$D$5,Y68*$C$6/100,
IF($G$6=Lister!$D$6,(Y68-SUMIF($A$62:$A$72,Lister!$M$10,I62:I72))*$C$6/100,
IF($G$6=Lister!$D$7,(Y68-SUMIF($A$62:$A$72,Lister!$M$10,I62:I72)-SUMIF($A$62:$A$72,Lister!$M$7,I62:I72))*$C$6/100,
IF($G$6=Lister!$D$8,(Y68+Y70)*$C$6/100,
IF($G$6=Lister!$D$9,Y67*$C$6/100,0)))))))</f>
        <v>0</v>
      </c>
      <c r="Z69" s="21">
        <f>IF($C$12=2,Z66*$C$6/100,
IF($G$6=Lister!$D$4,Z66*$C$6/100,
IF($G$6=Lister!$D$5,Z68*$C$6/100,
IF($G$6=Lister!$D$6,(Z68-SUMIF($A$62:$A$72,Lister!$M$10,J62:J72))*$C$6/100,
IF($G$6=Lister!$D$7,(Z68-SUMIF($A$62:$A$72,Lister!$M$10,J62:J72)-SUMIF($A$62:$A$72,Lister!$M$7,J62:J72))*$C$6/100,
IF($G$6=Lister!$D$8,(Z68+Z70)*$C$6/100,
IF($G$6=Lister!$D$9,Z67*$C$6/100,0)))))))</f>
        <v>0</v>
      </c>
      <c r="AA69" s="21">
        <f>IF($C$12=2,AA66*$C$6/100,
IF($G$6=Lister!$D$4,AA66*$C$6/100,
IF($G$6=Lister!$D$5,AA68*$C$6/100,
IF($G$6=Lister!$D$6,(AA68-SUMIF($A$62:$A$72,Lister!$M$10,K62:K72))*$C$6/100,
IF($G$6=Lister!$D$7,(AA68-SUMIF($A$62:$A$72,Lister!$M$10,K62:K72)-SUMIF($A$62:$A$72,Lister!$M$7,K62:K72))*$C$6/100,
IF($G$6=Lister!$D$8,(AA68+AA70)*$C$6/100,
IF($G$6=Lister!$D$9,AA67*$C$6/100,0)))))))</f>
        <v>0</v>
      </c>
      <c r="AB69" s="21">
        <f>IF($C$12=2,AB66*$C$6/100,
IF($G$6=Lister!$D$4,AB66*$C$6/100,
IF($G$6=Lister!$D$5,AB68*$C$6/100,
IF($G$6=Lister!$D$6,(AB68-SUMIF($A$62:$A$72,Lister!$M$10,L62:L72))*$C$6/100,
IF($G$6=Lister!$D$7,(AB68-SUMIF($A$62:$A$72,Lister!$M$10,L62:L72)-SUMIF($A$62:$A$72,Lister!$M$7,L62:L72))*$C$6/100,
IF($G$6=Lister!$D$8,(AB68+AB70)*$C$6/100,
IF($G$6=Lister!$D$9,AB67*$C$6/100,0)))))))</f>
        <v>0</v>
      </c>
      <c r="AC69" s="138">
        <f t="shared" si="88"/>
        <v>0</v>
      </c>
      <c r="AF69" s="70"/>
      <c r="AG69" s="70"/>
      <c r="AH69" s="70"/>
      <c r="AI69" s="70"/>
      <c r="AJ69" s="70"/>
      <c r="AK69" s="70"/>
      <c r="AL69" s="70"/>
      <c r="AM69" s="70"/>
      <c r="AN69" s="70"/>
      <c r="AO69" s="70"/>
      <c r="AP69" s="70"/>
      <c r="AQ69" s="70"/>
      <c r="AR69" s="70"/>
      <c r="AS69" s="70"/>
      <c r="AT69" s="70"/>
      <c r="AU69" s="70"/>
      <c r="AV69" s="70"/>
      <c r="AW69" s="70"/>
      <c r="AX69" s="70"/>
      <c r="AY69" s="70"/>
      <c r="AZ69" s="70"/>
    </row>
    <row r="70" spans="1:52" ht="15.65" customHeight="1">
      <c r="A70" s="219" t="s">
        <v>114</v>
      </c>
      <c r="B70" s="220"/>
      <c r="C70" s="288"/>
      <c r="D70" s="288"/>
      <c r="E70" s="288"/>
      <c r="F70" s="288"/>
      <c r="G70" s="288"/>
      <c r="H70" s="288"/>
      <c r="I70" s="288"/>
      <c r="J70" s="288"/>
      <c r="K70" s="288"/>
      <c r="L70" s="288"/>
      <c r="M70" s="21">
        <f t="shared" si="83"/>
        <v>0</v>
      </c>
      <c r="N70" s="285"/>
      <c r="O70" s="285" t="s">
        <v>113</v>
      </c>
      <c r="P70" s="119"/>
      <c r="Q70" s="151" t="s">
        <v>103</v>
      </c>
      <c r="R70" s="312">
        <f t="shared" si="85"/>
        <v>0</v>
      </c>
      <c r="S70" s="153">
        <f>+IF($C$8=Lister!$O$5,C$40*Takstblad!C$84,0)</f>
        <v>0</v>
      </c>
      <c r="T70" s="153">
        <f>+IF($C$8=Lister!$O$5,D$40*Takstblad!D$84,0)</f>
        <v>0</v>
      </c>
      <c r="U70" s="153">
        <f>+IF($C$8=Lister!$O$5,E$40*Takstblad!E$84,0)</f>
        <v>0</v>
      </c>
      <c r="V70" s="153">
        <f>+IF($C$8=Lister!$O$5,F$40*Takstblad!F$84,0)</f>
        <v>0</v>
      </c>
      <c r="W70" s="153">
        <f>+IF($C$8=Lister!$O$5,G$40*Takstblad!G$84,0)</f>
        <v>0</v>
      </c>
      <c r="X70" s="300">
        <f>+IF($C$8=Lister!$O$5,H$40*Takstblad!H$84,0)</f>
        <v>0</v>
      </c>
      <c r="Y70" s="297">
        <f>+IF($C$8=Lister!$O$5,I$40*Takstblad!I$84,0)</f>
        <v>0</v>
      </c>
      <c r="Z70" s="21">
        <f>+IF($C$8=Lister!$O$5,J$40*Takstblad!J$84,0)</f>
        <v>0</v>
      </c>
      <c r="AA70" s="21">
        <f>+IF($C$8=Lister!$O$5,K$40*Takstblad!K$84,0)</f>
        <v>0</v>
      </c>
      <c r="AB70" s="21">
        <f>+IF($C$8=Lister!$O$5,L$40*Takstblad!L$84,0)</f>
        <v>0</v>
      </c>
      <c r="AC70" s="138">
        <f t="shared" si="88"/>
        <v>0</v>
      </c>
      <c r="AF70" s="70"/>
      <c r="AG70" s="70"/>
      <c r="AH70" s="70"/>
      <c r="AI70" s="70"/>
      <c r="AJ70" s="70"/>
      <c r="AK70" s="70"/>
      <c r="AL70" s="70"/>
      <c r="AM70" s="70"/>
      <c r="AN70" s="70"/>
      <c r="AO70" s="70"/>
      <c r="AP70" s="70"/>
      <c r="AQ70" s="70"/>
      <c r="AR70" s="70"/>
      <c r="AS70" s="70"/>
      <c r="AT70" s="70"/>
      <c r="AU70" s="70"/>
      <c r="AV70" s="70"/>
      <c r="AW70" s="70"/>
      <c r="AX70" s="70"/>
      <c r="AY70" s="70"/>
      <c r="AZ70" s="70"/>
    </row>
    <row r="71" spans="1:52" ht="17.649999999999999" customHeight="1">
      <c r="A71" s="201" t="s">
        <v>114</v>
      </c>
      <c r="B71" s="16"/>
      <c r="C71" s="288"/>
      <c r="D71" s="288"/>
      <c r="E71" s="288"/>
      <c r="F71" s="288"/>
      <c r="G71" s="288"/>
      <c r="H71" s="288"/>
      <c r="I71" s="288"/>
      <c r="J71" s="288"/>
      <c r="K71" s="288"/>
      <c r="L71" s="288"/>
      <c r="M71" s="21">
        <f t="shared" si="83"/>
        <v>0</v>
      </c>
      <c r="N71" s="285"/>
      <c r="O71" s="285" t="s">
        <v>113</v>
      </c>
      <c r="P71" s="119"/>
      <c r="Q71" s="151" t="s">
        <v>108</v>
      </c>
      <c r="R71" s="312">
        <f t="shared" si="85"/>
        <v>0</v>
      </c>
      <c r="S71" s="153">
        <f t="shared" ref="S71:X71" si="92">+S87+S101</f>
        <v>0</v>
      </c>
      <c r="T71" s="153">
        <f t="shared" si="92"/>
        <v>0</v>
      </c>
      <c r="U71" s="153">
        <f t="shared" si="92"/>
        <v>0</v>
      </c>
      <c r="V71" s="153">
        <f t="shared" si="92"/>
        <v>0</v>
      </c>
      <c r="W71" s="153">
        <f t="shared" si="92"/>
        <v>0</v>
      </c>
      <c r="X71" s="300">
        <f t="shared" si="92"/>
        <v>0</v>
      </c>
      <c r="Y71" s="297">
        <f>+IF($C$8="Project-Supplement",((SUMIF($A$20:$A$29,"PhD",I$20:I$29)+SUMIF($A$20:$A$29,"Research Assistant - avr. rate",I$20:I$29)+SUMIF($A$20:$A$29,"Research Assistant - low rate",I$20:I$29)+SUMIF($A$20:$A$29,"Post doc.",I$20:I$29))/12)*Takstblad!I$85,0)</f>
        <v>0</v>
      </c>
      <c r="Z71" s="21">
        <f>+IF($C$8="Project-Supplement",((SUMIF($A$20:$A$29,"PhD",J$20:J$29)+SUMIF($A$20:$A$29,"Research Assistant - avr. rate",J$20:J$29)+SUMIF($A$20:$A$29,"Research Assistant - low rate",J$20:J$29)+SUMIF($A$20:$A$29,"Post doc.",J$20:J$29))/12)*Takstblad!J$85,0)</f>
        <v>0</v>
      </c>
      <c r="AA71" s="21">
        <f>+IF($C$8="Project-Supplement",((SUMIF($A$20:$A$29,"PhD",K$20:K$29)+SUMIF($A$20:$A$29,"Research Assistant - avr. rate",K$20:K$29)+SUMIF($A$20:$A$29,"Research Assistant - low rate",K$20:K$29)+SUMIF($A$20:$A$29,"Post doc.",K$20:K$29))/12)*Takstblad!K$85,0)</f>
        <v>0</v>
      </c>
      <c r="AB71" s="21">
        <f>+IF($C$8="Project-Supplement",((SUMIF($A$20:$A$29,"PhD",L$20:L$29)+SUMIF($A$20:$A$29,"Research Assistant - avr. rate",L$20:L$29)+SUMIF($A$20:$A$29,"Research Assistant - low rate",L$20:L$29)+SUMIF($A$20:$A$29,"Post doc.",L$20:L$29))/12)*Takstblad!L$85,0)</f>
        <v>0</v>
      </c>
      <c r="AC71" s="138">
        <f t="shared" si="88"/>
        <v>0</v>
      </c>
      <c r="AF71" s="70"/>
      <c r="AG71" s="70"/>
      <c r="AH71" s="70"/>
      <c r="AI71" s="70"/>
      <c r="AJ71" s="70"/>
      <c r="AK71" s="70"/>
      <c r="AL71" s="70"/>
      <c r="AM71" s="70"/>
      <c r="AN71" s="70"/>
      <c r="AO71" s="70"/>
      <c r="AP71" s="70"/>
      <c r="AQ71" s="70"/>
      <c r="AR71" s="70"/>
      <c r="AS71" s="70"/>
      <c r="AT71" s="70"/>
      <c r="AU71" s="70"/>
      <c r="AV71" s="70"/>
      <c r="AW71" s="70"/>
      <c r="AX71" s="70"/>
      <c r="AY71" s="70"/>
      <c r="AZ71" s="70"/>
    </row>
    <row r="72" spans="1:52" s="11" customFormat="1" ht="15.65" customHeight="1">
      <c r="A72" s="219" t="s">
        <v>114</v>
      </c>
      <c r="B72" s="220"/>
      <c r="C72" s="288"/>
      <c r="D72" s="288"/>
      <c r="E72" s="288"/>
      <c r="F72" s="288"/>
      <c r="G72" s="288"/>
      <c r="H72" s="288"/>
      <c r="I72" s="288"/>
      <c r="J72" s="288"/>
      <c r="K72" s="288"/>
      <c r="L72" s="288"/>
      <c r="M72" s="21">
        <f t="shared" si="83"/>
        <v>0</v>
      </c>
      <c r="N72" s="285"/>
      <c r="O72" s="285" t="s">
        <v>113</v>
      </c>
      <c r="P72" s="119"/>
      <c r="Q72" s="150" t="s">
        <v>531</v>
      </c>
      <c r="R72" s="312">
        <f t="shared" si="85"/>
        <v>0</v>
      </c>
      <c r="S72" s="153" t="str">
        <f>IF($C$12=2,(SUM(S68:S71)*$C$13)/100,"0")</f>
        <v>0</v>
      </c>
      <c r="T72" s="153" t="str">
        <f t="shared" ref="T72:Z72" si="93">IF($C$12=2,(SUM(T68:T71)*$C$13)/100,"0")</f>
        <v>0</v>
      </c>
      <c r="U72" s="153" t="str">
        <f t="shared" si="93"/>
        <v>0</v>
      </c>
      <c r="V72" s="153" t="str">
        <f t="shared" si="93"/>
        <v>0</v>
      </c>
      <c r="W72" s="153" t="str">
        <f t="shared" si="93"/>
        <v>0</v>
      </c>
      <c r="X72" s="300" t="str">
        <f t="shared" si="93"/>
        <v>0</v>
      </c>
      <c r="Y72" s="298" t="str">
        <f t="shared" si="93"/>
        <v>0</v>
      </c>
      <c r="Z72" s="153" t="str">
        <f t="shared" si="93"/>
        <v>0</v>
      </c>
      <c r="AA72" s="153" t="str">
        <f>IF($C$12=2,(SUM(AA68:AA71)*$C$13)/100,"0")</f>
        <v>0</v>
      </c>
      <c r="AB72" s="153" t="str">
        <f>IF($C$12=2,(SUM(AB68:AB71)*$C$13)/100,"0")</f>
        <v>0</v>
      </c>
      <c r="AC72" s="138">
        <f t="shared" si="88"/>
        <v>0</v>
      </c>
      <c r="AF72" s="70"/>
      <c r="AG72" s="70"/>
      <c r="AH72" s="70"/>
      <c r="AI72" s="70"/>
      <c r="AJ72" s="70"/>
      <c r="AK72" s="70"/>
      <c r="AL72" s="70"/>
      <c r="AM72" s="70"/>
      <c r="AN72" s="70"/>
      <c r="AO72" s="70"/>
      <c r="AP72" s="70"/>
      <c r="AQ72" s="70"/>
      <c r="AR72" s="78"/>
      <c r="AS72" s="78"/>
      <c r="AT72" s="78"/>
      <c r="AU72" s="78"/>
      <c r="AV72" s="78"/>
      <c r="AW72" s="78"/>
      <c r="AX72" s="78"/>
      <c r="AY72" s="78"/>
      <c r="AZ72" s="78"/>
    </row>
    <row r="73" spans="1:52" s="11" customFormat="1" ht="15.65" customHeight="1">
      <c r="A73" s="5" t="s">
        <v>233</v>
      </c>
      <c r="B73" s="16"/>
      <c r="C73" s="28">
        <f>IFERROR(IF($C$12=2,0,IF($C$8="project-supplement",0,IF(OR($G$7="Salary and Operations",$G$7="Operations"),(VLOOKUP($C$2,Takstblad!$B$71:$L$83,2,FALSE)*C$77)))),0)</f>
        <v>0</v>
      </c>
      <c r="D73" s="28">
        <f>IFERROR(IF($C$12=2,0,IF($C$8="project-supplement",0,IF(OR($G$7="Salary and Operations",$G$7="Operations"),(VLOOKUP($C$2,Takstblad!$B$71:$L$83,3,FALSE)*D$77)))),0)</f>
        <v>0</v>
      </c>
      <c r="E73" s="28">
        <f>IFERROR(IF($C$12=2,0,IF($C$8="project-supplement",0,IF(OR($G$7="Salary and Operations",$G$7="Operations"),(VLOOKUP($C$2,Takstblad!$B$71:$L$83,4,FALSE)*E$77)))),0)</f>
        <v>0</v>
      </c>
      <c r="F73" s="28">
        <f>IFERROR(IF($C$12=2,0,IF($C$8="project-supplement",0,IF(OR($G$7="Salary and Operations",$G$7="Operations"),(VLOOKUP($C$2,Takstblad!$B$71:$L$83,5,FALSE)*F$77)))),0)</f>
        <v>0</v>
      </c>
      <c r="G73" s="28">
        <f>IFERROR(IF($C$12=2,0,IF($C$8="project-supplement",0,IF(OR($G$7="Salary and Operations",$G$7="Operations"),(VLOOKUP($C$2,Takstblad!$B$71:$L$83,6,FALSE)*G$77)))),0)</f>
        <v>0</v>
      </c>
      <c r="H73" s="28">
        <f>IFERROR(IF($C$12=2,0,IF($C$8="project-supplement",0,IF(OR($G$7="Salary and Operations",$G$7="Operations"),(VLOOKUP($C$2,Takstblad!$B$71:$L$83,7,FALSE)*H$77)))),0)</f>
        <v>0</v>
      </c>
      <c r="I73" s="28">
        <f>IFERROR(IF($C$12=2,0,IF($C$8="project-supplement",0,IF(OR($G$7="Salary and Operations",$G$7="Operations"),(VLOOKUP($C$2,Takstblad!$B$71:$L$83,8,FALSE)*I$77)))),0)</f>
        <v>0</v>
      </c>
      <c r="J73" s="28">
        <f>IFERROR(IF($C$12=2,0,IF($C$8="project-supplement",0,IF(OR($G$7="Salary and Operations",$G$7="Operations"),(VLOOKUP($C$2,Takstblad!$B$71:$L$83,9,FALSE)*J$77)))),0)</f>
        <v>0</v>
      </c>
      <c r="K73" s="28">
        <f>IFERROR(IF($C$12=2,0,IF($C$8="project-supplement",0,IF(OR($G$7="Salary and Operations",$G$7="Operations"),(VLOOKUP($C$2,Takstblad!$B$71:$L$83,10,FALSE)*K$77)))),0)</f>
        <v>0</v>
      </c>
      <c r="L73" s="28">
        <f>IFERROR(IF($C$12=2,0,IF($C$8="project-supplement",0,IF(OR($G$7="Salary and Operations",$G$7="Operations"),(VLOOKUP($C$2,Takstblad!$B$71:$L$83,11,FALSE)*L$77)))),0)</f>
        <v>0</v>
      </c>
      <c r="M73" s="21">
        <f t="shared" si="83"/>
        <v>0</v>
      </c>
      <c r="N73" s="21"/>
      <c r="O73" s="225" t="s">
        <v>152</v>
      </c>
      <c r="P73" s="118"/>
      <c r="Q73" s="149" t="s">
        <v>101</v>
      </c>
      <c r="R73" s="312">
        <f t="shared" si="85"/>
        <v>0</v>
      </c>
      <c r="S73" s="313">
        <f>+SUM(S68:S72)</f>
        <v>0</v>
      </c>
      <c r="T73" s="313">
        <f t="shared" ref="T73:Z73" si="94">+SUM(T68:T72)</f>
        <v>0</v>
      </c>
      <c r="U73" s="313">
        <f t="shared" si="94"/>
        <v>0</v>
      </c>
      <c r="V73" s="313">
        <f t="shared" si="94"/>
        <v>0</v>
      </c>
      <c r="W73" s="313">
        <f t="shared" si="94"/>
        <v>0</v>
      </c>
      <c r="X73" s="314">
        <f t="shared" si="94"/>
        <v>0</v>
      </c>
      <c r="Y73" s="296">
        <f t="shared" si="94"/>
        <v>0</v>
      </c>
      <c r="Z73" s="137">
        <f t="shared" si="94"/>
        <v>0</v>
      </c>
      <c r="AA73" s="137">
        <f>+SUM(AA68:AA72)</f>
        <v>0</v>
      </c>
      <c r="AB73" s="137">
        <f>+SUM(AB68:AB72)</f>
        <v>0</v>
      </c>
      <c r="AC73" s="138">
        <f t="shared" si="88"/>
        <v>0</v>
      </c>
      <c r="AF73" s="70"/>
      <c r="AG73" s="70"/>
      <c r="AH73" s="70"/>
      <c r="AI73" s="70"/>
      <c r="AJ73" s="70"/>
      <c r="AK73" s="70"/>
      <c r="AL73" s="70"/>
      <c r="AM73" s="70"/>
      <c r="AN73" s="70"/>
      <c r="AO73" s="70"/>
      <c r="AP73" s="70"/>
      <c r="AQ73" s="70"/>
      <c r="AR73" s="78"/>
      <c r="AS73" s="78"/>
      <c r="AT73" s="78"/>
      <c r="AU73" s="78"/>
      <c r="AV73" s="78"/>
      <c r="AW73" s="78"/>
      <c r="AX73" s="78"/>
      <c r="AY73" s="78"/>
      <c r="AZ73" s="78"/>
    </row>
    <row r="74" spans="1:52" ht="15" customHeight="1" thickBot="1">
      <c r="A74" s="5" t="s">
        <v>712</v>
      </c>
      <c r="B74" s="16"/>
      <c r="C74" s="28">
        <f>IFERROR(IF($C$12=2,0,IF($C$8="project-supplement",0,IF(OR($G$7="Salary and Operations",$G$7="Operations"),(VLOOKUP($C$2,Takstblad!$B$71:$L$83,2,FALSE)*C$78)))),0)</f>
        <v>0</v>
      </c>
      <c r="D74" s="28">
        <f>IFERROR(IF($C$12=2,0,IF($C$8="project-supplement",0,IF(OR($G$7="Salary and Operations",$G$7="Operations"),(VLOOKUP($C$2,Takstblad!$B$71:$L$83,3,FALSE)*D$78)))),0)</f>
        <v>0</v>
      </c>
      <c r="E74" s="28">
        <f>IFERROR(IF($C$12=2,0,IF($C$8="project-supplement",0,IF(OR($G$7="Salary and Operations",$G$7="Operations"),(VLOOKUP($C$2,Takstblad!$B$71:$L$83,4,FALSE)*E$78)))),0)</f>
        <v>0</v>
      </c>
      <c r="F74" s="28">
        <f>IFERROR(IF($C$12=2,0,IF($C$8="project-supplement",0,IF(OR($G$7="Salary and Operations",$G$7="Operations"),(VLOOKUP($C$2,Takstblad!$B$71:$L$83,5,FALSE)*F$78)))),0)</f>
        <v>0</v>
      </c>
      <c r="G74" s="28">
        <f>IFERROR(IF($C$12=2,0,IF($C$8="project-supplement",0,IF(OR($G$7="Salary and Operations",$G$7="Operations"),(VLOOKUP($C$2,Takstblad!$B$71:$L$83,6,FALSE)*G$78)))),0)</f>
        <v>0</v>
      </c>
      <c r="H74" s="28">
        <f>IFERROR(IF($C$12=2,0,IF($C$8="project-supplement",0,IF(OR($G$7="Salary and Operations",$G$7="Operations"),(VLOOKUP($C$2,Takstblad!$B$71:$L$83,7,FALSE)*H$78)))),0)</f>
        <v>0</v>
      </c>
      <c r="I74" s="28">
        <f>IFERROR(IF($C$12=2,0,IF($C$8="project-supplement",0,IF(OR($G$7="Salary and Operations",$G$7="Operations"),(VLOOKUP($C$2,Takstblad!$B$71:$L$83,8,FALSE)*I$78)))),0)</f>
        <v>0</v>
      </c>
      <c r="J74" s="28">
        <f>IFERROR(IF($C$12=2,0,IF($C$8="project-supplement",0,IF(OR($G$7="Salary and Operations",$G$7="Operations"),(VLOOKUP($C$2,Takstblad!$B$71:$L$83,9,FALSE)*J$78)))),0)</f>
        <v>0</v>
      </c>
      <c r="K74" s="28">
        <f>IFERROR(IF($C$12=2,0,IF($C$8="project-supplement",0,IF(OR($G$7="Salary and Operations",$G$7="Operations"),(VLOOKUP($C$2,Takstblad!$B$71:$L$83,10,FALSE)*K$78)))),0)</f>
        <v>0</v>
      </c>
      <c r="L74" s="28">
        <f>IFERROR(IF($C$12=2,0,IF($C$8="project-supplement",0,IF(OR($G$7="Salary and Operations",$G$7="Operations"),(VLOOKUP($C$2,Takstblad!$B$71:$L$83,11,FALSE)*L$78)))),0)</f>
        <v>0</v>
      </c>
      <c r="M74" s="21">
        <f t="shared" si="83"/>
        <v>0</v>
      </c>
      <c r="N74" s="95"/>
      <c r="O74" s="225" t="s">
        <v>112</v>
      </c>
      <c r="P74" s="118"/>
      <c r="Q74" s="127"/>
      <c r="R74" s="129"/>
      <c r="S74" s="128"/>
      <c r="T74" s="128"/>
      <c r="U74" s="128"/>
      <c r="V74" s="128"/>
      <c r="W74" s="128"/>
      <c r="X74" s="129"/>
      <c r="Y74" s="128"/>
      <c r="Z74" s="128"/>
      <c r="AA74" s="128"/>
      <c r="AB74" s="128"/>
      <c r="AC74" s="129"/>
      <c r="AF74" s="78"/>
      <c r="AG74" s="78"/>
      <c r="AH74" s="78"/>
      <c r="AI74" s="78"/>
      <c r="AJ74" s="78"/>
      <c r="AK74" s="78"/>
      <c r="AL74" s="78"/>
      <c r="AM74" s="78"/>
      <c r="AN74" s="78"/>
      <c r="AO74" s="78"/>
      <c r="AP74" s="78"/>
      <c r="AQ74" s="78"/>
      <c r="AR74" s="70"/>
      <c r="AS74" s="70"/>
      <c r="AT74" s="70"/>
      <c r="AU74" s="70"/>
      <c r="AV74" s="70"/>
      <c r="AW74" s="70"/>
      <c r="AX74" s="70"/>
      <c r="AY74" s="70"/>
      <c r="AZ74" s="70"/>
    </row>
    <row r="75" spans="1:52" ht="15" customHeight="1" thickBot="1">
      <c r="A75" s="4" t="s">
        <v>72</v>
      </c>
      <c r="B75" s="16"/>
      <c r="C75" s="22">
        <f>SUM(C62:C74)-SUMIF($A$62:$A$72,Lister!$M$9,C62:C72)-ABS(SUMIF($A$62:$A$72,Lister!$M$9,C62:C72))</f>
        <v>0</v>
      </c>
      <c r="D75" s="22">
        <f>SUM(D62:D74)-SUMIF($A$62:$A$72,Lister!$M$9,D62:D72)-ABS(SUMIF($A$62:$A$72,Lister!$M$9,D62:D72))</f>
        <v>0</v>
      </c>
      <c r="E75" s="22">
        <f>SUM(E62:E74)-SUMIF($A$62:$A$72,Lister!$M$9,E62:E72)-ABS(SUMIF($A$62:$A$72,Lister!$M$9,E62:E72))</f>
        <v>0</v>
      </c>
      <c r="F75" s="22">
        <f>SUM(F62:F74)-SUMIF($A$62:$A$72,Lister!$M$9,F62:F72)-ABS(SUMIF($A$62:$A$72,Lister!$M$9,F62:F72))</f>
        <v>0</v>
      </c>
      <c r="G75" s="22">
        <f>SUM(G62:G74)-SUMIF($A$62:$A$72,Lister!$M$9,G62:G72)-ABS(SUMIF($A$62:$A$72,Lister!$M$9,G62:G72))</f>
        <v>0</v>
      </c>
      <c r="H75" s="22">
        <f>SUM(H62:H74)-SUMIF($A$62:$A$72,Lister!$M$9,H62:H72)-ABS(SUMIF($A$62:$A$72,Lister!$M$9,H62:H72))</f>
        <v>0</v>
      </c>
      <c r="I75" s="51">
        <f>SUM(I62:I74)-SUMIF($A$62:$A$72,Lister!$M$9,I62:I72)-ABS(SUMIF($A$62:$A$72,Lister!$M$9,I62:I72))</f>
        <v>0</v>
      </c>
      <c r="J75" s="51">
        <f>SUM(J62:J74)-SUMIF($A$62:$A$72,Lister!$M$9,J62:J72)-ABS(SUMIF($A$62:$A$72,Lister!$M$9,J62:J72))</f>
        <v>0</v>
      </c>
      <c r="K75" s="51">
        <f>SUM(K62:K74)-SUMIF($A$62:$A$72,Lister!$M$9,K62:K72)-ABS(SUMIF($A$62:$A$72,Lister!$M$9,K62:K72))</f>
        <v>0</v>
      </c>
      <c r="L75" s="51">
        <f>SUM(L62:L74)-SUMIF($A$62:$A$72,Lister!$M$9,L62:L72)-ABS(SUMIF($A$62:$A$72,Lister!$M$9,L62:L72))</f>
        <v>0</v>
      </c>
      <c r="M75" s="13">
        <f t="shared" si="83"/>
        <v>0</v>
      </c>
      <c r="N75" s="13"/>
      <c r="O75" s="16"/>
      <c r="P75" s="16"/>
      <c r="Q75" s="130" t="s">
        <v>587</v>
      </c>
      <c r="R75" s="131"/>
      <c r="S75" s="230"/>
      <c r="T75" s="136"/>
      <c r="U75" s="136"/>
      <c r="V75" s="136"/>
      <c r="W75" s="136"/>
      <c r="X75" s="305"/>
      <c r="Y75" s="136"/>
      <c r="Z75" s="136"/>
      <c r="AA75" s="136"/>
      <c r="AB75" s="136"/>
      <c r="AC75" s="131"/>
      <c r="AF75" s="78"/>
      <c r="AG75" s="78"/>
      <c r="AH75" s="78"/>
      <c r="AI75" s="78"/>
      <c r="AJ75" s="78"/>
      <c r="AK75" s="78"/>
      <c r="AL75" s="78"/>
      <c r="AM75" s="78"/>
      <c r="AN75" s="78"/>
      <c r="AO75" s="78"/>
      <c r="AP75" s="78"/>
      <c r="AQ75" s="78"/>
      <c r="AR75" s="70"/>
      <c r="AS75" s="70"/>
      <c r="AT75" s="70"/>
      <c r="AU75" s="70"/>
      <c r="AV75" s="70"/>
      <c r="AW75" s="70"/>
      <c r="AX75" s="70"/>
      <c r="AY75" s="70"/>
      <c r="AZ75" s="70"/>
    </row>
    <row r="76" spans="1:52" s="9" customFormat="1" ht="15" customHeight="1">
      <c r="A76" s="71"/>
      <c r="B76" s="76"/>
      <c r="C76" s="76"/>
      <c r="D76" s="76"/>
      <c r="E76" s="76"/>
      <c r="F76" s="76"/>
      <c r="G76" s="76"/>
      <c r="H76" s="76"/>
      <c r="I76" s="76"/>
      <c r="J76" s="76"/>
      <c r="K76" s="76"/>
      <c r="L76" s="76"/>
      <c r="M76" s="76"/>
      <c r="N76" s="76"/>
      <c r="O76" s="86"/>
      <c r="P76" s="86"/>
      <c r="Q76" s="132"/>
      <c r="R76" s="133"/>
      <c r="S76" s="16"/>
      <c r="T76" s="76"/>
      <c r="U76" s="76"/>
      <c r="V76" s="76"/>
      <c r="W76" s="76"/>
      <c r="X76" s="133"/>
      <c r="Y76" s="76"/>
      <c r="Z76" s="76"/>
      <c r="AA76" s="76"/>
      <c r="AB76" s="76"/>
      <c r="AC76" s="133"/>
      <c r="AF76" s="70"/>
      <c r="AG76" s="70"/>
      <c r="AH76" s="70"/>
      <c r="AI76" s="70"/>
      <c r="AJ76" s="70"/>
      <c r="AK76" s="70"/>
      <c r="AL76" s="70"/>
      <c r="AM76" s="70"/>
      <c r="AN76" s="70"/>
      <c r="AO76" s="70"/>
      <c r="AP76" s="70"/>
      <c r="AQ76" s="70"/>
      <c r="AR76" s="71"/>
      <c r="AS76" s="71"/>
      <c r="AT76" s="71"/>
      <c r="AU76" s="71"/>
      <c r="AV76" s="71"/>
      <c r="AW76" s="71"/>
      <c r="AX76" s="71"/>
      <c r="AY76" s="71"/>
      <c r="AZ76" s="71"/>
    </row>
    <row r="77" spans="1:52" ht="15" hidden="1" customHeight="1">
      <c r="A77" s="71" t="s">
        <v>196</v>
      </c>
      <c r="B77" s="70"/>
      <c r="C77" s="100">
        <f>SUMIFS(C43:C52,$O$43:$O$52,Lister!$D$30,$B$43:$B$52,Lister!$A$45)+SUMIFS(C43:C52,$O$43:$O$52,Lister!$D$29,$B$43:$B$52,Lister!$A$45)</f>
        <v>0</v>
      </c>
      <c r="D77" s="100">
        <f>SUMIFS(D43:D52,$O$43:$O$52,Lister!$D$30,$B$43:$B$52,Lister!$A$45)+SUMIFS(D43:D52,$O$43:$O$52,Lister!$D$29,$B$43:$B$52,Lister!$A$45)</f>
        <v>0</v>
      </c>
      <c r="E77" s="100">
        <f>SUMIFS(E43:E52,$O$43:$O$52,Lister!$D$30,$B$43:$B$52,Lister!$A$45)+SUMIFS(E43:E52,$O$43:$O$52,Lister!$D$29,$B$43:$B$52,Lister!$A$45)</f>
        <v>0</v>
      </c>
      <c r="F77" s="100">
        <f>SUMIFS(F43:F52,$O$43:$O$52,Lister!$D$30,$B$43:$B$52,Lister!$A$45)+SUMIFS(F43:F52,$O$43:$O$52,Lister!$D$29,$B$43:$B$52,Lister!$A$45)</f>
        <v>0</v>
      </c>
      <c r="G77" s="100">
        <f>SUMIFS(G43:G52,$O$43:$O$52,Lister!$D$30,$B$43:$B$52,Lister!$A$45)+SUMIFS(G43:G52,$O$43:$O$52,Lister!$D$29,$B$43:$B$52,Lister!$A$45)</f>
        <v>0</v>
      </c>
      <c r="H77" s="100">
        <f>SUMIFS(H43:H52,$O$43:$O$52,Lister!$D$30,$B$43:$B$52,Lister!$A$45)+SUMIFS(H43:H52,$O$43:$O$52,Lister!$D$29,$B$43:$B$52,Lister!$A$45)</f>
        <v>0</v>
      </c>
      <c r="I77" s="100">
        <f>SUMIFS(I43:I52,$O$43:$O$52,Lister!$D$30,$B$43:$B$52,Lister!$A$45)+SUMIFS(I43:I52,$O$43:$O$52,Lister!$D$29,$B$43:$B$52,Lister!$A$45)</f>
        <v>0</v>
      </c>
      <c r="J77" s="100">
        <f>SUMIFS(J43:J52,$O$43:$O$52,Lister!$D$30,$B$43:$B$52,Lister!$A$45)+SUMIFS(J43:J52,$O$43:$O$52,Lister!$D$29,$B$43:$B$52,Lister!$A$45)</f>
        <v>0</v>
      </c>
      <c r="K77" s="100">
        <f>SUMIFS(K43:K52,$O$43:$O$52,Lister!$D$30,$B$43:$B$52,Lister!$A$45)+SUMIFS(K43:K52,$O$43:$O$52,Lister!$D$29,$B$43:$B$52,Lister!$A$45)</f>
        <v>0</v>
      </c>
      <c r="L77" s="100">
        <f>SUMIFS(L43:L52,$O$43:$O$52,Lister!$D$30,$B$43:$B$52,Lister!$A$45)+SUMIFS(L43:L52,$O$43:$O$52,Lister!$D$29,$B$43:$B$52,Lister!$A$45)</f>
        <v>0</v>
      </c>
      <c r="M77" s="70"/>
      <c r="N77" s="70"/>
      <c r="O77" s="85"/>
      <c r="P77" s="85"/>
      <c r="Q77" s="132"/>
      <c r="R77" s="133"/>
      <c r="S77" s="16"/>
      <c r="T77" s="76"/>
      <c r="U77" s="76"/>
      <c r="V77" s="76"/>
      <c r="W77" s="76"/>
      <c r="X77" s="133"/>
      <c r="Y77" s="76"/>
      <c r="Z77" s="76"/>
      <c r="AA77" s="76"/>
      <c r="AB77" s="76"/>
      <c r="AC77" s="133"/>
      <c r="AF77" s="70"/>
      <c r="AG77" s="70"/>
      <c r="AH77" s="70"/>
      <c r="AI77" s="70"/>
      <c r="AJ77" s="70"/>
      <c r="AK77" s="70"/>
      <c r="AL77" s="70"/>
      <c r="AM77" s="70"/>
      <c r="AN77" s="70"/>
      <c r="AO77" s="70"/>
      <c r="AP77" s="70"/>
      <c r="AQ77" s="70"/>
      <c r="AR77" s="70"/>
      <c r="AS77" s="70"/>
      <c r="AT77" s="70"/>
      <c r="AU77" s="70"/>
      <c r="AV77" s="70"/>
      <c r="AW77" s="70"/>
      <c r="AX77" s="70"/>
      <c r="AY77" s="70"/>
      <c r="AZ77" s="70"/>
    </row>
    <row r="78" spans="1:52" ht="14.25" hidden="1" customHeight="1">
      <c r="A78" s="71" t="s">
        <v>197</v>
      </c>
      <c r="B78" s="71"/>
      <c r="C78" s="100">
        <f>SUMIFS(C43:C52,$O$43:$O$52,Lister!$D$31,$B$43:$B$52,Lister!$A$45)</f>
        <v>0</v>
      </c>
      <c r="D78" s="100">
        <f>SUMIFS(D43:D52,$O$43:$O$52,Lister!$D$31,$B$43:$B$52,Lister!$A$45)</f>
        <v>0</v>
      </c>
      <c r="E78" s="100">
        <f>SUMIFS(E43:E52,$O$43:$O$52,Lister!$D$31,$B$43:$B$52,Lister!$A$45)</f>
        <v>0</v>
      </c>
      <c r="F78" s="100">
        <f>SUMIFS(F43:F52,$O$43:$O$52,Lister!$D$31,$B$43:$B$52,Lister!$A$45)</f>
        <v>0</v>
      </c>
      <c r="G78" s="100">
        <f>SUMIFS(G43:G52,$O$43:$O$52,Lister!$D$31,$B$43:$B$52,Lister!$A$45)</f>
        <v>0</v>
      </c>
      <c r="H78" s="100">
        <f>SUMIFS(H43:H52,$O$43:$O$52,Lister!$D$31,$B$43:$B$52,Lister!$A$45)</f>
        <v>0</v>
      </c>
      <c r="I78" s="100">
        <f>SUMIFS(I43:I52,$O$43:$O$52,Lister!$D$31,$B$43:$B$52,Lister!$A$45)</f>
        <v>0</v>
      </c>
      <c r="J78" s="100">
        <f>SUMIFS(J43:J52,$O$43:$O$52,Lister!$D$31,$B$43:$B$52,Lister!$A$45)</f>
        <v>0</v>
      </c>
      <c r="K78" s="100">
        <f>SUMIFS(K43:K52,$O$43:$O$52,Lister!$D$31,$B$43:$B$52,Lister!$A$45)</f>
        <v>0</v>
      </c>
      <c r="L78" s="100">
        <f>SUMIFS(L43:L52,$O$43:$O$52,Lister!$D$31,$B$43:$B$52,Lister!$A$45)</f>
        <v>0</v>
      </c>
      <c r="M78" s="71"/>
      <c r="N78" s="71"/>
      <c r="O78" s="87"/>
      <c r="P78" s="87"/>
      <c r="Q78" s="132"/>
      <c r="R78" s="133"/>
      <c r="S78" s="16"/>
      <c r="T78" s="76"/>
      <c r="U78" s="76"/>
      <c r="V78" s="76"/>
      <c r="W78" s="76"/>
      <c r="X78" s="133"/>
      <c r="Y78" s="76"/>
      <c r="Z78" s="76"/>
      <c r="AA78" s="76"/>
      <c r="AB78" s="76"/>
      <c r="AC78" s="133"/>
      <c r="AF78" s="71"/>
      <c r="AG78" s="71"/>
      <c r="AH78" s="71"/>
      <c r="AI78" s="71"/>
      <c r="AJ78" s="71"/>
      <c r="AK78" s="71"/>
      <c r="AL78" s="71"/>
      <c r="AM78" s="71"/>
      <c r="AN78" s="71"/>
      <c r="AO78" s="71"/>
      <c r="AP78" s="71"/>
      <c r="AQ78" s="71"/>
      <c r="AR78" s="70"/>
      <c r="AS78" s="70"/>
    </row>
    <row r="79" spans="1:52" s="9" customFormat="1" ht="14.25" customHeight="1">
      <c r="A79" s="70"/>
      <c r="B79" s="73"/>
      <c r="C79" s="70"/>
      <c r="D79" s="70"/>
      <c r="E79" s="70"/>
      <c r="F79" s="70"/>
      <c r="G79" s="70"/>
      <c r="H79" s="73"/>
      <c r="I79" s="73"/>
      <c r="J79" s="73"/>
      <c r="K79" s="73"/>
      <c r="L79" s="73"/>
      <c r="M79" s="73"/>
      <c r="N79" s="73"/>
      <c r="O79" s="88"/>
      <c r="P79" s="88"/>
      <c r="Q79" s="152" t="s">
        <v>22</v>
      </c>
      <c r="R79" s="124" t="s">
        <v>34</v>
      </c>
      <c r="S79" s="45">
        <f>+S63</f>
        <v>2026</v>
      </c>
      <c r="T79" s="8">
        <f t="shared" ref="T79:Z79" si="95">+T63</f>
        <v>2027</v>
      </c>
      <c r="U79" s="8">
        <f t="shared" si="95"/>
        <v>2028</v>
      </c>
      <c r="V79" s="8">
        <f t="shared" si="95"/>
        <v>2029</v>
      </c>
      <c r="W79" s="8">
        <f t="shared" si="95"/>
        <v>2030</v>
      </c>
      <c r="X79" s="124">
        <f t="shared" si="95"/>
        <v>2031</v>
      </c>
      <c r="Y79" s="8">
        <f t="shared" si="95"/>
        <v>2032</v>
      </c>
      <c r="Z79" s="8">
        <f t="shared" si="95"/>
        <v>2033</v>
      </c>
      <c r="AA79" s="8">
        <f>+AA63</f>
        <v>2034</v>
      </c>
      <c r="AB79" s="8">
        <f>+AB63</f>
        <v>2035</v>
      </c>
      <c r="AC79" s="124" t="s">
        <v>34</v>
      </c>
      <c r="AF79" s="71"/>
      <c r="AG79" s="71"/>
      <c r="AH79" s="71"/>
      <c r="AI79" s="71"/>
      <c r="AJ79" s="71"/>
      <c r="AK79" s="71"/>
      <c r="AL79" s="71"/>
      <c r="AM79" s="71"/>
      <c r="AN79" s="71"/>
      <c r="AO79" s="71"/>
      <c r="AP79" s="71"/>
      <c r="AQ79" s="71"/>
      <c r="AR79" s="71"/>
      <c r="AS79" s="71"/>
    </row>
    <row r="80" spans="1:52" s="9" customFormat="1" ht="14.25" customHeight="1">
      <c r="A80" s="70"/>
      <c r="B80" s="78"/>
      <c r="C80" s="78"/>
      <c r="D80" s="78"/>
      <c r="E80" s="78"/>
      <c r="F80" s="78"/>
      <c r="G80" s="78"/>
      <c r="H80" s="78"/>
      <c r="I80" s="78"/>
      <c r="J80" s="78"/>
      <c r="K80" s="78"/>
      <c r="L80" s="78"/>
      <c r="M80" s="78"/>
      <c r="N80" s="78"/>
      <c r="O80" s="89"/>
      <c r="P80" s="89"/>
      <c r="Q80" s="147" t="s">
        <v>74</v>
      </c>
      <c r="R80" s="315">
        <f t="shared" ref="R80:R89" si="96">+AC80</f>
        <v>0</v>
      </c>
      <c r="S80" s="316">
        <f>+SUMIF($O$20:$O$39,Lister!$D$29,S20:S39)+SUMIF($O$20:$O$39,Lister!$D$30,S20:S39)</f>
        <v>0</v>
      </c>
      <c r="T80" s="316">
        <f>+SUMIF($O$20:$O$39,Lister!$D$29,T20:T39)+SUMIF($O$20:$O$39,Lister!$D$30,T20:T39)</f>
        <v>0</v>
      </c>
      <c r="U80" s="316">
        <f>+SUMIF($O$20:$O$39,Lister!$D$29,U20:U39)+SUMIF($O$20:$O$39,Lister!$D$30,U20:U39)</f>
        <v>0</v>
      </c>
      <c r="V80" s="316">
        <f>+SUMIF($O$20:$O$39,Lister!$D$29,V20:V39)+SUMIF($O$20:$O$39,Lister!$D$30,V20:V39)</f>
        <v>0</v>
      </c>
      <c r="W80" s="316">
        <f>+SUMIF($O$20:$O$39,Lister!$D$29,W20:W39)+SUMIF($O$20:$O$39,Lister!$D$30,W20:W39)</f>
        <v>0</v>
      </c>
      <c r="X80" s="316">
        <f>+SUMIF($O$20:$O$39,Lister!$D$29,X20:X39)+SUMIF($O$20:$O$39,Lister!$D$30,X20:X39)</f>
        <v>0</v>
      </c>
      <c r="Y80" s="316">
        <f>+SUMIF($O$20:$O$39,Lister!$D$29,Y20:Y39)+SUMIF($O$20:$O$39,Lister!$D$30,Y20:Y39)</f>
        <v>0</v>
      </c>
      <c r="Z80" s="316">
        <f>+SUMIF($O$20:$O$39,Lister!$D$29,Z20:Z39)+SUMIF($O$20:$O$39,Lister!$D$30,Z20:Z39)</f>
        <v>0</v>
      </c>
      <c r="AA80" s="316">
        <f>+SUMIF($O$20:$O$39,Lister!$D$29,AA20:AA39)+SUMIF($O$20:$O$39,Lister!$D$30,AA20:AA39)</f>
        <v>0</v>
      </c>
      <c r="AB80" s="316">
        <f>+SUMIF($O$20:$O$39,Lister!$D$29,AB20:AB39)+SUMIF($O$20:$O$39,Lister!$D$30,AB20:AB39)</f>
        <v>0</v>
      </c>
      <c r="AC80" s="140">
        <f>SUM(S80:AB80)</f>
        <v>0</v>
      </c>
      <c r="AF80" s="71"/>
      <c r="AG80" s="71"/>
      <c r="AH80" s="71"/>
      <c r="AI80" s="71"/>
      <c r="AJ80" s="71"/>
      <c r="AK80" s="71"/>
      <c r="AL80" s="71"/>
      <c r="AM80" s="71"/>
      <c r="AN80" s="71"/>
      <c r="AO80" s="71"/>
      <c r="AP80" s="71"/>
      <c r="AQ80" s="71"/>
      <c r="AR80" s="71"/>
      <c r="AS80" s="71"/>
    </row>
    <row r="81" spans="1:62" ht="14.25" customHeight="1">
      <c r="N81" s="78"/>
      <c r="O81" s="89"/>
      <c r="P81" s="89"/>
      <c r="Q81" s="148" t="s">
        <v>75</v>
      </c>
      <c r="R81" s="309">
        <f t="shared" si="96"/>
        <v>0</v>
      </c>
      <c r="S81" s="310">
        <f>+SUMIF($O$43:$O$55,Lister!$D$29,S43:S55)+SUMIF($O$43:$O$55,Lister!$D$30,S43:S55)</f>
        <v>0</v>
      </c>
      <c r="T81" s="319">
        <f>+SUMIF($O$43:$O$55,Lister!$D$29,T43:T55)+SUMIF($O$43:$O$55,Lister!$D$30,T43:T55)</f>
        <v>0</v>
      </c>
      <c r="U81" s="310">
        <f>+SUMIF($O$43:$O$55,Lister!$D$29,U43:U55)+SUMIF($O$43:$O$55,Lister!$D$30,U43:U55)</f>
        <v>0</v>
      </c>
      <c r="V81" s="319">
        <f>+SUMIF($O$43:$O$55,Lister!$D$29,V43:V55)+SUMIF($O$43:$O$55,Lister!$D$30,V43:V55)</f>
        <v>0</v>
      </c>
      <c r="W81" s="310">
        <f>+SUMIF($O$43:$O$55,Lister!$D$29,W43:W55)+SUMIF($O$43:$O$55,Lister!$D$30,W43:W55)</f>
        <v>0</v>
      </c>
      <c r="X81" s="320">
        <f>+SUMIF($O$43:$O$55,Lister!$D$29,X43:X55)+SUMIF($O$43:$O$55,Lister!$D$30,X43:X55)</f>
        <v>0</v>
      </c>
      <c r="Y81" s="295">
        <f>+SUMIF($O$43:$O$55,Lister!$D$29,Y43:Y55)+SUMIF($O$43:$O$55,Lister!$D$30,Y43:Y55)</f>
        <v>0</v>
      </c>
      <c r="Z81" s="113">
        <f>+SUMIF($O$43:$O$55,Lister!$D$29,Z43:Z55)+SUMIF($O$43:$O$55,Lister!$D$30,Z43:Z55)</f>
        <v>0</v>
      </c>
      <c r="AA81" s="113">
        <f>+SUMIF($O$43:$O$55,Lister!$D$29,AA43:AA55)+SUMIF($O$43:$O$55,Lister!$D$30,AA43:AA55)</f>
        <v>0</v>
      </c>
      <c r="AB81" s="113">
        <f>+SUMIF($O$43:$O$55,Lister!$D$29,AB43:AB55)+SUMIF($O$43:$O$55,Lister!$D$30,AB43:AB55)</f>
        <v>0</v>
      </c>
      <c r="AC81" s="141">
        <f t="shared" ref="AC81:AC89" si="97">SUM(S81:AB81)</f>
        <v>0</v>
      </c>
      <c r="AF81" s="71"/>
      <c r="AG81" s="71"/>
      <c r="AH81" s="71"/>
      <c r="AI81" s="71"/>
      <c r="AJ81" s="71"/>
      <c r="AK81" s="71"/>
      <c r="AL81" s="71"/>
      <c r="AM81" s="71"/>
      <c r="AN81" s="71"/>
      <c r="AO81" s="71"/>
      <c r="AP81" s="71"/>
      <c r="AQ81" s="71"/>
      <c r="AR81" s="70"/>
      <c r="AS81" s="70"/>
    </row>
    <row r="82" spans="1:62" s="14" customFormat="1" ht="14.25" customHeight="1">
      <c r="N82" s="70"/>
      <c r="O82" s="85"/>
      <c r="P82" s="85"/>
      <c r="Q82" s="149" t="s">
        <v>76</v>
      </c>
      <c r="R82" s="312">
        <f t="shared" si="96"/>
        <v>0</v>
      </c>
      <c r="S82" s="313">
        <f t="shared" ref="S82:AB82" si="98">+SUM(S80:S81)</f>
        <v>0</v>
      </c>
      <c r="T82" s="313">
        <f t="shared" si="98"/>
        <v>0</v>
      </c>
      <c r="U82" s="313">
        <f t="shared" si="98"/>
        <v>0</v>
      </c>
      <c r="V82" s="313">
        <f t="shared" si="98"/>
        <v>0</v>
      </c>
      <c r="W82" s="313">
        <f t="shared" si="98"/>
        <v>0</v>
      </c>
      <c r="X82" s="314">
        <f t="shared" si="98"/>
        <v>0</v>
      </c>
      <c r="Y82" s="142">
        <f t="shared" si="98"/>
        <v>0</v>
      </c>
      <c r="Z82" s="137">
        <f t="shared" si="98"/>
        <v>0</v>
      </c>
      <c r="AA82" s="137">
        <f t="shared" si="98"/>
        <v>0</v>
      </c>
      <c r="AB82" s="137">
        <f t="shared" si="98"/>
        <v>0</v>
      </c>
      <c r="AC82" s="138">
        <f t="shared" si="97"/>
        <v>0</v>
      </c>
      <c r="AF82" s="71"/>
      <c r="AG82" s="71"/>
      <c r="AH82" s="71"/>
      <c r="AI82" s="71"/>
      <c r="AJ82" s="71"/>
      <c r="AK82" s="71"/>
      <c r="AL82" s="71"/>
      <c r="AM82" s="71"/>
      <c r="AN82" s="71"/>
      <c r="AO82" s="71"/>
      <c r="AP82" s="71"/>
      <c r="AQ82" s="71"/>
      <c r="AR82" s="79"/>
      <c r="AS82" s="79"/>
    </row>
    <row r="83" spans="1:62" ht="14.25" customHeight="1">
      <c r="N83" s="70"/>
      <c r="O83" s="85"/>
      <c r="P83" s="85"/>
      <c r="Q83" s="149" t="s">
        <v>77</v>
      </c>
      <c r="R83" s="312">
        <f t="shared" si="96"/>
        <v>0</v>
      </c>
      <c r="S83" s="313">
        <f>+SUMIF($O$62:$O$74,Lister!$D$29,C62:C74)+SUMIF($O$62:$O$74,Lister!$D$30,C62:C74)-SUMIFS(C62:C74,$O$62:$O$74,Lister!$D$29,$A$62:$A$74,Lister!$M$9)-SUMIFS(C62:C74,$O$62:$O$74,Lister!$D$30,$A$62:$A$74,Lister!$M$9)</f>
        <v>0</v>
      </c>
      <c r="T83" s="313">
        <f>+SUMIF($O$62:$O$74,Lister!$D$29,D62:D74)+SUMIF($O$62:$O$74,Lister!$D$30,D62:D74)-SUMIFS(D62:D74,$O$62:$O$74,Lister!$D$29,$A$62:$A$74,Lister!$M$9)-SUMIFS(D62:D74,$O$62:$O$74,Lister!$D$30,$A$62:$A$74,Lister!$M$9)</f>
        <v>0</v>
      </c>
      <c r="U83" s="313">
        <f>+SUMIF($O$62:$O$74,Lister!$D$29,E62:E74)+SUMIF($O$62:$O$74,Lister!$D$30,E62:E74)-SUMIFS(E62:E74,$O$62:$O$74,Lister!$D$29,$A$62:$A$74,Lister!$M$9)-SUMIFS(E62:E74,$O$62:$O$74,Lister!$D$30,$A$62:$A$74,Lister!$M$9)</f>
        <v>0</v>
      </c>
      <c r="V83" s="313">
        <f>+SUMIF($O$62:$O$74,Lister!$D$29,F62:F74)+SUMIF($O$62:$O$74,Lister!$D$30,F62:F74)-SUMIFS(F62:F74,$O$62:$O$74,Lister!$D$29,$A$62:$A$74,Lister!$M$9)-SUMIFS(F62:F74,$O$62:$O$74,Lister!$D$30,$A$62:$A$74,Lister!$M$9)</f>
        <v>0</v>
      </c>
      <c r="W83" s="313">
        <f>+SUMIF($O$62:$O$74,Lister!$D$29,G62:G74)+SUMIF($O$62:$O$74,Lister!$D$30,G62:G74)-SUMIFS(G62:G74,$O$62:$O$74,Lister!$D$29,$A$62:$A$74,Lister!$M$9)-SUMIFS(G62:G74,$O$62:$O$74,Lister!$D$30,$A$62:$A$74,Lister!$M$9)</f>
        <v>0</v>
      </c>
      <c r="X83" s="314">
        <f>+SUMIF($O$62:$O$74,Lister!$D$29,H62:H74)+SUMIF($O$62:$O$74,Lister!$D$30,H62:H74)-SUMIFS(H62:H74,$O$62:$O$74,Lister!$D$29,$A$62:$A$74,Lister!$M$9)-SUMIFS(H62:H74,$O$62:$O$74,Lister!$D$30,$A$62:$A$74,Lister!$M$9)</f>
        <v>0</v>
      </c>
      <c r="Y83" s="296">
        <f>+SUMIF($O$62:$O$74,Lister!$D$29,I62:I74)+SUMIF($O$62:$O$74,Lister!$D$30,I62:I74)-SUMIFS(I62:I74,$O$62:$O$74,Lister!$D$29,$A$62:$A$74,Lister!$M$9)-SUMIFS(I62:I74,$O$62:$O$74,Lister!$D$30,$A$62:$A$74,Lister!$M$9)</f>
        <v>0</v>
      </c>
      <c r="Z83" s="137">
        <f>+SUMIF($O$62:$O$74,Lister!$D$29,J62:J74)+SUMIF($O$62:$O$74,Lister!$D$30,J62:J74)-SUMIFS(J62:J74,$O$62:$O$74,Lister!$D$29,$A$62:$A$74,Lister!$M$9)-SUMIFS(J62:J74,$O$62:$O$74,Lister!$D$30,$A$62:$A$74,Lister!$M$9)</f>
        <v>0</v>
      </c>
      <c r="AA83" s="137">
        <f>+SUMIF($O$62:$O$74,Lister!$D$29,K62:K74)+SUMIF($O$62:$O$74,Lister!$D$30,K62:K74)-SUMIFS(K62:K74,$O$62:$O$74,Lister!$D$29,$A$62:$A$74,Lister!$M$9)-SUMIFS(K62:K74,$O$62:$O$74,Lister!$D$30,$A$62:$A$74,Lister!$M$9)</f>
        <v>0</v>
      </c>
      <c r="AB83" s="137">
        <f>+SUMIF($O$62:$O$74,Lister!$D$29,L62:L74)+SUMIF($O$62:$O$74,Lister!$D$30,L62:L74)-SUMIFS(L62:L74,$O$62:$O$74,Lister!$D$29,$A$62:$A$74,Lister!$M$9)-SUMIFS(L62:L74,$O$62:$O$74,Lister!$D$30,$A$62:$A$74,Lister!$M$9)</f>
        <v>0</v>
      </c>
      <c r="AC83" s="138">
        <f t="shared" si="97"/>
        <v>0</v>
      </c>
      <c r="AF83" s="70"/>
      <c r="AG83" s="70"/>
      <c r="AH83" s="70"/>
      <c r="AI83" s="70"/>
      <c r="AJ83" s="70"/>
      <c r="AK83" s="70"/>
      <c r="AL83" s="70"/>
      <c r="AM83" s="70"/>
      <c r="AN83" s="70"/>
      <c r="AO83" s="70"/>
      <c r="AP83" s="70"/>
      <c r="AQ83" s="70"/>
      <c r="AR83" s="70"/>
      <c r="AS83" s="70"/>
    </row>
    <row r="84" spans="1:62" s="9" customFormat="1" ht="14.25" customHeight="1">
      <c r="N84" s="79"/>
      <c r="O84" s="90"/>
      <c r="P84" s="90"/>
      <c r="Q84" s="149" t="s">
        <v>78</v>
      </c>
      <c r="R84" s="312">
        <f t="shared" si="96"/>
        <v>0</v>
      </c>
      <c r="S84" s="313">
        <f t="shared" ref="S84:AB84" si="99">+S82+S83</f>
        <v>0</v>
      </c>
      <c r="T84" s="313">
        <f t="shared" si="99"/>
        <v>0</v>
      </c>
      <c r="U84" s="313">
        <f t="shared" si="99"/>
        <v>0</v>
      </c>
      <c r="V84" s="313">
        <f t="shared" si="99"/>
        <v>0</v>
      </c>
      <c r="W84" s="313">
        <f t="shared" si="99"/>
        <v>0</v>
      </c>
      <c r="X84" s="314">
        <f t="shared" si="99"/>
        <v>0</v>
      </c>
      <c r="Y84" s="296">
        <f t="shared" si="99"/>
        <v>0</v>
      </c>
      <c r="Z84" s="137">
        <f t="shared" si="99"/>
        <v>0</v>
      </c>
      <c r="AA84" s="137">
        <f t="shared" si="99"/>
        <v>0</v>
      </c>
      <c r="AB84" s="137">
        <f t="shared" si="99"/>
        <v>0</v>
      </c>
      <c r="AC84" s="138">
        <f t="shared" si="97"/>
        <v>0</v>
      </c>
      <c r="AF84" s="79"/>
      <c r="AG84" s="79"/>
      <c r="AH84" s="79"/>
      <c r="AI84" s="79"/>
      <c r="AJ84" s="79"/>
      <c r="AK84" s="79"/>
      <c r="AL84" s="79"/>
      <c r="AM84" s="79"/>
      <c r="AN84" s="79"/>
      <c r="AO84" s="79"/>
      <c r="AP84" s="79"/>
      <c r="AQ84" s="79"/>
      <c r="AR84" s="71"/>
      <c r="AS84" s="71"/>
    </row>
    <row r="85" spans="1:62" ht="14.25" customHeight="1">
      <c r="N85" s="70"/>
      <c r="O85" s="85"/>
      <c r="P85" s="85"/>
      <c r="Q85" s="150" t="s">
        <v>0</v>
      </c>
      <c r="R85" s="312">
        <f t="shared" si="96"/>
        <v>0</v>
      </c>
      <c r="S85" s="153">
        <f>IF($C$12=2,S82*$C$6/100,
IF($G$6=Lister!$D$4,S82*$C$6/100,
IF($G$6=Lister!$D$5,S84*$C$6/100,
IF($G$6=Lister!$D$6,(S84-SUMIFS(C62:C74,$O$62:$O$74,Lister!$D$29,$A$62:$A$74,Lister!$M$10)-SUMIFS(C62:C74,$O$62:$O$74,Lister!$D$30,$A$62:$A$74,Lister!$M$10))*$C$6/100,
IF($G$6=Lister!$D$7,(S84-SUMIFS(C62:C74,$O$62:$O$74,Lister!$D$29,$A$62:$A$74,Lister!$M$10)-SUMIFS(C62:C74,$O$62:$O$74,Lister!$D$30,$A$62:$A$74,Lister!$M$10)-SUMIFS(C62:C74,$O$62:$O$74,Lister!$D$29,$A$62:$A$74,Lister!$M$7)-SUMIFS(C62:C74,$O$62:$O$74,Lister!$D$30,$A$62:$A$74,Lister!$M$7))*$C$6/100,
IF($G$6=Lister!$D$8,(S84+S86)*$C$6/100,
IF($G$6=Lister!$D$9,S83*$C$6/100,0)))))))</f>
        <v>0</v>
      </c>
      <c r="T85" s="323">
        <f>IF($C$12=2,T82*$C$6/100,
IF($G$6=Lister!$D$4,T82*$C$6/100,
IF($G$6=Lister!$D$5,T84*$C$6/100,
IF($G$6=Lister!$D$6,(T84-SUMIFS(D62:D74,$O$62:$O$74,Lister!$D$29,$A$62:$A$74,Lister!$M$10)-SUMIFS(D62:D74,$O$62:$O$74,Lister!$D$30,$A$62:$A$74,Lister!$M$10))*$C$6/100,
IF($G$6=Lister!$D$7,(T84-SUMIFS(D62:D74,$O$62:$O$74,Lister!$D$29,$A$62:$A$74,Lister!$M$10)-SUMIFS(D62:D74,$O$62:$O$74,Lister!$D$30,$A$62:$A$74,Lister!$M$10)-SUMIFS(D62:D74,$O$62:$O$74,Lister!$D$29,$A$62:$A$74,Lister!$M$7)-SUMIFS(D62:D74,$O$62:$O$74,Lister!$D$30,$A$62:$A$74,Lister!$M$7))*$C$6/100,
IF($G$6=Lister!$D$8,(T84+T86)*$C$6/100,
IF($G$6=Lister!$D$9,T83*$C$6/100,0)))))))</f>
        <v>0</v>
      </c>
      <c r="U85" s="323">
        <f>IF($C$12=2,U82*$C$6/100,
IF($G$6=Lister!$D$4,U82*$C$6/100,
IF($G$6=Lister!$D$5,U84*$C$6/100,
IF($G$6=Lister!$D$6,(U84-SUMIFS(E62:E74,$O$62:$O$74,Lister!$D$29,$A$62:$A$74,Lister!$M$10)-SUMIFS(E62:E74,$O$62:$O$74,Lister!$D$30,$A$62:$A$74,Lister!$M$10))*$C$6/100,
IF($G$6=Lister!$D$7,(U84-SUMIFS(E62:E74,$O$62:$O$74,Lister!$D$29,$A$62:$A$74,Lister!$M$10)-SUMIFS(E62:E74,$O$62:$O$74,Lister!$D$30,$A$62:$A$74,Lister!$M$10)-SUMIFS(E62:E74,$O$62:$O$74,Lister!$D$29,$A$62:$A$74,Lister!$M$7)-SUMIFS(E62:E74,$O$62:$O$74,Lister!$D$30,$A$62:$A$74,Lister!$M$7))*$C$6/100,
IF($G$6=Lister!$D$8,(U84+U86)*$C$6/100,
IF($G$6=Lister!$D$9,U83*$C$6/100,0)))))))</f>
        <v>0</v>
      </c>
      <c r="V85" s="323">
        <f>IF($C$12=2,V82*$C$6/100,
IF($G$6=Lister!$D$4,V82*$C$6/100,
IF($G$6=Lister!$D$5,V84*$C$6/100,
IF($G$6=Lister!$D$6,(V84-SUMIFS(F62:F74,$O$62:$O$74,Lister!$D$29,$A$62:$A$74,Lister!$M$10)-SUMIFS(F62:F74,$O$62:$O$74,Lister!$D$30,$A$62:$A$74,Lister!$M$10))*$C$6/100,
IF($G$6=Lister!$D$7,(V84-SUMIFS(F62:F74,$O$62:$O$74,Lister!$D$29,$A$62:$A$74,Lister!$M$10)-SUMIFS(F62:F74,$O$62:$O$74,Lister!$D$30,$A$62:$A$74,Lister!$M$10)-SUMIFS(F62:F74,$O$62:$O$74,Lister!$D$29,$A$62:$A$74,Lister!$M$7)-SUMIFS(F62:F74,$O$62:$O$74,Lister!$D$30,$A$62:$A$74,Lister!$M$7))*$C$6/100,
IF($G$6=Lister!$D$8,(V84+V86)*$C$6/100,
IF($G$6=Lister!$D$9,V83*$C$6/100,0)))))))</f>
        <v>0</v>
      </c>
      <c r="W85" s="323">
        <f>IF($C$12=2,W82*$C$6/100,
IF($G$6=Lister!$D$4,W82*$C$6/100,
IF($G$6=Lister!$D$5,W84*$C$6/100,
IF($G$6=Lister!$D$6,(W84-SUMIFS(G62:G74,$O$62:$O$74,Lister!$D$29,$A$62:$A$74,Lister!$M$10)-SUMIFS(G62:G74,$O$62:$O$74,Lister!$D$30,$A$62:$A$74,Lister!$M$10))*$C$6/100,
IF($G$6=Lister!$D$7,(W84-SUMIFS(G62:G74,$O$62:$O$74,Lister!$D$29,$A$62:$A$74,Lister!$M$10)-SUMIFS(G62:G74,$O$62:$O$74,Lister!$D$30,$A$62:$A$74,Lister!$M$10)-SUMIFS(G62:G74,$O$62:$O$74,Lister!$D$29,$A$62:$A$74,Lister!$M$7)-SUMIFS(G62:G74,$O$62:$O$74,Lister!$D$30,$A$62:$A$74,Lister!$M$7))*$C$6/100,
IF($G$6=Lister!$D$8,(W84+W86)*$C$6/100,
IF($G$6=Lister!$D$9,W83*$C$6/100,0)))))))</f>
        <v>0</v>
      </c>
      <c r="X85" s="324">
        <f>IF($C$12=2,X82*$C$6/100,
IF($G$6=Lister!$D$4,X82*$C$6/100,
IF($G$6=Lister!$D$5,X84*$C$6/100,
IF($G$6=Lister!$D$6,(X84-SUMIFS(H62:H74,$O$62:$O$74,Lister!$D$29,$A$62:$A$74,Lister!$M$10)-SUMIFS(H62:H74,$O$62:$O$74,Lister!$D$30,$A$62:$A$74,Lister!$M$10))*$C$6/100,
IF($G$6=Lister!$D$7,(X84-SUMIFS(H62:H74,$O$62:$O$74,Lister!$D$29,$A$62:$A$74,Lister!$M$10)-SUMIFS(H62:H74,$O$62:$O$74,Lister!$D$30,$A$62:$A$74,Lister!$M$10)-SUMIFS(H62:H74,$O$62:$O$74,Lister!$D$29,$A$62:$A$74,Lister!$M$7)-SUMIFS(H62:H74,$O$62:$O$74,Lister!$D$30,$A$62:$A$74,Lister!$M$7))*$C$6/100,
IF($G$6=Lister!$D$8,(X84+X86)*$C$6/100,
IF($G$6=Lister!$D$9,X83*$C$6/100,0)))))))</f>
        <v>0</v>
      </c>
      <c r="Y85" s="205">
        <f>IF($C$12=2,Y82*$C$6/100,
IF($G$6=Lister!$D$4,Y82*$C$6/100,
IF($G$6=Lister!$D$5,Y84*$C$6/100,
IF($G$6=Lister!$D$6,(Y84-SUMIFS(I62:I74,$O$62:$O$74,Lister!$D$29,$A$62:$A$74,Lister!$M$10)-SUMIFS(I62:I74,$O$62:$O$74,Lister!$D$30,$A$62:$A$74,Lister!$M$10))*$C$6/100,
IF($G$6=Lister!$D$7,(Y84-SUMIFS(I62:I74,$O$62:$O$74,Lister!$D$29,$A$62:$A$74,Lister!$M$10)-SUMIFS(I62:I74,$O$62:$O$74,Lister!$D$30,$A$62:$A$74,Lister!$M$10)-SUMIFS(I62:I74,$O$62:$O$74,Lister!$D$29,$A$62:$A$74,Lister!$M$7)-SUMIFS(I62:I74,$O$62:$O$74,Lister!$D$30,$A$62:$A$74,Lister!$M$7))*$C$6/100,
IF($G$6=Lister!$D$8,(Y84+Y86)*$C$6/100,
IF($G$6=Lister!$D$9,Y83*$C$6/100,0)))))))</f>
        <v>0</v>
      </c>
      <c r="Z85" s="204">
        <f>IF($C$12=2,Z82*$C$6/100,
IF($G$6=Lister!$D$4,Z82*$C$6/100,
IF($G$6=Lister!$D$5,Z84*$C$6/100,
IF($G$6=Lister!$D$6,(Z84-SUMIFS(J62:J74,$O$62:$O$74,Lister!$D$29,$A$62:$A$74,Lister!$M$10)-SUMIFS(J62:J74,$O$62:$O$74,Lister!$D$30,$A$62:$A$74,Lister!$M$10))*$C$6/100,
IF($G$6=Lister!$D$7,(Z84-SUMIFS(J62:J74,$O$62:$O$74,Lister!$D$29,$A$62:$A$74,Lister!$M$10)-SUMIFS(J62:J74,$O$62:$O$74,Lister!$D$30,$A$62:$A$74,Lister!$M$10)-SUMIFS(J62:J74,$O$62:$O$74,Lister!$D$29,$A$62:$A$74,Lister!$M$7)-SUMIFS(J62:J74,$O$62:$O$74,Lister!$D$30,$A$62:$A$74,Lister!$M$7))*$C$6/100,
IF($G$6=Lister!$D$8,(Z84+Z86)*$C$6/100,
IF($G$6=Lister!$D$9,Z83*$C$6/100,0)))))))</f>
        <v>0</v>
      </c>
      <c r="AA85" s="204">
        <f>IF($C$12=2,AA82*$C$6/100,
IF($G$6=Lister!$D$4,AA82*$C$6/100,
IF($G$6=Lister!$D$5,AA84*$C$6/100,
IF($G$6=Lister!$D$6,(AA84-SUMIFS(K62:K74,$O$62:$O$74,Lister!$D$29,$A$62:$A$74,Lister!$M$10)-SUMIFS(K62:K74,$O$62:$O$74,Lister!$D$30,$A$62:$A$74,Lister!$M$10))*$C$6/100,
IF($G$6=Lister!$D$7,(AA84-SUMIFS(K62:K74,$O$62:$O$74,Lister!$D$29,$A$62:$A$74,Lister!$M$10)-SUMIFS(K62:K74,$O$62:$O$74,Lister!$D$30,$A$62:$A$74,Lister!$M$10)-SUMIFS(K62:K74,$O$62:$O$74,Lister!$D$29,$A$62:$A$74,Lister!$M$7)-SUMIFS(K62:K74,$O$62:$O$74,Lister!$D$30,$A$62:$A$74,Lister!$M$7))*$C$6/100,
IF($G$6=Lister!$D$8,(AA84+AA86)*$C$6/100,
IF($G$6=Lister!$D$9,AA83*$C$6/100,0)))))))</f>
        <v>0</v>
      </c>
      <c r="AB85" s="204">
        <f>IF($C$12=2,AB82*$C$6/100,
IF($G$6=Lister!$D$4,AB82*$C$6/100,
IF($G$6=Lister!$D$5,AB84*$C$6/100,
IF($G$6=Lister!$D$6,(AB84-SUMIFS(L62:L74,$O$62:$O$74,Lister!$D$29,$A$62:$A$74,Lister!$M$10)-SUMIFS(L62:L74,$O$62:$O$74,Lister!$D$30,$A$62:$A$74,Lister!$M$10))*$C$6/100,
IF($G$6=Lister!$D$7,(AB84-SUMIFS(L62:L74,$O$62:$O$74,Lister!$D$29,$A$62:$A$74,Lister!$M$10)-SUMIFS(L62:L74,$O$62:$O$74,Lister!$D$30,$A$62:$A$74,Lister!$M$10)-SUMIFS(L62:L74,$O$62:$O$74,Lister!$D$29,$A$62:$A$74,Lister!$M$7)-SUMIFS(L62:L74,$O$62:$O$74,Lister!$D$30,$A$62:$A$74,Lister!$M$7))*$C$6/100,
IF($G$6=Lister!$D$8,(AB84+AB86)*$C$6/100,
IF($G$6=Lister!$D$9,AB83*$C$6/100,0)))))))</f>
        <v>0</v>
      </c>
      <c r="AC85" s="138">
        <f t="shared" si="97"/>
        <v>0</v>
      </c>
      <c r="AF85" s="70"/>
      <c r="AG85" s="70"/>
      <c r="AH85" s="70"/>
      <c r="AI85" s="70"/>
      <c r="AJ85" s="70"/>
      <c r="AK85" s="70"/>
      <c r="AL85" s="70"/>
      <c r="AM85" s="70"/>
      <c r="AN85" s="70"/>
      <c r="AO85" s="70"/>
      <c r="AP85" s="70"/>
      <c r="AQ85" s="70"/>
      <c r="AR85" s="70"/>
      <c r="AS85" s="70"/>
    </row>
    <row r="86" spans="1:62" s="9" customFormat="1" ht="14.25" customHeight="1">
      <c r="N86" s="71"/>
      <c r="O86" s="87"/>
      <c r="P86" s="87"/>
      <c r="Q86" s="151" t="s">
        <v>103</v>
      </c>
      <c r="R86" s="312">
        <f t="shared" si="96"/>
        <v>0</v>
      </c>
      <c r="S86" s="153">
        <f>+IF($C$8=Lister!$O$5,(SUMIF($O$20:$O$29,Lister!$D$29,C20:C29)+SUMIF($O$20:$O$29,Lister!$D$30,C20:C29))*Takstblad!C$84,0)</f>
        <v>0</v>
      </c>
      <c r="T86" s="153">
        <f>+IF($C$8=Lister!$O$5,(SUMIF($O$20:$O$29,Lister!$D$29,D20:D29)+SUMIF($O$20:$O$29,Lister!$D$30,D20:D29))*Takstblad!D$84,0)</f>
        <v>0</v>
      </c>
      <c r="U86" s="153">
        <f>+IF($C$8=Lister!$O$5,(SUMIF($O$20:$O$29,Lister!$D$29,E20:E29)+SUMIF($O$20:$O$29,Lister!$D$30,E20:E29))*Takstblad!E$84,0)</f>
        <v>0</v>
      </c>
      <c r="V86" s="153">
        <f>+IF($C$8=Lister!$O$5,(SUMIF($O$20:$O$29,Lister!$D$29,F20:F29)+SUMIF($O$20:$O$29,Lister!$D$30,F20:F29))*Takstblad!F$84,0)</f>
        <v>0</v>
      </c>
      <c r="W86" s="153">
        <f>+IF($C$8=Lister!$O$5,(SUMIF($O$20:$O$29,Lister!$D$29,G20:G29)+SUMIF($O$20:$O$29,Lister!$D$30,G20:G29))*Takstblad!G$84,0)</f>
        <v>0</v>
      </c>
      <c r="X86" s="300">
        <f>+IF($C$8=Lister!$O$5,(SUMIF($O$20:$O$29,Lister!$D$29,H20:H29)+SUMIF($O$20:$O$29,Lister!$D$30,H20:H29))*Takstblad!H$84,0)</f>
        <v>0</v>
      </c>
      <c r="Y86" s="110">
        <f>+IF($C$8=Lister!$O$5,(SUMIF($O$20:$O$29,Lister!$D$29,I20:I29)+SUMIF($O$20:$O$29,Lister!$D$30,I20:I29))*Takstblad!I$84,0)</f>
        <v>0</v>
      </c>
      <c r="Z86" s="21">
        <f>+IF($C$8=Lister!$O$5,(SUMIF($O$20:$O$29,Lister!$D$29,J20:J29)+SUMIF($O$20:$O$29,Lister!$D$30,J20:J29))*Takstblad!J$84,0)</f>
        <v>0</v>
      </c>
      <c r="AA86" s="21">
        <f>+IF($C$8=Lister!$O$5,(SUMIF($O$20:$O$29,Lister!$D$29,K20:K29)+SUMIF($O$20:$O$29,Lister!$D$30,K20:K29))*Takstblad!K$84,0)</f>
        <v>0</v>
      </c>
      <c r="AB86" s="21">
        <f>+IF($C$8=Lister!$O$5,(SUMIF($O$20:$O$29,Lister!$D$29,L20:L29)+SUMIF($O$20:$O$29,Lister!$D$30,L20:L29))*Takstblad!L$84,0)</f>
        <v>0</v>
      </c>
      <c r="AC86" s="138">
        <f t="shared" si="97"/>
        <v>0</v>
      </c>
      <c r="AF86" s="71"/>
      <c r="AG86" s="71"/>
      <c r="AH86" s="71"/>
      <c r="AI86" s="71"/>
      <c r="AJ86" s="71"/>
      <c r="AK86" s="71"/>
      <c r="AL86" s="71"/>
      <c r="AM86" s="71"/>
      <c r="AN86" s="71"/>
      <c r="AO86" s="71"/>
      <c r="AP86" s="71"/>
      <c r="AQ86" s="71"/>
      <c r="AR86" s="71"/>
      <c r="AS86" s="71"/>
    </row>
    <row r="87" spans="1:62" s="9" customFormat="1" ht="14.25" customHeight="1">
      <c r="N87" s="70"/>
      <c r="O87" s="85"/>
      <c r="P87" s="85"/>
      <c r="Q87" s="151" t="s">
        <v>108</v>
      </c>
      <c r="R87" s="312">
        <f t="shared" si="96"/>
        <v>0</v>
      </c>
      <c r="S87" s="153">
        <f>+IF($C$8="Project-Supplement",((
SUMIFS(C20:C39,$O$20:$O$39,Lister!$D$30,$A$20:$A$39,Lister!$A$21)
+SUMIFS(C20:C39,$O$20:$O$39,Lister!$D$30,$A$20:$A$39,Lister!$A$31)
+SUMIFS(C20:C39,$O$20:$O$39,Lister!$D$30,$A$20:$A$39,Lister!$A$32)
+SUMIFS(C20:C39,$O$20:$O$39,Lister!$D$30,$A$20:$A$39,Lister!$A$22)
+SUMIFS(C20:C39,$O$20:$O$39,Lister!$D$30,$A$20:$A$39,Lister!$A$23)
+SUMIFS(C20:C39,$O$20:$O$39,Lister!$D$30,$A$20:$A$39,Lister!$A$20)
+SUMIFS(C20:C39,$O$20:$O$39,Lister!$D$30,$A$20:$A$39,Lister!$A$34)
+SUMIFS(C20:C39,$O$20:$O$39,Lister!$D$30,$A$20:$A$39,Lister!$A$33)
+SUMIFS(C20:C39,$O$20:$O$39,Lister!$D$29,$A$20:$A$39,Lister!$A$21)
+SUMIFS(C20:C39,$O$20:$O$39,Lister!$D$29,$A$20:$A$39,Lister!$A$31)
+SUMIFS(C20:C39,$O$20:$O$39,Lister!$D$29,$A$20:$A$39,Lister!$A$32)
+SUMIFS(C20:C39,$O$20:$O$39,Lister!$D$29,$A$20:$A$39,Lister!$A$22)
+SUMIFS(C20:C39,$O$20:$O$39,Lister!$D$29,$A$20:$A$39,Lister!$A$23)
+SUMIFS(C20:C39,$O$20:$O$39,Lister!$D$29,$A$20:$A$39,Lister!$A$20)
+SUMIFS(C20:C39,$O$20:$O$39,Lister!$D$29,$A$20:$A$39,Lister!$A$34)
+SUMIFS(C20:C39,$O$20:$O$39,Lister!$D$29,$A$20:$A$39,Lister!$A$33))
/12)*Takstblad!C$85,0)</f>
        <v>0</v>
      </c>
      <c r="T87" s="155">
        <f>+IF($C$8="Project-Supplement",((
SUMIFS(D20:D39,$O$20:$O$39,Lister!$D$30,$A$20:$A$39,Lister!$A$21)
+SUMIFS(D20:D39,$O$20:$O$39,Lister!$D$30,$A$20:$A$39,Lister!$A$31)
+SUMIFS(D20:D39,$O$20:$O$39,Lister!$D$30,$A$20:$A$39,Lister!$A$32)
+SUMIFS(D20:D39,$O$20:$O$39,Lister!$D$30,$A$20:$A$39,Lister!$A$22)
+SUMIFS(D20:D39,$O$20:$O$39,Lister!$D$30,$A$20:$A$39,Lister!$A$23)
+SUMIFS(D20:D39,$O$20:$O$39,Lister!$D$30,$A$20:$A$39,Lister!$A$20)
+SUMIFS(D20:D39,$O$20:$O$39,Lister!$D$30,$A$20:$A$39,Lister!$A$34)
+SUMIFS(D20:D39,$O$20:$O$39,Lister!$D$30,$A$20:$A$39,Lister!$A$33)
+SUMIFS(D20:D39,$O$20:$O$39,Lister!$D$29,$A$20:$A$39,Lister!$A$21)
+SUMIFS(D20:D39,$O$20:$O$39,Lister!$D$29,$A$20:$A$39,Lister!$A$31)
+SUMIFS(D20:D39,$O$20:$O$39,Lister!$D$29,$A$20:$A$39,Lister!$A$32)
+SUMIFS(D20:D39,$O$20:$O$39,Lister!$D$29,$A$20:$A$39,Lister!$A$22)
+SUMIFS(D20:D39,$O$20:$O$39,Lister!$D$29,$A$20:$A$39,Lister!$A$23)
+SUMIFS(D20:D39,$O$20:$O$39,Lister!$D$29,$A$20:$A$39,Lister!$A$20)
+SUMIFS(D20:D39,$O$20:$O$39,Lister!$D$29,$A$20:$A$39,Lister!$A$34)
+SUMIFS(D20:D39,$O$20:$O$39,Lister!$D$29,$A$20:$A$39,Lister!$A$33))
/12)*Takstblad!D$85,0)</f>
        <v>0</v>
      </c>
      <c r="U87" s="155">
        <f>+IF($C$8="Project-Supplement",((
SUMIFS(E20:E39,$O$20:$O$39,Lister!$D$30,$A$20:$A$39,Lister!$A$21)
+SUMIFS(E20:E39,$O$20:$O$39,Lister!$D$30,$A$20:$A$39,Lister!$A$31)
+SUMIFS(E20:E39,$O$20:$O$39,Lister!$D$30,$A$20:$A$39,Lister!$A$32)
+SUMIFS(E20:E39,$O$20:$O$39,Lister!$D$30,$A$20:$A$39,Lister!$A$22)
+SUMIFS(E20:E39,$O$20:$O$39,Lister!$D$30,$A$20:$A$39,Lister!$A$23)
+SUMIFS(E20:E39,$O$20:$O$39,Lister!$D$30,$A$20:$A$39,Lister!$A$20)
+SUMIFS(E20:E39,$O$20:$O$39,Lister!$D$30,$A$20:$A$39,Lister!$A$34)
+SUMIFS(E20:E39,$O$20:$O$39,Lister!$D$30,$A$20:$A$39,Lister!$A$33)
+SUMIFS(E20:E39,$O$20:$O$39,Lister!$D$29,$A$20:$A$39,Lister!$A$21)
+SUMIFS(E20:E39,$O$20:$O$39,Lister!$D$29,$A$20:$A$39,Lister!$A$31)
+SUMIFS(E20:E39,$O$20:$O$39,Lister!$D$29,$A$20:$A$39,Lister!$A$32)
+SUMIFS(E20:E39,$O$20:$O$39,Lister!$D$29,$A$20:$A$39,Lister!$A$22)
+SUMIFS(E20:E39,$O$20:$O$39,Lister!$D$29,$A$20:$A$39,Lister!$A$23)
+SUMIFS(E20:E39,$O$20:$O$39,Lister!$D$29,$A$20:$A$39,Lister!$A$20)
+SUMIFS(E20:E39,$O$20:$O$39,Lister!$D$29,$A$20:$A$39,Lister!$A$34)
+SUMIFS(E20:E39,$O$20:$O$39,Lister!$D$29,$A$20:$A$39,Lister!$A$33))
/12)*Takstblad!E$85,0)</f>
        <v>0</v>
      </c>
      <c r="V87" s="155">
        <f>+IF($C$8="Project-Supplement",((
SUMIFS(F20:F39,$O$20:$O$39,Lister!$D$30,$A$20:$A$39,Lister!$A$21)
+SUMIFS(F20:F39,$O$20:$O$39,Lister!$D$30,$A$20:$A$39,Lister!$A$31)
+SUMIFS(F20:F39,$O$20:$O$39,Lister!$D$30,$A$20:$A$39,Lister!$A$32)
+SUMIFS(F20:F39,$O$20:$O$39,Lister!$D$30,$A$20:$A$39,Lister!$A$22)
+SUMIFS(F20:F39,$O$20:$O$39,Lister!$D$30,$A$20:$A$39,Lister!$A$23)
+SUMIFS(F20:F39,$O$20:$O$39,Lister!$D$30,$A$20:$A$39,Lister!$A$20)
+SUMIFS(F20:F39,$O$20:$O$39,Lister!$D$30,$A$20:$A$39,Lister!$A$34)
+SUMIFS(F20:F39,$O$20:$O$39,Lister!$D$30,$A$20:$A$39,Lister!$A$33)
+SUMIFS(F20:F39,$O$20:$O$39,Lister!$D$29,$A$20:$A$39,Lister!$A$21)
+SUMIFS(F20:F39,$O$20:$O$39,Lister!$D$29,$A$20:$A$39,Lister!$A$31)
+SUMIFS(F20:F39,$O$20:$O$39,Lister!$D$29,$A$20:$A$39,Lister!$A$32)
+SUMIFS(F20:F39,$O$20:$O$39,Lister!$D$29,$A$20:$A$39,Lister!$A$22)
+SUMIFS(F20:F39,$O$20:$O$39,Lister!$D$29,$A$20:$A$39,Lister!$A$23)
+SUMIFS(F20:F39,$O$20:$O$39,Lister!$D$29,$A$20:$A$39,Lister!$A$20)
+SUMIFS(F20:F39,$O$20:$O$39,Lister!$D$29,$A$20:$A$39,Lister!$A$34)
+SUMIFS(F20:F39,$O$20:$O$39,Lister!$D$29,$A$20:$A$39,Lister!$A$33))
/12)*Takstblad!F$85,0)</f>
        <v>0</v>
      </c>
      <c r="W87" s="155">
        <f>+IF($C$8="Project-Supplement",((
SUMIFS(G20:G39,$O$20:$O$39,Lister!$D$30,$A$20:$A$39,Lister!$A$21)
+SUMIFS(G20:G39,$O$20:$O$39,Lister!$D$30,$A$20:$A$39,Lister!$A$31)
+SUMIFS(G20:G39,$O$20:$O$39,Lister!$D$30,$A$20:$A$39,Lister!$A$32)
+SUMIFS(G20:G39,$O$20:$O$39,Lister!$D$30,$A$20:$A$39,Lister!$A$22)
+SUMIFS(G20:G39,$O$20:$O$39,Lister!$D$30,$A$20:$A$39,Lister!$A$23)
+SUMIFS(G20:G39,$O$20:$O$39,Lister!$D$30,$A$20:$A$39,Lister!$A$20)
+SUMIFS(G20:G39,$O$20:$O$39,Lister!$D$30,$A$20:$A$39,Lister!$A$34)
+SUMIFS(G20:G39,$O$20:$O$39,Lister!$D$30,$A$20:$A$39,Lister!$A$33)
+SUMIFS(G20:G39,$O$20:$O$39,Lister!$D$29,$A$20:$A$39,Lister!$A$21)
+SUMIFS(G20:G39,$O$20:$O$39,Lister!$D$29,$A$20:$A$39,Lister!$A$31)
+SUMIFS(G20:G39,$O$20:$O$39,Lister!$D$29,$A$20:$A$39,Lister!$A$32)
+SUMIFS(G20:G39,$O$20:$O$39,Lister!$D$29,$A$20:$A$39,Lister!$A$22)
+SUMIFS(G20:G39,$O$20:$O$39,Lister!$D$29,$A$20:$A$39,Lister!$A$23)
+SUMIFS(G20:G39,$O$20:$O$39,Lister!$D$29,$A$20:$A$39,Lister!$A$20)
+SUMIFS(G20:G39,$O$20:$O$39,Lister!$D$29,$A$20:$A$39,Lister!$A$34)
+SUMIFS(G20:G39,$O$20:$O$39,Lister!$D$29,$A$20:$A$39,Lister!$A$33))
/12)*Takstblad!G$85,0)</f>
        <v>0</v>
      </c>
      <c r="X87" s="308">
        <f>+IF($C$8="Project-Supplement",((
SUMIFS(H20:H39,$O$20:$O$39,Lister!$D$30,$A$20:$A$39,Lister!$A$21)
+SUMIFS(H20:H39,$O$20:$O$39,Lister!$D$30,$A$20:$A$39,Lister!$A$31)
+SUMIFS(H20:H39,$O$20:$O$39,Lister!$D$30,$A$20:$A$39,Lister!$A$32)
+SUMIFS(H20:H39,$O$20:$O$39,Lister!$D$30,$A$20:$A$39,Lister!$A$22)
+SUMIFS(H20:H39,$O$20:$O$39,Lister!$D$30,$A$20:$A$39,Lister!$A$23)
+SUMIFS(H20:H39,$O$20:$O$39,Lister!$D$30,$A$20:$A$39,Lister!$A$20)
+SUMIFS(H20:H39,$O$20:$O$39,Lister!$D$30,$A$20:$A$39,Lister!$A$34)
+SUMIFS(H20:H39,$O$20:$O$39,Lister!$D$30,$A$20:$A$39,Lister!$A$33)
+SUMIFS(H20:H39,$O$20:$O$39,Lister!$D$29,$A$20:$A$39,Lister!$A$21)
+SUMIFS(H20:H39,$O$20:$O$39,Lister!$D$29,$A$20:$A$39,Lister!$A$31)
+SUMIFS(H20:H39,$O$20:$O$39,Lister!$D$29,$A$20:$A$39,Lister!$A$32)
+SUMIFS(H20:H39,$O$20:$O$39,Lister!$D$29,$A$20:$A$39,Lister!$A$22)
+SUMIFS(H20:H39,$O$20:$O$39,Lister!$D$29,$A$20:$A$39,Lister!$A$23)
+SUMIFS(H20:H39,$O$20:$O$39,Lister!$D$29,$A$20:$A$39,Lister!$A$20)
+SUMIFS(H20:H39,$O$20:$O$39,Lister!$D$29,$A$20:$A$39,Lister!$A$34)
+SUMIFS(H20:H39,$O$20:$O$39,Lister!$D$29,$A$20:$A$39,Lister!$A$33))
/12)*Takstblad!H$85,0)</f>
        <v>0</v>
      </c>
      <c r="Y87" s="114">
        <f>+IF($C$8="Project-Supplement",((
SUMIFS(I20:I39,$O$20:$O$39,Lister!$D$30,$A$20:$A$39,Lister!$A$21)
+SUMIFS(I20:I39,$O$20:$O$39,Lister!$D$30,$A$20:$A$39,Lister!$A$31)
+SUMIFS(I20:I39,$O$20:$O$39,Lister!$D$30,$A$20:$A$39,Lister!$A$32)
+SUMIFS(I20:I39,$O$20:$O$39,Lister!$D$30,$A$20:$A$39,Lister!$A$22)
+SUMIFS(I20:I39,$O$20:$O$39,Lister!$D$30,$A$20:$A$39,Lister!$A$23)
+SUMIFS(I20:I39,$O$20:$O$39,Lister!$D$30,$A$20:$A$39,Lister!$A$20)
+SUMIFS(I20:I39,$O$20:$O$39,Lister!$D$30,$A$20:$A$39,Lister!$A$34)
+SUMIFS(I20:I39,$O$20:$O$39,Lister!$D$30,$A$20:$A$39,Lister!$A$33)
+SUMIFS(I20:I39,$O$20:$O$39,Lister!$D$29,$A$20:$A$39,Lister!$A$21)
+SUMIFS(I20:I39,$O$20:$O$39,Lister!$D$29,$A$20:$A$39,Lister!$A$31)
+SUMIFS(I20:I39,$O$20:$O$39,Lister!$D$29,$A$20:$A$39,Lister!$A$32)
+SUMIFS(I20:I39,$O$20:$O$39,Lister!$D$29,$A$20:$A$39,Lister!$A$22)
+SUMIFS(I20:I39,$O$20:$O$39,Lister!$D$29,$A$20:$A$39,Lister!$A$23)
+SUMIFS(I20:I39,$O$20:$O$39,Lister!$D$29,$A$20:$A$39,Lister!$A$20)
+SUMIFS(I20:I39,$O$20:$O$39,Lister!$D$29,$A$20:$A$39,Lister!$A$34)
+SUMIFS(I20:I39,$O$20:$O$39,Lister!$D$29,$A$20:$A$39,Lister!$A$33))
/12)*Takstblad!I$85,0)</f>
        <v>0</v>
      </c>
      <c r="Z87" s="115">
        <f>+IF($C$8="Project-Supplement",((
SUMIFS(J20:J39,$O$20:$O$39,Lister!$D$30,$A$20:$A$39,Lister!$A$21)
+SUMIFS(J20:J39,$O$20:$O$39,Lister!$D$30,$A$20:$A$39,Lister!$A$31)
+SUMIFS(J20:J39,$O$20:$O$39,Lister!$D$30,$A$20:$A$39,Lister!$A$32)
+SUMIFS(J20:J39,$O$20:$O$39,Lister!$D$30,$A$20:$A$39,Lister!$A$22)
+SUMIFS(J20:J39,$O$20:$O$39,Lister!$D$30,$A$20:$A$39,Lister!$A$23)
+SUMIFS(J20:J39,$O$20:$O$39,Lister!$D$30,$A$20:$A$39,Lister!$A$20)
+SUMIFS(J20:J39,$O$20:$O$39,Lister!$D$30,$A$20:$A$39,Lister!$A$34)
+SUMIFS(J20:J39,$O$20:$O$39,Lister!$D$30,$A$20:$A$39,Lister!$A$33)
+SUMIFS(J20:J39,$O$20:$O$39,Lister!$D$29,$A$20:$A$39,Lister!$A$21)
+SUMIFS(J20:J39,$O$20:$O$39,Lister!$D$29,$A$20:$A$39,Lister!$A$31)
+SUMIFS(J20:J39,$O$20:$O$39,Lister!$D$29,$A$20:$A$39,Lister!$A$32)
+SUMIFS(J20:J39,$O$20:$O$39,Lister!$D$29,$A$20:$A$39,Lister!$A$22)
+SUMIFS(J20:J39,$O$20:$O$39,Lister!$D$29,$A$20:$A$39,Lister!$A$23)
+SUMIFS(J20:J39,$O$20:$O$39,Lister!$D$29,$A$20:$A$39,Lister!$A$20)
+SUMIFS(J20:J39,$O$20:$O$39,Lister!$D$29,$A$20:$A$39,Lister!$A$34)
+SUMIFS(J20:J39,$O$20:$O$39,Lister!$D$29,$A$20:$A$39,Lister!$A$33))
/12)*Takstblad!J$85,0)</f>
        <v>0</v>
      </c>
      <c r="AA87" s="115">
        <f>+IF($C$8="Project-Supplement",((
SUMIFS(K20:K39,$O$20:$O$39,Lister!$D$30,$A$20:$A$39,Lister!$A$21)
+SUMIFS(K20:K39,$O$20:$O$39,Lister!$D$30,$A$20:$A$39,Lister!$A$31)
+SUMIFS(K20:K39,$O$20:$O$39,Lister!$D$30,$A$20:$A$39,Lister!$A$32)
+SUMIFS(K20:K39,$O$20:$O$39,Lister!$D$30,$A$20:$A$39,Lister!$A$22)
+SUMIFS(K20:K39,$O$20:$O$39,Lister!$D$30,$A$20:$A$39,Lister!$A$23)
+SUMIFS(K20:K39,$O$20:$O$39,Lister!$D$30,$A$20:$A$39,Lister!$A$20)
+SUMIFS(K20:K39,$O$20:$O$39,Lister!$D$30,$A$20:$A$39,Lister!$A$34)
+SUMIFS(K20:K39,$O$20:$O$39,Lister!$D$30,$A$20:$A$39,Lister!$A$33)
+SUMIFS(K20:K39,$O$20:$O$39,Lister!$D$29,$A$20:$A$39,Lister!$A$21)
+SUMIFS(K20:K39,$O$20:$O$39,Lister!$D$29,$A$20:$A$39,Lister!$A$31)
+SUMIFS(K20:K39,$O$20:$O$39,Lister!$D$29,$A$20:$A$39,Lister!$A$32)
+SUMIFS(K20:K39,$O$20:$O$39,Lister!$D$29,$A$20:$A$39,Lister!$A$22)
+SUMIFS(K20:K39,$O$20:$O$39,Lister!$D$29,$A$20:$A$39,Lister!$A$23)
+SUMIFS(K20:K39,$O$20:$O$39,Lister!$D$29,$A$20:$A$39,Lister!$A$20)
+SUMIFS(K20:K39,$O$20:$O$39,Lister!$D$29,$A$20:$A$39,Lister!$A$34)
+SUMIFS(K20:K39,$O$20:$O$39,Lister!$D$29,$A$20:$A$39,Lister!$A$33))
/12)*Takstblad!K$85,0)</f>
        <v>0</v>
      </c>
      <c r="AB87" s="115">
        <f>+IF($C$8="Project-Supplement",((
SUMIFS(L20:L39,$O$20:$O$39,Lister!$D$30,$A$20:$A$39,Lister!$A$21)
+SUMIFS(L20:L39,$O$20:$O$39,Lister!$D$30,$A$20:$A$39,Lister!$A$31)
+SUMIFS(L20:L39,$O$20:$O$39,Lister!$D$30,$A$20:$A$39,Lister!$A$32)
+SUMIFS(L20:L39,$O$20:$O$39,Lister!$D$30,$A$20:$A$39,Lister!$A$22)
+SUMIFS(L20:L39,$O$20:$O$39,Lister!$D$30,$A$20:$A$39,Lister!$A$23)
+SUMIFS(L20:L39,$O$20:$O$39,Lister!$D$30,$A$20:$A$39,Lister!$A$20)
+SUMIFS(L20:L39,$O$20:$O$39,Lister!$D$30,$A$20:$A$39,Lister!$A$34)
+SUMIFS(L20:L39,$O$20:$O$39,Lister!$D$30,$A$20:$A$39,Lister!$A$33)
+SUMIFS(L20:L39,$O$20:$O$39,Lister!$D$29,$A$20:$A$39,Lister!$A$21)
+SUMIFS(L20:L39,$O$20:$O$39,Lister!$D$29,$A$20:$A$39,Lister!$A$31)
+SUMIFS(L20:L39,$O$20:$O$39,Lister!$D$29,$A$20:$A$39,Lister!$A$32)
+SUMIFS(L20:L39,$O$20:$O$39,Lister!$D$29,$A$20:$A$39,Lister!$A$22)
+SUMIFS(L20:L39,$O$20:$O$39,Lister!$D$29,$A$20:$A$39,Lister!$A$23)
+SUMIFS(L20:L39,$O$20:$O$39,Lister!$D$29,$A$20:$A$39,Lister!$A$20)
+SUMIFS(L20:L39,$O$20:$O$39,Lister!$D$29,$A$20:$A$39,Lister!$A$34)
+SUMIFS(L20:L39,$O$20:$O$39,Lister!$D$29,$A$20:$A$39,Lister!$A$33))
/12)*Takstblad!L$85,0)</f>
        <v>0</v>
      </c>
      <c r="AC87" s="138">
        <f t="shared" si="97"/>
        <v>0</v>
      </c>
      <c r="AF87" s="70"/>
      <c r="AG87" s="70"/>
      <c r="AH87" s="70"/>
      <c r="AI87" s="70"/>
      <c r="AJ87" s="70"/>
      <c r="AK87" s="70"/>
      <c r="AL87" s="70"/>
      <c r="AM87" s="70"/>
      <c r="AN87" s="70"/>
      <c r="AO87" s="70"/>
      <c r="AP87" s="70"/>
      <c r="AQ87" s="70"/>
      <c r="AR87" s="71"/>
      <c r="AS87" s="71"/>
    </row>
    <row r="88" spans="1:62" ht="14.25" customHeight="1">
      <c r="N88" s="71"/>
      <c r="O88" s="87"/>
      <c r="P88" s="87"/>
      <c r="Q88" s="150" t="s">
        <v>531</v>
      </c>
      <c r="R88" s="312">
        <f t="shared" si="96"/>
        <v>0</v>
      </c>
      <c r="S88" s="153" t="str">
        <f>IF($C$12=2,(SUM(S84:S87)*$C$13)/100,"0")</f>
        <v>0</v>
      </c>
      <c r="T88" s="223" t="str">
        <f t="shared" ref="T88:Z88" si="100">IF($C$12=2,(SUM(T84:T87)*$C$13)/100,"0")</f>
        <v>0</v>
      </c>
      <c r="U88" s="223" t="str">
        <f t="shared" si="100"/>
        <v>0</v>
      </c>
      <c r="V88" s="223" t="str">
        <f t="shared" si="100"/>
        <v>0</v>
      </c>
      <c r="W88" s="223" t="str">
        <f t="shared" si="100"/>
        <v>0</v>
      </c>
      <c r="X88" s="306" t="str">
        <f t="shared" si="100"/>
        <v>0</v>
      </c>
      <c r="Y88" s="224" t="str">
        <f t="shared" si="100"/>
        <v>0</v>
      </c>
      <c r="Z88" s="223" t="str">
        <f t="shared" si="100"/>
        <v>0</v>
      </c>
      <c r="AA88" s="223" t="str">
        <f>IF($C$12=2,(SUM(AA84:AA87)*$C$13)/100,"0")</f>
        <v>0</v>
      </c>
      <c r="AB88" s="223" t="str">
        <f>IF($C$12=2,(SUM(AB84:AB87)*$C$13)/100,"0")</f>
        <v>0</v>
      </c>
      <c r="AC88" s="138">
        <f t="shared" si="97"/>
        <v>0</v>
      </c>
      <c r="AF88" s="71"/>
      <c r="AG88" s="71"/>
      <c r="AH88" s="71"/>
      <c r="AI88" s="71"/>
      <c r="AJ88" s="71"/>
      <c r="AK88" s="71"/>
      <c r="AL88" s="71"/>
      <c r="AM88" s="71"/>
      <c r="AN88" s="71"/>
      <c r="AO88" s="71"/>
      <c r="AP88" s="71"/>
      <c r="AQ88" s="71"/>
      <c r="AR88" s="71"/>
      <c r="AS88" s="71"/>
      <c r="AT88" s="71"/>
      <c r="AU88" s="71"/>
      <c r="AV88" s="71"/>
      <c r="AW88" s="71"/>
      <c r="AX88" s="71"/>
      <c r="AY88" s="71"/>
      <c r="AZ88" s="71"/>
      <c r="BA88" s="71"/>
      <c r="BB88" s="71"/>
      <c r="BC88" s="71"/>
      <c r="BD88" s="71"/>
      <c r="BE88" s="71"/>
      <c r="BF88" s="71"/>
      <c r="BG88" s="71"/>
      <c r="BH88" s="71"/>
      <c r="BI88" s="71"/>
      <c r="BJ88" s="71"/>
    </row>
    <row r="89" spans="1:62" ht="14.25" customHeight="1">
      <c r="N89" s="80"/>
      <c r="O89" s="91"/>
      <c r="P89" s="91"/>
      <c r="Q89" s="149" t="s">
        <v>101</v>
      </c>
      <c r="R89" s="312">
        <f t="shared" si="96"/>
        <v>0</v>
      </c>
      <c r="S89" s="313">
        <f>+SUM(S84:S88)</f>
        <v>0</v>
      </c>
      <c r="T89" s="313">
        <f t="shared" ref="T89:Z89" si="101">+SUM(T84:T88)</f>
        <v>0</v>
      </c>
      <c r="U89" s="313">
        <f t="shared" si="101"/>
        <v>0</v>
      </c>
      <c r="V89" s="313">
        <f t="shared" si="101"/>
        <v>0</v>
      </c>
      <c r="W89" s="313">
        <f t="shared" si="101"/>
        <v>0</v>
      </c>
      <c r="X89" s="314">
        <f t="shared" si="101"/>
        <v>0</v>
      </c>
      <c r="Y89" s="296">
        <f t="shared" si="101"/>
        <v>0</v>
      </c>
      <c r="Z89" s="137">
        <f t="shared" si="101"/>
        <v>0</v>
      </c>
      <c r="AA89" s="137">
        <f>+SUM(AA84:AA88)</f>
        <v>0</v>
      </c>
      <c r="AB89" s="137">
        <f>+SUM(AB84:AB88)</f>
        <v>0</v>
      </c>
      <c r="AC89" s="138">
        <f t="shared" si="97"/>
        <v>0</v>
      </c>
      <c r="AF89" s="70"/>
      <c r="AG89" s="70"/>
      <c r="AH89" s="70"/>
      <c r="AI89" s="71"/>
      <c r="AJ89" s="71"/>
      <c r="AK89" s="71"/>
      <c r="AL89" s="71"/>
      <c r="AM89" s="71"/>
      <c r="AN89" s="71"/>
      <c r="AO89" s="71"/>
      <c r="AP89" s="71"/>
      <c r="AQ89" s="71"/>
      <c r="AR89" s="71"/>
      <c r="AS89" s="71"/>
      <c r="AT89" s="71"/>
      <c r="AU89" s="71"/>
      <c r="AV89" s="71"/>
      <c r="AW89" s="71"/>
      <c r="AX89" s="71"/>
      <c r="AY89" s="71"/>
      <c r="AZ89" s="71"/>
      <c r="BA89" s="71"/>
      <c r="BB89" s="71"/>
      <c r="BC89" s="71"/>
      <c r="BD89" s="71"/>
      <c r="BE89" s="71"/>
      <c r="BF89" s="71"/>
      <c r="BG89" s="71"/>
      <c r="BH89" s="71"/>
      <c r="BI89" s="71"/>
      <c r="BJ89" s="71"/>
    </row>
    <row r="90" spans="1:62" ht="14.25" customHeight="1">
      <c r="N90" s="81"/>
      <c r="O90" s="92"/>
      <c r="P90" s="92"/>
      <c r="Q90" s="132"/>
      <c r="R90" s="126"/>
      <c r="S90" s="16"/>
      <c r="T90" s="116"/>
      <c r="U90" s="116"/>
      <c r="V90" s="116"/>
      <c r="W90" s="116"/>
      <c r="X90" s="307"/>
      <c r="Y90" s="116"/>
      <c r="Z90" s="116"/>
      <c r="AA90" s="116"/>
      <c r="AB90" s="116"/>
      <c r="AC90" s="126"/>
      <c r="AF90" s="71"/>
      <c r="AG90" s="71"/>
      <c r="AH90" s="71"/>
      <c r="AI90" s="70"/>
      <c r="AJ90" s="70"/>
      <c r="AK90" s="70"/>
      <c r="AL90" s="70"/>
      <c r="AM90" s="70"/>
      <c r="AN90" s="70"/>
      <c r="AO90" s="70"/>
      <c r="AP90" s="70"/>
      <c r="AQ90" s="70"/>
      <c r="AR90" s="70"/>
      <c r="AS90" s="70"/>
      <c r="AT90" s="70"/>
      <c r="AU90" s="70"/>
      <c r="AV90" s="70"/>
      <c r="AW90" s="70"/>
      <c r="AX90" s="70"/>
      <c r="AY90" s="70"/>
      <c r="AZ90" s="70"/>
      <c r="BA90" s="70"/>
      <c r="BB90" s="70"/>
      <c r="BC90" s="70"/>
      <c r="BD90" s="70"/>
      <c r="BE90" s="70"/>
      <c r="BF90" s="70"/>
      <c r="BG90" s="70"/>
      <c r="BH90" s="70"/>
      <c r="BI90" s="70"/>
      <c r="BJ90" s="70"/>
    </row>
    <row r="91" spans="1:62" s="9" customFormat="1" ht="14.25" customHeight="1">
      <c r="N91" s="81"/>
      <c r="O91" s="92"/>
      <c r="P91" s="92"/>
      <c r="Q91" s="130" t="s">
        <v>588</v>
      </c>
      <c r="R91" s="131"/>
      <c r="S91" s="230"/>
      <c r="T91" s="136"/>
      <c r="U91" s="136"/>
      <c r="V91" s="136"/>
      <c r="W91" s="136"/>
      <c r="X91" s="305"/>
      <c r="Y91" s="136"/>
      <c r="Z91" s="136"/>
      <c r="AA91" s="136"/>
      <c r="AB91" s="136"/>
      <c r="AC91" s="131"/>
      <c r="AF91" s="71"/>
      <c r="AG91" s="71"/>
      <c r="AH91" s="71"/>
      <c r="AI91" s="70"/>
      <c r="AJ91" s="70"/>
      <c r="AK91" s="70"/>
      <c r="AL91" s="70"/>
      <c r="AM91" s="70"/>
      <c r="AN91" s="70"/>
      <c r="AO91" s="70"/>
      <c r="AP91" s="70"/>
      <c r="AQ91" s="70"/>
      <c r="AR91" s="70"/>
      <c r="AS91" s="70"/>
      <c r="AT91" s="70"/>
      <c r="AU91" s="70"/>
      <c r="AV91" s="70"/>
      <c r="AW91" s="70"/>
      <c r="AX91" s="70"/>
      <c r="AY91" s="70"/>
      <c r="AZ91" s="70"/>
      <c r="BA91" s="70"/>
      <c r="BB91" s="70"/>
      <c r="BC91" s="70"/>
      <c r="BD91" s="70"/>
      <c r="BE91" s="70"/>
      <c r="BF91" s="70"/>
      <c r="BG91" s="70"/>
      <c r="BH91" s="70"/>
      <c r="BI91" s="70"/>
      <c r="BJ91" s="70"/>
    </row>
    <row r="92" spans="1:62" s="9" customFormat="1" ht="14.25" customHeight="1">
      <c r="N92" s="70"/>
      <c r="O92" s="85"/>
      <c r="P92" s="85"/>
      <c r="Q92" s="134"/>
      <c r="R92" s="133"/>
      <c r="S92" s="16"/>
      <c r="T92" s="76"/>
      <c r="U92" s="76"/>
      <c r="V92" s="76"/>
      <c r="W92" s="76"/>
      <c r="X92" s="133"/>
      <c r="Y92" s="76"/>
      <c r="Z92" s="76"/>
      <c r="AA92" s="76"/>
      <c r="AB92" s="76"/>
      <c r="AC92" s="133"/>
      <c r="AF92" s="70"/>
      <c r="AG92" s="70"/>
      <c r="AH92" s="70"/>
      <c r="AI92" s="70"/>
      <c r="AJ92" s="70"/>
      <c r="AK92" s="70"/>
      <c r="AL92" s="70"/>
      <c r="AM92" s="70"/>
      <c r="AN92" s="70"/>
      <c r="AO92" s="70"/>
      <c r="AP92" s="70"/>
      <c r="AQ92" s="70"/>
      <c r="AR92" s="70"/>
      <c r="AS92" s="70"/>
      <c r="AT92" s="70"/>
      <c r="AU92" s="70"/>
      <c r="AV92" s="70"/>
      <c r="AW92" s="70"/>
      <c r="AX92" s="70"/>
      <c r="AY92" s="70"/>
      <c r="AZ92" s="70"/>
      <c r="BA92" s="70"/>
      <c r="BB92" s="70"/>
      <c r="BC92" s="70"/>
      <c r="BD92" s="70"/>
      <c r="BE92" s="70"/>
      <c r="BF92" s="70"/>
      <c r="BG92" s="70"/>
      <c r="BH92" s="70"/>
      <c r="BI92" s="70"/>
      <c r="BJ92" s="70"/>
    </row>
    <row r="93" spans="1:62" s="9" customFormat="1" ht="14.25" customHeight="1">
      <c r="A93" s="23"/>
      <c r="B93" s="16"/>
      <c r="C93" s="16"/>
      <c r="D93" s="71"/>
      <c r="E93" s="71"/>
      <c r="F93" s="71"/>
      <c r="G93" s="71"/>
      <c r="H93" s="71"/>
      <c r="I93" s="71"/>
      <c r="J93" s="71"/>
      <c r="K93" s="71"/>
      <c r="L93" s="71"/>
      <c r="M93" s="71"/>
      <c r="N93" s="71"/>
      <c r="O93" s="87"/>
      <c r="P93" s="87"/>
      <c r="Q93" s="152" t="s">
        <v>22</v>
      </c>
      <c r="R93" s="124" t="s">
        <v>34</v>
      </c>
      <c r="S93" s="45">
        <f>+S79</f>
        <v>2026</v>
      </c>
      <c r="T93" s="8">
        <f t="shared" ref="T93:Z93" si="102">+T79</f>
        <v>2027</v>
      </c>
      <c r="U93" s="8">
        <f t="shared" si="102"/>
        <v>2028</v>
      </c>
      <c r="V93" s="8">
        <f t="shared" si="102"/>
        <v>2029</v>
      </c>
      <c r="W93" s="8">
        <f t="shared" si="102"/>
        <v>2030</v>
      </c>
      <c r="X93" s="124">
        <f t="shared" si="102"/>
        <v>2031</v>
      </c>
      <c r="Y93" s="8">
        <f t="shared" si="102"/>
        <v>2032</v>
      </c>
      <c r="Z93" s="8">
        <f t="shared" si="102"/>
        <v>2033</v>
      </c>
      <c r="AA93" s="8">
        <f>+AA79</f>
        <v>2034</v>
      </c>
      <c r="AB93" s="8">
        <f>+AB79</f>
        <v>2035</v>
      </c>
      <c r="AC93" s="124" t="s">
        <v>34</v>
      </c>
      <c r="AF93" s="70"/>
      <c r="AG93" s="70"/>
      <c r="AH93" s="70"/>
      <c r="AI93" s="71"/>
      <c r="AJ93" s="71"/>
      <c r="AK93" s="71"/>
      <c r="AL93" s="71"/>
      <c r="AM93" s="71"/>
      <c r="AN93" s="71"/>
      <c r="AO93" s="71"/>
      <c r="AP93" s="71"/>
      <c r="AQ93" s="71"/>
      <c r="AR93" s="71"/>
      <c r="AS93" s="71"/>
      <c r="AT93" s="71"/>
      <c r="AU93" s="71"/>
      <c r="AV93" s="71"/>
      <c r="AW93" s="71"/>
      <c r="AX93" s="71"/>
      <c r="AY93" s="71"/>
      <c r="AZ93" s="71"/>
      <c r="BA93" s="71"/>
      <c r="BB93" s="71"/>
      <c r="BC93" s="71"/>
      <c r="BD93" s="71"/>
      <c r="BE93" s="71"/>
      <c r="BF93" s="71"/>
      <c r="BG93" s="71"/>
      <c r="BH93" s="71"/>
      <c r="BI93" s="71"/>
      <c r="BJ93" s="71"/>
    </row>
    <row r="94" spans="1:62" s="9" customFormat="1" ht="14.25" customHeight="1">
      <c r="N94" s="71"/>
      <c r="O94" s="87"/>
      <c r="P94" s="87"/>
      <c r="Q94" s="147" t="s">
        <v>74</v>
      </c>
      <c r="R94" s="315">
        <f t="shared" ref="R94:R103" si="103">+AC94</f>
        <v>0</v>
      </c>
      <c r="S94" s="316">
        <f>+SUMIF($O$20:$O$39,Lister!$D$31,S20:S39)+SUMIF($O$20:$O$39,Lister!$D$32,S20:S39)</f>
        <v>0</v>
      </c>
      <c r="T94" s="316">
        <f>+SUMIF($O$20:$O$39,Lister!$D$31,T20:T39)+SUMIF($O$20:$O$39,Lister!$D$32,T20:T39)</f>
        <v>0</v>
      </c>
      <c r="U94" s="316">
        <f>+SUMIF($O$20:$O$39,Lister!$D$31,U20:U39)+SUMIF($O$20:$O$39,Lister!$D$32,U20:U39)</f>
        <v>0</v>
      </c>
      <c r="V94" s="316">
        <f>+SUMIF($O$20:$O$39,Lister!$D$31,V20:V39)+SUMIF($O$20:$O$39,Lister!$D$32,V20:V39)</f>
        <v>0</v>
      </c>
      <c r="W94" s="316">
        <f>+SUMIF($O$20:$O$39,Lister!$D$31,W20:W39)+SUMIF($O$20:$O$39,Lister!$D$32,W20:W39)</f>
        <v>0</v>
      </c>
      <c r="X94" s="316">
        <f>+SUMIF($O$20:$O$39,Lister!$D$31,X20:X39)+SUMIF($O$20:$O$39,Lister!$D$32,X20:X39)</f>
        <v>0</v>
      </c>
      <c r="Y94" s="316">
        <f>+SUMIF($O$20:$O$39,Lister!$D$31,Y20:Y39)+SUMIF($O$20:$O$39,Lister!$D$32,Y20:Y39)</f>
        <v>0</v>
      </c>
      <c r="Z94" s="316">
        <f>+SUMIF($O$20:$O$39,Lister!$D$31,Z20:Z39)+SUMIF($O$20:$O$39,Lister!$D$32,Z20:Z39)</f>
        <v>0</v>
      </c>
      <c r="AA94" s="316">
        <f>+SUMIF($O$20:$O$39,Lister!$D$31,AA20:AA39)+SUMIF($O$20:$O$39,Lister!$D$32,AA20:AA39)</f>
        <v>0</v>
      </c>
      <c r="AB94" s="316">
        <f>+SUMIF($O$20:$O$39,Lister!$D$31,AB20:AB39)+SUMIF($O$20:$O$39,Lister!$D$32,AB20:AB39)</f>
        <v>0</v>
      </c>
      <c r="AC94" s="140">
        <f>SUM(S94:AB94)</f>
        <v>0</v>
      </c>
      <c r="AF94" s="70"/>
      <c r="AG94" s="70"/>
      <c r="AH94" s="70"/>
      <c r="AI94" s="71"/>
      <c r="AJ94" s="71"/>
      <c r="AK94" s="71"/>
      <c r="AL94" s="71"/>
      <c r="AM94" s="71"/>
      <c r="AN94" s="71"/>
      <c r="AO94" s="71"/>
      <c r="AP94" s="71"/>
      <c r="AQ94" s="71"/>
      <c r="AR94" s="71"/>
      <c r="AS94" s="71"/>
      <c r="AT94" s="71"/>
      <c r="AU94" s="71"/>
      <c r="AV94" s="71"/>
      <c r="AW94" s="71"/>
      <c r="AX94" s="71"/>
      <c r="AY94" s="71"/>
      <c r="AZ94" s="71"/>
      <c r="BA94" s="71"/>
      <c r="BB94" s="71"/>
      <c r="BC94" s="71"/>
      <c r="BD94" s="71"/>
      <c r="BE94" s="71"/>
      <c r="BF94" s="71"/>
      <c r="BG94" s="71"/>
      <c r="BH94" s="71"/>
      <c r="BI94" s="71"/>
      <c r="BJ94" s="71"/>
    </row>
    <row r="95" spans="1:62" s="9" customFormat="1" ht="14.25" customHeight="1">
      <c r="N95" s="71"/>
      <c r="O95" s="87"/>
      <c r="P95" s="87"/>
      <c r="Q95" s="148" t="s">
        <v>75</v>
      </c>
      <c r="R95" s="309">
        <f t="shared" si="103"/>
        <v>0</v>
      </c>
      <c r="S95" s="310">
        <f>+SUMIF($O$43:$O$55,Lister!$D$31,S43:S55)+SUMIF($O$43:$O$55,Lister!$D$32,S43:S55)</f>
        <v>0</v>
      </c>
      <c r="T95" s="319">
        <f>+SUMIF($O$43:$O$55,Lister!$D$31,T43:T55)+SUMIF($O$43:$O$55,Lister!$D$32,T43:T55)</f>
        <v>0</v>
      </c>
      <c r="U95" s="310">
        <f>+SUMIF($O$43:$O$55,Lister!$D$31,U43:U55)+SUMIF($O$43:$O$55,Lister!$D$32,U43:U55)</f>
        <v>0</v>
      </c>
      <c r="V95" s="319">
        <f>+SUMIF($O$43:$O$55,Lister!$D$31,V43:V55)+SUMIF($O$43:$O$55,Lister!$D$32,V43:V55)</f>
        <v>0</v>
      </c>
      <c r="W95" s="310">
        <f>+SUMIF($O$43:$O$55,Lister!$D$31,W43:W55)+SUMIF($O$43:$O$55,Lister!$D$32,W43:W55)</f>
        <v>0</v>
      </c>
      <c r="X95" s="320">
        <f>+SUMIF($O$43:$O$55,Lister!$D$31,X43:X55)+SUMIF($O$43:$O$55,Lister!$D$32,X43:X55)</f>
        <v>0</v>
      </c>
      <c r="Y95" s="295">
        <f>+SUMIF($O$43:$O$55,Lister!$D$31,Y43:Y55)+SUMIF($O$43:$O$55,Lister!$D$32,Y43:Y55)</f>
        <v>0</v>
      </c>
      <c r="Z95" s="113">
        <f>+SUMIF($O$43:$O$55,Lister!$D$31,Z43:Z55)+SUMIF($O$43:$O$55,Lister!$D$32,Z43:Z55)</f>
        <v>0</v>
      </c>
      <c r="AA95" s="113">
        <f>+SUMIF($O$43:$O$55,Lister!$D$31,AA43:AA55)+SUMIF($O$43:$O$55,Lister!$D$32,AA43:AA55)</f>
        <v>0</v>
      </c>
      <c r="AB95" s="113">
        <f>+SUMIF($O$43:$O$55,Lister!$D$31,AB43:AB55)+SUMIF($O$43:$O$55,Lister!$D$32,AB43:AB55)</f>
        <v>0</v>
      </c>
      <c r="AC95" s="141">
        <f t="shared" ref="AC95:AC103" si="104">SUM(S95:AB95)</f>
        <v>0</v>
      </c>
      <c r="AF95" s="71"/>
      <c r="AG95" s="71"/>
      <c r="AH95" s="71"/>
      <c r="AI95" s="71"/>
      <c r="AJ95" s="71"/>
      <c r="AK95" s="71"/>
      <c r="AL95" s="71"/>
      <c r="AM95" s="71"/>
      <c r="AN95" s="71"/>
      <c r="AO95" s="71"/>
      <c r="AP95" s="71"/>
      <c r="AQ95" s="71"/>
      <c r="AR95" s="71"/>
      <c r="AS95" s="71"/>
      <c r="AT95" s="71"/>
      <c r="AU95" s="71"/>
      <c r="AV95" s="71"/>
      <c r="AW95" s="71"/>
      <c r="AX95" s="71"/>
      <c r="AY95" s="71"/>
      <c r="AZ95" s="71"/>
      <c r="BA95" s="71"/>
      <c r="BB95" s="71"/>
      <c r="BC95" s="71"/>
      <c r="BD95" s="71"/>
      <c r="BE95" s="71"/>
      <c r="BF95" s="71"/>
      <c r="BG95" s="71"/>
      <c r="BH95" s="71"/>
      <c r="BI95" s="71"/>
      <c r="BJ95" s="71"/>
    </row>
    <row r="96" spans="1:62" ht="14.25" customHeight="1">
      <c r="N96" s="71"/>
      <c r="O96" s="87"/>
      <c r="P96" s="87"/>
      <c r="Q96" s="149" t="s">
        <v>76</v>
      </c>
      <c r="R96" s="312">
        <f t="shared" si="103"/>
        <v>0</v>
      </c>
      <c r="S96" s="313">
        <f>+SUM(S94:S95)</f>
        <v>0</v>
      </c>
      <c r="T96" s="313">
        <f>+SUM(T94:T95)</f>
        <v>0</v>
      </c>
      <c r="U96" s="313">
        <f t="shared" ref="U96:Z96" si="105">+SUM(U94:U95)</f>
        <v>0</v>
      </c>
      <c r="V96" s="313">
        <f t="shared" si="105"/>
        <v>0</v>
      </c>
      <c r="W96" s="313">
        <f t="shared" si="105"/>
        <v>0</v>
      </c>
      <c r="X96" s="314">
        <f t="shared" si="105"/>
        <v>0</v>
      </c>
      <c r="Y96" s="142">
        <f t="shared" si="105"/>
        <v>0</v>
      </c>
      <c r="Z96" s="137">
        <f t="shared" si="105"/>
        <v>0</v>
      </c>
      <c r="AA96" s="137">
        <f>+SUM(AA94:AA95)</f>
        <v>0</v>
      </c>
      <c r="AB96" s="137">
        <f>+SUM(AB94:AB95)</f>
        <v>0</v>
      </c>
      <c r="AC96" s="138">
        <f t="shared" si="104"/>
        <v>0</v>
      </c>
      <c r="AF96" s="71"/>
      <c r="AG96" s="71"/>
      <c r="AH96" s="71"/>
      <c r="AI96" s="71"/>
      <c r="AJ96" s="71"/>
      <c r="AK96" s="71"/>
      <c r="AL96" s="71"/>
      <c r="AM96" s="71"/>
      <c r="AN96" s="71"/>
      <c r="AO96" s="71"/>
      <c r="AP96" s="71"/>
      <c r="AQ96" s="71"/>
      <c r="AR96" s="71"/>
      <c r="AS96" s="71"/>
      <c r="AT96" s="71"/>
      <c r="AU96" s="71"/>
      <c r="AV96" s="71"/>
      <c r="AW96" s="71"/>
      <c r="AX96" s="71"/>
      <c r="AY96" s="71"/>
      <c r="AZ96" s="71"/>
      <c r="BA96" s="71"/>
      <c r="BB96" s="71"/>
      <c r="BC96" s="71"/>
      <c r="BD96" s="71"/>
      <c r="BE96" s="71"/>
      <c r="BF96" s="71"/>
      <c r="BG96" s="71"/>
      <c r="BH96" s="71"/>
      <c r="BI96" s="71"/>
      <c r="BJ96" s="71"/>
    </row>
    <row r="97" spans="14:62" s="14" customFormat="1" ht="14.25" customHeight="1">
      <c r="N97" s="71"/>
      <c r="O97" s="87"/>
      <c r="P97" s="87"/>
      <c r="Q97" s="149" t="s">
        <v>77</v>
      </c>
      <c r="R97" s="312">
        <f t="shared" si="103"/>
        <v>0</v>
      </c>
      <c r="S97" s="313">
        <f>+SUMIF($O$62:$O$74,Lister!$D$31,C62:C74)+SUMIF($O$62:$O$74,Lister!$D$32,C62:C74)-SUMIFS(C62:C74,$O$62:$O$74,Lister!$D$31,$A$62:$A$74,Lister!$M$9)-SUMIFS(C62:C74,$O$62:$O$74,Lister!$D$32,$A$62:$A$74,Lister!$M$9)</f>
        <v>0</v>
      </c>
      <c r="T97" s="327">
        <f>+SUMIF($O$62:$O$74,Lister!$D$31,D62:D74)+SUMIF($O$62:$O$74,Lister!$D$32,D62:D74)-SUMIFS(D62:D74,$O$62:$O$74,Lister!$D$31,$A$62:$A$74,Lister!$M$9)-SUMIFS(D62:D74,$O$62:$O$74,Lister!$D$32,$A$62:$A$74,Lister!$M$9)</f>
        <v>0</v>
      </c>
      <c r="U97" s="327">
        <f>+SUMIF($O$62:$O$74,Lister!$D$31,E62:E74)+SUMIF($O$62:$O$74,Lister!$D$32,E62:E74)-SUMIFS(E62:E74,$O$62:$O$74,Lister!$D$31,$A$62:$A$74,Lister!$M$9)-SUMIFS(E62:E74,$O$62:$O$74,Lister!$D$32,$A$62:$A$74,Lister!$M$9)</f>
        <v>0</v>
      </c>
      <c r="V97" s="327">
        <f>+SUMIF($O$62:$O$74,Lister!$D$31,F62:F74)+SUMIF($O$62:$O$74,Lister!$D$32,F62:F74)-SUMIFS(F62:F74,$O$62:$O$74,Lister!$D$31,$A$62:$A$74,Lister!$M$9)-SUMIFS(F62:F74,$O$62:$O$74,Lister!$D$32,$A$62:$A$74,Lister!$M$9)</f>
        <v>0</v>
      </c>
      <c r="W97" s="327">
        <f>+SUMIF($O$62:$O$74,Lister!$D$31,G62:G74)+SUMIF($O$62:$O$74,Lister!$D$32,G62:G74)-SUMIFS(G62:G74,$O$62:$O$74,Lister!$D$31,$A$62:$A$74,Lister!$M$9)-SUMIFS(G62:G74,$O$62:$O$74,Lister!$D$32,$A$62:$A$74,Lister!$M$9)</f>
        <v>0</v>
      </c>
      <c r="X97" s="328">
        <f>+SUMIF($O$62:$O$74,Lister!$D$31,H62:H74)+SUMIF($O$62:$O$74,Lister!$D$32,H62:H74)-SUMIFS(H62:H74,$O$62:$O$74,Lister!$D$31,$A$62:$A$74,Lister!$M$9)-SUMIFS(H62:H74,$O$62:$O$74,Lister!$D$32,$A$62:$A$74,Lister!$M$9)</f>
        <v>0</v>
      </c>
      <c r="Y97" s="209">
        <f>+SUMIF($O$62:$O$74,Lister!$D$31,I62:I74)+SUMIF($O$62:$O$74,Lister!$D$32,I62:I74)-SUMIFS(I62:I74,$O$62:$O$74,Lister!$D$31,$A$62:$A$74,Lister!$M$9)-SUMIFS(I62:I74,$O$62:$O$74,Lister!$D$32,$A$62:$A$74,Lister!$M$9)</f>
        <v>0</v>
      </c>
      <c r="Z97" s="208">
        <f>+SUMIF($O$62:$O$74,Lister!$D$31,J62:J74)+SUMIF($O$62:$O$74,Lister!$D$32,J62:J74)-SUMIFS(J62:J74,$O$62:$O$74,Lister!$D$31,$A$62:$A$74,Lister!$M$9)-SUMIFS(J62:J74,$O$62:$O$74,Lister!$D$32,$A$62:$A$74,Lister!$M$9)</f>
        <v>0</v>
      </c>
      <c r="AA97" s="208">
        <f>+SUMIF($O$62:$O$74,Lister!$D$31,K62:K74)+SUMIF($O$62:$O$74,Lister!$D$32,K62:K74)-SUMIFS(K62:K74,$O$62:$O$74,Lister!$D$31,$A$62:$A$74,Lister!$M$9)-SUMIFS(K62:K74,$O$62:$O$74,Lister!$D$32,$A$62:$A$74,Lister!$M$9)</f>
        <v>0</v>
      </c>
      <c r="AB97" s="208">
        <f>+SUMIF($O$62:$O$74,Lister!$D$31,L62:L74)+SUMIF($O$62:$O$74,Lister!$D$32,L62:L74)-SUMIFS(L62:L74,$O$62:$O$74,Lister!$D$31,$A$62:$A$74,Lister!$M$9)-SUMIFS(L62:L74,$O$62:$O$74,Lister!$D$32,$A$62:$A$74,Lister!$M$9)</f>
        <v>0</v>
      </c>
      <c r="AC97" s="138">
        <f t="shared" si="104"/>
        <v>0</v>
      </c>
      <c r="AF97" s="71"/>
      <c r="AG97" s="71"/>
      <c r="AH97" s="71"/>
      <c r="AI97" s="71"/>
      <c r="AJ97" s="71"/>
      <c r="AK97" s="71"/>
      <c r="AL97" s="71"/>
      <c r="AM97" s="71"/>
      <c r="AN97" s="71"/>
      <c r="AO97" s="71"/>
      <c r="AP97" s="71"/>
      <c r="AQ97" s="71"/>
      <c r="AR97" s="71"/>
      <c r="AS97" s="71"/>
      <c r="AT97" s="71"/>
      <c r="AU97" s="71"/>
      <c r="AV97" s="71"/>
      <c r="AW97" s="71"/>
      <c r="AX97" s="71"/>
      <c r="AY97" s="71"/>
      <c r="AZ97" s="71"/>
      <c r="BA97" s="71"/>
      <c r="BB97" s="71"/>
      <c r="BC97" s="71"/>
      <c r="BD97" s="71"/>
      <c r="BE97" s="71"/>
      <c r="BF97" s="71"/>
      <c r="BG97" s="71"/>
      <c r="BH97" s="71"/>
      <c r="BI97" s="71"/>
      <c r="BJ97" s="71"/>
    </row>
    <row r="98" spans="14:62" s="9" customFormat="1" ht="14.25" customHeight="1">
      <c r="N98" s="70"/>
      <c r="O98" s="85"/>
      <c r="P98" s="85"/>
      <c r="Q98" s="149" t="s">
        <v>78</v>
      </c>
      <c r="R98" s="312">
        <f t="shared" si="103"/>
        <v>0</v>
      </c>
      <c r="S98" s="313">
        <f>+S97+S96</f>
        <v>0</v>
      </c>
      <c r="T98" s="329">
        <f t="shared" ref="T98:Z98" si="106">+T97+T96</f>
        <v>0</v>
      </c>
      <c r="U98" s="329">
        <f t="shared" si="106"/>
        <v>0</v>
      </c>
      <c r="V98" s="329">
        <f t="shared" si="106"/>
        <v>0</v>
      </c>
      <c r="W98" s="329">
        <f t="shared" si="106"/>
        <v>0</v>
      </c>
      <c r="X98" s="330">
        <f t="shared" si="106"/>
        <v>0</v>
      </c>
      <c r="Y98" s="146">
        <f t="shared" si="106"/>
        <v>0</v>
      </c>
      <c r="Z98" s="145">
        <f t="shared" si="106"/>
        <v>0</v>
      </c>
      <c r="AA98" s="145">
        <f>+AA97+AA96</f>
        <v>0</v>
      </c>
      <c r="AB98" s="145">
        <f>+AB97+AB96</f>
        <v>0</v>
      </c>
      <c r="AC98" s="138">
        <f t="shared" si="104"/>
        <v>0</v>
      </c>
      <c r="AF98" s="71"/>
      <c r="AG98" s="71"/>
      <c r="AH98" s="71"/>
      <c r="AI98" s="70"/>
      <c r="AJ98" s="70"/>
      <c r="AK98" s="70"/>
      <c r="AL98" s="70"/>
      <c r="AM98" s="70"/>
      <c r="AN98" s="70"/>
      <c r="AO98" s="70"/>
      <c r="AP98" s="70"/>
      <c r="AQ98" s="70"/>
      <c r="AR98" s="70"/>
      <c r="AS98" s="70"/>
      <c r="AT98" s="70"/>
      <c r="AU98" s="70"/>
      <c r="AV98" s="70"/>
      <c r="AW98" s="70"/>
      <c r="AX98" s="70"/>
      <c r="AY98" s="70"/>
      <c r="AZ98" s="70"/>
      <c r="BA98" s="70"/>
      <c r="BB98" s="70"/>
      <c r="BC98" s="70"/>
      <c r="BD98" s="70"/>
      <c r="BE98" s="70"/>
      <c r="BF98" s="70"/>
      <c r="BG98" s="70"/>
      <c r="BH98" s="70"/>
      <c r="BI98" s="70"/>
      <c r="BJ98" s="70"/>
    </row>
    <row r="99" spans="14:62" s="9" customFormat="1" ht="14.25" customHeight="1">
      <c r="N99" s="79"/>
      <c r="O99" s="90"/>
      <c r="P99" s="90"/>
      <c r="Q99" s="150" t="s">
        <v>0</v>
      </c>
      <c r="R99" s="312">
        <f t="shared" si="103"/>
        <v>0</v>
      </c>
      <c r="S99" s="153">
        <f>IF($C$12=2,S96*$C$6/100,
IF($G$6=Lister!$D$4,S96*$C$6/100,
IF($G$6=Lister!$D$5,S98*$C$6/100,
IF($G$6=Lister!$D$6,(S98-SUMIFS(C62:C74,$O$62:$O$74,Lister!$D$31,$A$62:$A$74,Lister!$M$10)-SUMIFS(C62:C74,$O$62:$O$74,Lister!$D$32,$A$62:$A$74,Lister!$M$10))*$C$6/100,
IF($G$6=Lister!$D$7,(S98-SUMIFS(C62:C74,$O$62:$O$74,Lister!$D$31,$A$62:$A$74,Lister!$M$10)-SUMIFS(C62:C74,$O$62:$O$74,Lister!$D$32,$A$62:$A$74,Lister!$M$10)-SUMIFS(C62:C74,$O$62:$O$74,Lister!$D$31,$A$62:$A$74,Lister!$M$7)-SUMIFS(C62:C74,$O$62:$O$74,Lister!$D$32,$A$62:$A$74,Lister!$M$7))*$C$6/100,
IF($G$6=Lister!$D$8,(S98+S100)*$C$6/100,
IF($G$6=Lister!$D$9,S97*$C$6/100,0)))))))</f>
        <v>0</v>
      </c>
      <c r="T99" s="323">
        <f>IF($C$12=2,T96*$C$6/100,
IF($G$6=Lister!$D$4,T96*$C$6/100,
IF($G$6=Lister!$D$5,T98*$C$6/100,
IF($G$6=Lister!$D$6,(T98-SUMIFS(D62:D74,$O$62:$O$74,Lister!$D$31,$A$62:$A$74,Lister!$M$10)-SUMIFS(D62:D74,$O$62:$O$74,Lister!$D$32,$A$62:$A$74,Lister!$M$10))*$C$6/100,
IF($G$6=Lister!$D$7,(T98-SUMIFS(D62:D74,$O$62:$O$74,Lister!$D$31,$A$62:$A$74,Lister!$M$10)-SUMIFS(D62:D74,$O$62:$O$74,Lister!$D$32,$A$62:$A$74,Lister!$M$10)-SUMIFS(D62:D74,$O$62:$O$74,Lister!$D$31,$A$62:$A$74,Lister!$M$7)-SUMIFS(D62:D74,$O$62:$O$74,Lister!$D$32,$A$62:$A$74,Lister!$M$7))*$C$6/100,
IF($G$6=Lister!$D$8,(T98+T100)*$C$6/100,
IF($G$6=Lister!$D$9,T97*$C$6/100,0)))))))</f>
        <v>0</v>
      </c>
      <c r="U99" s="323">
        <f>IF($C$12=2,U96*$C$6/100,
IF($G$6=Lister!$D$4,U96*$C$6/100,
IF($G$6=Lister!$D$5,U98*$C$6/100,
IF($G$6=Lister!$D$6,(U98-SUMIFS(E62:E74,$O$62:$O$74,Lister!$D$31,$A$62:$A$74,Lister!$M$10)-SUMIFS(E62:E74,$O$62:$O$74,Lister!$D$32,$A$62:$A$74,Lister!$M$10))*$C$6/100,
IF($G$6=Lister!$D$7,(U98-SUMIFS(E62:E74,$O$62:$O$74,Lister!$D$31,$A$62:$A$74,Lister!$M$10)-SUMIFS(E62:E74,$O$62:$O$74,Lister!$D$32,$A$62:$A$74,Lister!$M$10)-SUMIFS(E62:E74,$O$62:$O$74,Lister!$D$31,$A$62:$A$74,Lister!$M$7)-SUMIFS(E62:E74,$O$62:$O$74,Lister!$D$32,$A$62:$A$74,Lister!$M$7))*$C$6/100,
IF($G$6=Lister!$D$8,(U98+U100)*$C$6/100,
IF($G$6=Lister!$D$9,U97*$C$6/100,0)))))))</f>
        <v>0</v>
      </c>
      <c r="V99" s="323">
        <f>IF($C$12=2,V96*$C$6/100,
IF($G$6=Lister!$D$4,V96*$C$6/100,
IF($G$6=Lister!$D$5,V98*$C$6/100,
IF($G$6=Lister!$D$6,(V98-SUMIFS(F62:F74,$O$62:$O$74,Lister!$D$31,$A$62:$A$74,Lister!$M$10)-SUMIFS(F62:F74,$O$62:$O$74,Lister!$D$32,$A$62:$A$74,Lister!$M$10))*$C$6/100,
IF($G$6=Lister!$D$7,(V98-SUMIFS(F62:F74,$O$62:$O$74,Lister!$D$31,$A$62:$A$74,Lister!$M$10)-SUMIFS(F62:F74,$O$62:$O$74,Lister!$D$32,$A$62:$A$74,Lister!$M$10)-SUMIFS(F62:F74,$O$62:$O$74,Lister!$D$31,$A$62:$A$74,Lister!$M$7)-SUMIFS(F62:F74,$O$62:$O$74,Lister!$D$32,$A$62:$A$74,Lister!$M$7))*$C$6/100,
IF($G$6=Lister!$D$8,(V98+V100)*$C$6/100,
IF($G$6=Lister!$D$9,V97*$C$6/100,0)))))))</f>
        <v>0</v>
      </c>
      <c r="W99" s="323">
        <f>IF($C$12=2,W96*$C$6/100,
IF($G$6=Lister!$D$4,W96*$C$6/100,
IF($G$6=Lister!$D$5,W98*$C$6/100,
IF($G$6=Lister!$D$6,(W98-SUMIFS(G62:G74,$O$62:$O$74,Lister!$D$31,$A$62:$A$74,Lister!$M$10)-SUMIFS(G62:G74,$O$62:$O$74,Lister!$D$32,$A$62:$A$74,Lister!$M$10))*$C$6/100,
IF($G$6=Lister!$D$7,(W98-SUMIFS(G62:G74,$O$62:$O$74,Lister!$D$31,$A$62:$A$74,Lister!$M$10)-SUMIFS(G62:G74,$O$62:$O$74,Lister!$D$32,$A$62:$A$74,Lister!$M$10)-SUMIFS(G62:G74,$O$62:$O$74,Lister!$D$31,$A$62:$A$74,Lister!$M$7)-SUMIFS(G62:G74,$O$62:$O$74,Lister!$D$32,$A$62:$A$74,Lister!$M$7))*$C$6/100,
IF($G$6=Lister!$D$8,(W98+W100)*$C$6/100,
IF($G$6=Lister!$D$9,W97*$C$6/100,0)))))))</f>
        <v>0</v>
      </c>
      <c r="X99" s="324">
        <f>IF($C$12=2,X96*$C$6/100,
IF($G$6=Lister!$D$4,X96*$C$6/100,
IF($G$6=Lister!$D$5,X98*$C$6/100,
IF($G$6=Lister!$D$6,(X98-SUMIFS(H62:H74,$O$62:$O$74,Lister!$D$31,$A$62:$A$74,Lister!$M$10)-SUMIFS(H62:H74,$O$62:$O$74,Lister!$D$32,$A$62:$A$74,Lister!$M$10))*$C$6/100,
IF($G$6=Lister!$D$7,(X98-SUMIFS(H62:H74,$O$62:$O$74,Lister!$D$31,$A$62:$A$74,Lister!$M$10)-SUMIFS(H62:H74,$O$62:$O$74,Lister!$D$32,$A$62:$A$74,Lister!$M$10)-SUMIFS(H62:H74,$O$62:$O$74,Lister!$D$31,$A$62:$A$74,Lister!$M$7)-SUMIFS(H62:H74,$O$62:$O$74,Lister!$D$32,$A$62:$A$74,Lister!$M$7))*$C$6/100,
IF($G$6=Lister!$D$8,(X98+X100)*$C$6/100,
IF($G$6=Lister!$D$9,X97*$C$6/100,0)))))))</f>
        <v>0</v>
      </c>
      <c r="Y99" s="205">
        <f>IF($C$12=2,Y96*$C$6/100,
IF($G$6=Lister!$D$4,Y96*$C$6/100,
IF($G$6=Lister!$D$5,Y98*$C$6/100,
IF($G$6=Lister!$D$6,(Y98-SUMIFS(I62:I74,$O$62:$O$74,Lister!$D$31,$A$62:$A$74,Lister!$M$10)-SUMIFS(I62:I74,$O$62:$O$74,Lister!$D$32,$A$62:$A$74,Lister!$M$10))*$C$6/100,
IF($G$6=Lister!$D$7,(Y98-SUMIFS(I62:I74,$O$62:$O$74,Lister!$D$31,$A$62:$A$74,Lister!$M$10)-SUMIFS(I62:I74,$O$62:$O$74,Lister!$D$32,$A$62:$A$74,Lister!$M$10)-SUMIFS(I62:I74,$O$62:$O$74,Lister!$D$31,$A$62:$A$74,Lister!$M$7)-SUMIFS(I62:I74,$O$62:$O$74,Lister!$D$32,$A$62:$A$74,Lister!$M$7))*$C$6/100,
IF($G$6=Lister!$D$8,(Y98+Y100)*$C$6/100,
IF($G$6=Lister!$D$9,Y97*$C$6/100,0)))))))</f>
        <v>0</v>
      </c>
      <c r="Z99" s="204">
        <f>IF($C$12=2,Z96*$C$6/100,
IF($G$6=Lister!$D$4,Z96*$C$6/100,
IF($G$6=Lister!$D$5,Z98*$C$6/100,
IF($G$6=Lister!$D$6,(Z98-SUMIFS(J62:J74,$O$62:$O$74,Lister!$D$31,$A$62:$A$74,Lister!$M$10)-SUMIFS(J62:J74,$O$62:$O$74,Lister!$D$32,$A$62:$A$74,Lister!$M$10))*$C$6/100,
IF($G$6=Lister!$D$7,(Z98-SUMIFS(J62:J74,$O$62:$O$74,Lister!$D$31,$A$62:$A$74,Lister!$M$10)-SUMIFS(J62:J74,$O$62:$O$74,Lister!$D$32,$A$62:$A$74,Lister!$M$10)-SUMIFS(J62:J74,$O$62:$O$74,Lister!$D$31,$A$62:$A$74,Lister!$M$7)-SUMIFS(J62:J74,$O$62:$O$74,Lister!$D$32,$A$62:$A$74,Lister!$M$7))*$C$6/100,
IF($G$6=Lister!$D$8,(Z98+Z100)*$C$6/100,
IF($G$6=Lister!$D$9,Z97*$C$6/100,0)))))))</f>
        <v>0</v>
      </c>
      <c r="AA99" s="204">
        <f>IF($C$12=2,AA96*$C$6/100,
IF($G$6=Lister!$D$4,AA96*$C$6/100,
IF($G$6=Lister!$D$5,AA98*$C$6/100,
IF($G$6=Lister!$D$6,(AA98-SUMIFS(K62:K74,$O$62:$O$74,Lister!$D$31,$A$62:$A$74,Lister!$M$10)-SUMIFS(K62:K74,$O$62:$O$74,Lister!$D$32,$A$62:$A$74,Lister!$M$10))*$C$6/100,
IF($G$6=Lister!$D$7,(AA98-SUMIFS(K62:K74,$O$62:$O$74,Lister!$D$31,$A$62:$A$74,Lister!$M$10)-SUMIFS(K62:K74,$O$62:$O$74,Lister!$D$32,$A$62:$A$74,Lister!$M$10)-SUMIFS(K62:K74,$O$62:$O$74,Lister!$D$31,$A$62:$A$74,Lister!$M$7)-SUMIFS(K62:K74,$O$62:$O$74,Lister!$D$32,$A$62:$A$74,Lister!$M$7))*$C$6/100,
IF($G$6=Lister!$D$8,(AA98+AA100)*$C$6/100,
IF($G$6=Lister!$D$9,AA97*$C$6/100,0)))))))</f>
        <v>0</v>
      </c>
      <c r="AB99" s="204">
        <f>IF($C$12=2,AB96*$C$6/100,
IF($G$6=Lister!$D$4,AB96*$C$6/100,
IF($G$6=Lister!$D$5,AB98*$C$6/100,
IF($G$6=Lister!$D$6,(AB98-SUMIFS(L62:L74,$O$62:$O$74,Lister!$D$31,$A$62:$A$74,Lister!$M$10)-SUMIFS(L62:L74,$O$62:$O$74,Lister!$D$32,$A$62:$A$74,Lister!$M$10))*$C$6/100,
IF($G$6=Lister!$D$7,(AB98-SUMIFS(L62:L74,$O$62:$O$74,Lister!$D$31,$A$62:$A$74,Lister!$M$10)-SUMIFS(L62:L74,$O$62:$O$74,Lister!$D$32,$A$62:$A$74,Lister!$M$10)-SUMIFS(L62:L74,$O$62:$O$74,Lister!$D$31,$A$62:$A$74,Lister!$M$7)-SUMIFS(L62:L74,$O$62:$O$74,Lister!$D$32,$A$62:$A$74,Lister!$M$7))*$C$6/100,
IF($G$6=Lister!$D$8,(AB98+AB100)*$C$6/100,
IF($G$6=Lister!$D$9,AB97*$C$6/100,0)))))))</f>
        <v>0</v>
      </c>
      <c r="AC99" s="138">
        <f t="shared" si="104"/>
        <v>0</v>
      </c>
      <c r="AF99" s="71"/>
      <c r="AG99" s="71"/>
      <c r="AH99" s="71"/>
      <c r="AI99" s="79"/>
      <c r="AJ99" s="79"/>
      <c r="AK99" s="79"/>
      <c r="AL99" s="79"/>
      <c r="AM99" s="79"/>
      <c r="AN99" s="79"/>
      <c r="AO99" s="79"/>
      <c r="AP99" s="79"/>
      <c r="AQ99" s="79"/>
      <c r="AR99" s="79"/>
      <c r="AS99" s="79"/>
      <c r="AT99" s="79"/>
      <c r="AU99" s="79"/>
      <c r="AV99" s="79"/>
      <c r="AW99" s="79"/>
      <c r="AX99" s="79"/>
      <c r="AY99" s="79"/>
      <c r="AZ99" s="79"/>
      <c r="BA99" s="79"/>
      <c r="BB99" s="79"/>
      <c r="BC99" s="79"/>
      <c r="BD99" s="79"/>
      <c r="BE99" s="79"/>
      <c r="BF99" s="79"/>
      <c r="BG99" s="79"/>
      <c r="BH99" s="79"/>
      <c r="BI99" s="79"/>
      <c r="BJ99" s="79"/>
    </row>
    <row r="100" spans="14:62" s="9" customFormat="1" ht="14.25" customHeight="1">
      <c r="N100" s="71"/>
      <c r="O100" s="87"/>
      <c r="P100" s="87"/>
      <c r="Q100" s="151" t="s">
        <v>103</v>
      </c>
      <c r="R100" s="312">
        <f t="shared" si="103"/>
        <v>0</v>
      </c>
      <c r="S100" s="153">
        <f>+IF($C$8=Lister!$O$5,(SUMIF($O$20:$O$29,Lister!$D$31,C20:C29)+SUMIF($O$20:$O$29,Lister!$D$32,C20:C29))*Takstblad!C$84,0)</f>
        <v>0</v>
      </c>
      <c r="T100" s="153">
        <f>+IF($C$8=Lister!$O$5,(SUMIF($O$20:$O$29,Lister!$D$31,D20:D29)+SUMIF($O$20:$O$29,Lister!$D$32,D20:D29))*Takstblad!D$84,0)</f>
        <v>0</v>
      </c>
      <c r="U100" s="153">
        <f>+IF($C$8=Lister!$O$5,(SUMIF($O$20:$O$29,Lister!$D$31,E20:E29)+SUMIF($O$20:$O$29,Lister!$D$32,E20:E29))*Takstblad!E$84,0)</f>
        <v>0</v>
      </c>
      <c r="V100" s="153">
        <f>+IF($C$8=Lister!$O$5,(SUMIF($O$20:$O$29,Lister!$D$31,F20:F29)+SUMIF($O$20:$O$29,Lister!$D$32,F20:F29))*Takstblad!F$84,0)</f>
        <v>0</v>
      </c>
      <c r="W100" s="153">
        <f>+IF($C$8=Lister!$O$5,(SUMIF($O$20:$O$29,Lister!$D$31,G20:G29)+SUMIF($O$20:$O$29,Lister!$D$32,G20:G29))*Takstblad!G$84,0)</f>
        <v>0</v>
      </c>
      <c r="X100" s="300">
        <f>+IF($C$8=Lister!$O$5,(SUMIF($O$20:$O$29,Lister!$D$31,H20:H29)+SUMIF($O$20:$O$29,Lister!$D$32,H20:H29))*Takstblad!H$84,0)</f>
        <v>0</v>
      </c>
      <c r="Y100" s="110">
        <f>+IF($C$8=Lister!$O$5,(SUMIF($O$20:$O$29,Lister!$D$31,I20:I29)+SUMIF($O$20:$O$29,Lister!$D$32,I20:I29))*Takstblad!I$84,0)</f>
        <v>0</v>
      </c>
      <c r="Z100" s="21">
        <f>+IF($C$8=Lister!$O$5,(SUMIF($O$20:$O$29,Lister!$D$31,J20:J29)+SUMIF($O$20:$O$29,Lister!$D$32,J20:J29))*Takstblad!J$84,0)</f>
        <v>0</v>
      </c>
      <c r="AA100" s="21">
        <f>+IF($C$8=Lister!$O$5,(SUMIF($O$20:$O$29,Lister!$D$31,K20:K29)+SUMIF($O$20:$O$29,Lister!$D$32,K20:K29))*Takstblad!K$84,0)</f>
        <v>0</v>
      </c>
      <c r="AB100" s="21">
        <f>+IF($C$8=Lister!$O$5,(SUMIF($O$20:$O$29,Lister!$D$31,L20:L29)+SUMIF($O$20:$O$29,Lister!$D$32,L20:L29))*Takstblad!L$84,0)</f>
        <v>0</v>
      </c>
      <c r="AC100" s="138">
        <f t="shared" si="104"/>
        <v>0</v>
      </c>
      <c r="AF100" s="70"/>
      <c r="AG100" s="70"/>
      <c r="AH100" s="70"/>
      <c r="AI100" s="71"/>
      <c r="AJ100" s="71"/>
      <c r="AK100" s="71"/>
      <c r="AL100" s="71"/>
      <c r="AM100" s="71"/>
      <c r="AN100" s="71"/>
      <c r="AO100" s="71"/>
      <c r="AP100" s="71"/>
      <c r="AQ100" s="71"/>
      <c r="AR100" s="71"/>
      <c r="AS100" s="71"/>
      <c r="AT100" s="71"/>
      <c r="AU100" s="71"/>
      <c r="AV100" s="71"/>
      <c r="AW100" s="71"/>
      <c r="AX100" s="71"/>
      <c r="AY100" s="71"/>
      <c r="AZ100" s="71"/>
      <c r="BA100" s="71"/>
      <c r="BB100" s="71"/>
      <c r="BC100" s="71"/>
      <c r="BD100" s="71"/>
      <c r="BE100" s="71"/>
      <c r="BF100" s="71"/>
      <c r="BG100" s="71"/>
      <c r="BH100" s="71"/>
      <c r="BI100" s="71"/>
      <c r="BJ100" s="71"/>
    </row>
    <row r="101" spans="14:62" s="9" customFormat="1" ht="14.25" customHeight="1">
      <c r="N101" s="71"/>
      <c r="O101" s="87"/>
      <c r="P101" s="87"/>
      <c r="Q101" s="151" t="s">
        <v>108</v>
      </c>
      <c r="R101" s="312">
        <f t="shared" si="103"/>
        <v>0</v>
      </c>
      <c r="S101" s="153"/>
      <c r="T101" s="155"/>
      <c r="U101" s="155"/>
      <c r="V101" s="155"/>
      <c r="W101" s="155"/>
      <c r="X101" s="308"/>
      <c r="Y101" s="114"/>
      <c r="Z101" s="115"/>
      <c r="AA101" s="115"/>
      <c r="AB101" s="115"/>
      <c r="AC101" s="138">
        <f t="shared" si="104"/>
        <v>0</v>
      </c>
      <c r="AF101" s="79"/>
      <c r="AG101" s="79"/>
      <c r="AH101" s="79"/>
      <c r="AI101" s="71"/>
      <c r="AJ101" s="71"/>
      <c r="AK101" s="71"/>
      <c r="AL101" s="71"/>
      <c r="AM101" s="71"/>
      <c r="AN101" s="71"/>
      <c r="AO101" s="71"/>
      <c r="AP101" s="71"/>
      <c r="AQ101" s="71"/>
      <c r="AR101" s="71"/>
      <c r="AS101" s="71"/>
      <c r="AT101" s="71"/>
      <c r="AU101" s="71"/>
      <c r="AV101" s="71"/>
      <c r="AW101" s="71"/>
      <c r="AX101" s="71"/>
      <c r="AY101" s="71"/>
      <c r="AZ101" s="71"/>
      <c r="BA101" s="71"/>
      <c r="BB101" s="71"/>
      <c r="BC101" s="71"/>
      <c r="BD101" s="71"/>
      <c r="BE101" s="71"/>
      <c r="BF101" s="71"/>
      <c r="BG101" s="71"/>
      <c r="BH101" s="71"/>
      <c r="BI101" s="71"/>
      <c r="BJ101" s="71"/>
    </row>
    <row r="102" spans="14:62" s="9" customFormat="1" ht="14.25" customHeight="1">
      <c r="N102" s="71"/>
      <c r="O102" s="87"/>
      <c r="P102" s="87"/>
      <c r="Q102" s="150" t="s">
        <v>531</v>
      </c>
      <c r="R102" s="312">
        <f t="shared" si="103"/>
        <v>0</v>
      </c>
      <c r="S102" s="153" t="str">
        <f>IF($C$12=2,(SUM(S98:S101)*$C$13)/100,"0")</f>
        <v>0</v>
      </c>
      <c r="T102" s="155" t="str">
        <f t="shared" ref="T102:Z102" si="107">IF($C$12=2,(SUM(T98:T101)*$C$13)/100,"0")</f>
        <v>0</v>
      </c>
      <c r="U102" s="155" t="str">
        <f t="shared" si="107"/>
        <v>0</v>
      </c>
      <c r="V102" s="155" t="str">
        <f t="shared" si="107"/>
        <v>0</v>
      </c>
      <c r="W102" s="155" t="str">
        <f t="shared" si="107"/>
        <v>0</v>
      </c>
      <c r="X102" s="308" t="str">
        <f t="shared" si="107"/>
        <v>0</v>
      </c>
      <c r="Y102" s="156" t="str">
        <f t="shared" si="107"/>
        <v>0</v>
      </c>
      <c r="Z102" s="155" t="str">
        <f t="shared" si="107"/>
        <v>0</v>
      </c>
      <c r="AA102" s="155" t="str">
        <f>IF($C$12=2,(SUM(AA98:AA101)*$C$13)/100,"0")</f>
        <v>0</v>
      </c>
      <c r="AB102" s="155" t="str">
        <f>IF($C$12=2,(SUM(AB98:AB101)*$C$13)/100,"0")</f>
        <v>0</v>
      </c>
      <c r="AC102" s="138">
        <f t="shared" si="104"/>
        <v>0</v>
      </c>
      <c r="AF102" s="71"/>
      <c r="AG102" s="71"/>
      <c r="AH102" s="71"/>
      <c r="AI102" s="71"/>
      <c r="AJ102" s="71"/>
      <c r="AK102" s="71"/>
      <c r="AL102" s="71"/>
      <c r="AM102" s="71"/>
      <c r="AN102" s="71"/>
      <c r="AO102" s="71"/>
      <c r="AP102" s="71"/>
      <c r="AQ102" s="71"/>
      <c r="AR102" s="71"/>
      <c r="AS102" s="71"/>
      <c r="AT102" s="71"/>
      <c r="AU102" s="71"/>
      <c r="AV102" s="71"/>
      <c r="AW102" s="71"/>
      <c r="AX102" s="71"/>
      <c r="AY102" s="71"/>
      <c r="AZ102" s="71"/>
      <c r="BA102" s="71"/>
      <c r="BB102" s="71"/>
      <c r="BC102" s="71"/>
      <c r="BD102" s="71"/>
      <c r="BE102" s="71"/>
      <c r="BF102" s="71"/>
      <c r="BG102" s="71"/>
      <c r="BH102" s="71"/>
      <c r="BI102" s="71"/>
      <c r="BJ102" s="71"/>
    </row>
    <row r="103" spans="14:62" s="9" customFormat="1" ht="14.25" customHeight="1">
      <c r="N103" s="71"/>
      <c r="O103" s="87"/>
      <c r="P103" s="87"/>
      <c r="Q103" s="149" t="s">
        <v>101</v>
      </c>
      <c r="R103" s="312">
        <f t="shared" si="103"/>
        <v>0</v>
      </c>
      <c r="S103" s="313">
        <f>+SUM(S98:S102)</f>
        <v>0</v>
      </c>
      <c r="T103" s="313">
        <f t="shared" ref="T103:Z103" si="108">+SUM(T98:T102)</f>
        <v>0</v>
      </c>
      <c r="U103" s="313">
        <f t="shared" si="108"/>
        <v>0</v>
      </c>
      <c r="V103" s="313">
        <f t="shared" si="108"/>
        <v>0</v>
      </c>
      <c r="W103" s="313">
        <f t="shared" si="108"/>
        <v>0</v>
      </c>
      <c r="X103" s="314">
        <f t="shared" si="108"/>
        <v>0</v>
      </c>
      <c r="Y103" s="296">
        <f t="shared" si="108"/>
        <v>0</v>
      </c>
      <c r="Z103" s="137">
        <f t="shared" si="108"/>
        <v>0</v>
      </c>
      <c r="AA103" s="137">
        <f>+SUM(AA98:AA102)</f>
        <v>0</v>
      </c>
      <c r="AB103" s="137">
        <f>+SUM(AB98:AB102)</f>
        <v>0</v>
      </c>
      <c r="AC103" s="138">
        <f t="shared" si="104"/>
        <v>0</v>
      </c>
      <c r="AD103" s="71"/>
      <c r="AE103" s="71"/>
      <c r="AF103" s="71"/>
      <c r="AG103" s="71"/>
      <c r="AH103" s="71"/>
      <c r="AI103" s="71"/>
      <c r="AJ103" s="71"/>
      <c r="AK103" s="71"/>
      <c r="AL103" s="71"/>
      <c r="AM103" s="71"/>
      <c r="AN103" s="71"/>
      <c r="AO103" s="71"/>
      <c r="AP103" s="71"/>
      <c r="AQ103" s="71"/>
      <c r="AR103" s="71"/>
      <c r="AS103" s="71"/>
      <c r="AT103" s="71"/>
      <c r="AU103" s="71"/>
      <c r="AV103" s="71"/>
      <c r="AW103" s="71"/>
      <c r="AX103" s="71"/>
      <c r="AY103" s="71"/>
      <c r="AZ103" s="71"/>
      <c r="BA103" s="71"/>
      <c r="BB103" s="71"/>
      <c r="BC103" s="71"/>
      <c r="BD103" s="71"/>
      <c r="BE103" s="71"/>
      <c r="BF103" s="71"/>
      <c r="BG103" s="71"/>
      <c r="BH103" s="71"/>
      <c r="BI103" s="71"/>
      <c r="BJ103" s="71"/>
    </row>
    <row r="104" spans="14:62" s="9" customFormat="1" ht="14.25" customHeight="1">
      <c r="N104" s="71"/>
      <c r="O104" s="87"/>
      <c r="P104" s="87"/>
      <c r="Q104" s="227"/>
      <c r="R104" s="228"/>
      <c r="S104" s="23"/>
      <c r="X104" s="228"/>
      <c r="AC104" s="228"/>
      <c r="AD104" s="71"/>
      <c r="AE104" s="71"/>
      <c r="AF104" s="71"/>
      <c r="AG104" s="71"/>
      <c r="AH104" s="71"/>
      <c r="AI104" s="71"/>
      <c r="AJ104" s="71"/>
      <c r="AK104" s="71"/>
      <c r="AL104" s="71"/>
      <c r="AM104" s="71"/>
      <c r="AN104" s="71"/>
      <c r="AO104" s="71"/>
      <c r="AP104" s="71"/>
      <c r="AQ104" s="71"/>
      <c r="AR104" s="71"/>
      <c r="AS104" s="71"/>
      <c r="AT104" s="71"/>
      <c r="AU104" s="71"/>
      <c r="AV104" s="71"/>
      <c r="AW104" s="71"/>
      <c r="AX104" s="71"/>
      <c r="AY104" s="71"/>
      <c r="AZ104" s="71"/>
      <c r="BA104" s="71"/>
      <c r="BB104" s="71"/>
      <c r="BC104" s="71"/>
      <c r="BD104" s="71"/>
      <c r="BE104" s="71"/>
      <c r="BF104" s="71"/>
      <c r="BG104" s="71"/>
      <c r="BH104" s="71"/>
      <c r="BI104" s="71"/>
      <c r="BJ104" s="71"/>
    </row>
    <row r="105" spans="14:62" s="9" customFormat="1" ht="14.25" customHeight="1">
      <c r="N105" s="71"/>
      <c r="O105" s="87"/>
      <c r="P105" s="87"/>
      <c r="Q105" s="130" t="s">
        <v>152</v>
      </c>
      <c r="R105" s="131"/>
      <c r="S105" s="230"/>
      <c r="T105" s="136"/>
      <c r="U105" s="136"/>
      <c r="V105" s="136"/>
      <c r="W105" s="136"/>
      <c r="X105" s="305"/>
      <c r="Y105" s="136"/>
      <c r="Z105" s="136"/>
      <c r="AA105" s="136"/>
      <c r="AB105" s="136"/>
      <c r="AC105" s="131"/>
      <c r="AD105" s="71"/>
      <c r="AE105" s="71"/>
      <c r="AF105" s="71"/>
      <c r="AG105" s="71"/>
      <c r="AH105" s="71"/>
      <c r="AI105" s="71"/>
      <c r="AJ105" s="71"/>
      <c r="AK105" s="71"/>
      <c r="AL105" s="71"/>
      <c r="AM105" s="71"/>
      <c r="AN105" s="71"/>
      <c r="AO105" s="71"/>
      <c r="AP105" s="71"/>
      <c r="AQ105" s="71"/>
      <c r="AR105" s="71"/>
      <c r="AS105" s="71"/>
      <c r="AT105" s="71"/>
      <c r="AU105" s="71"/>
      <c r="AV105" s="71"/>
      <c r="AW105" s="71"/>
      <c r="AX105" s="71"/>
      <c r="AY105" s="71"/>
      <c r="AZ105" s="71"/>
      <c r="BA105" s="71"/>
      <c r="BB105" s="71"/>
      <c r="BC105" s="71"/>
      <c r="BD105" s="71"/>
      <c r="BE105" s="71"/>
      <c r="BF105" s="71"/>
      <c r="BG105" s="71"/>
      <c r="BH105" s="71"/>
      <c r="BI105" s="71"/>
      <c r="BJ105" s="71"/>
    </row>
    <row r="106" spans="14:62" s="9" customFormat="1" ht="14.25" customHeight="1">
      <c r="N106" s="71"/>
      <c r="O106" s="87"/>
      <c r="P106" s="87"/>
      <c r="Q106" s="134"/>
      <c r="R106" s="133"/>
      <c r="S106" s="16"/>
      <c r="T106" s="76"/>
      <c r="U106" s="76"/>
      <c r="V106" s="76"/>
      <c r="W106" s="76"/>
      <c r="X106" s="133"/>
      <c r="Y106" s="76"/>
      <c r="Z106" s="76"/>
      <c r="AA106" s="76"/>
      <c r="AB106" s="76"/>
      <c r="AC106" s="133"/>
      <c r="AD106" s="71"/>
      <c r="AE106" s="71"/>
      <c r="AF106" s="71"/>
      <c r="AG106" s="71"/>
      <c r="AH106" s="71"/>
      <c r="AI106" s="71"/>
      <c r="AJ106" s="71"/>
      <c r="AK106" s="71"/>
      <c r="AL106" s="71"/>
      <c r="AM106" s="71"/>
      <c r="AN106" s="71"/>
      <c r="AO106" s="71"/>
      <c r="AP106" s="71"/>
      <c r="AQ106" s="71"/>
      <c r="AR106" s="71"/>
      <c r="AS106" s="71"/>
      <c r="AT106" s="71"/>
      <c r="AU106" s="71"/>
      <c r="AV106" s="71"/>
      <c r="AW106" s="71"/>
      <c r="AX106" s="71"/>
      <c r="AY106" s="71"/>
      <c r="AZ106" s="71"/>
      <c r="BA106" s="71"/>
      <c r="BB106" s="71"/>
      <c r="BC106" s="71"/>
      <c r="BD106" s="71"/>
      <c r="BE106" s="71"/>
      <c r="BF106" s="71"/>
      <c r="BG106" s="71"/>
      <c r="BH106" s="71"/>
      <c r="BI106" s="71"/>
      <c r="BJ106" s="71"/>
    </row>
    <row r="107" spans="14:62" s="9" customFormat="1" ht="14.25" customHeight="1">
      <c r="N107" s="71"/>
      <c r="O107" s="87"/>
      <c r="P107" s="87"/>
      <c r="Q107" s="152" t="s">
        <v>22</v>
      </c>
      <c r="R107" s="124" t="s">
        <v>34</v>
      </c>
      <c r="S107" s="45">
        <f>+S93</f>
        <v>2026</v>
      </c>
      <c r="T107" s="8">
        <f t="shared" ref="T107:Z107" si="109">+T93</f>
        <v>2027</v>
      </c>
      <c r="U107" s="8">
        <f t="shared" si="109"/>
        <v>2028</v>
      </c>
      <c r="V107" s="8">
        <f t="shared" si="109"/>
        <v>2029</v>
      </c>
      <c r="W107" s="8">
        <f t="shared" si="109"/>
        <v>2030</v>
      </c>
      <c r="X107" s="124">
        <f t="shared" si="109"/>
        <v>2031</v>
      </c>
      <c r="Y107" s="8">
        <f t="shared" si="109"/>
        <v>2032</v>
      </c>
      <c r="Z107" s="8">
        <f t="shared" si="109"/>
        <v>2033</v>
      </c>
      <c r="AA107" s="8">
        <f>+AA93</f>
        <v>2034</v>
      </c>
      <c r="AB107" s="8">
        <f>+AB93</f>
        <v>2035</v>
      </c>
      <c r="AC107" s="124" t="s">
        <v>34</v>
      </c>
      <c r="AD107" s="71"/>
      <c r="AE107" s="71"/>
      <c r="AF107" s="71"/>
      <c r="AG107" s="71"/>
      <c r="AH107" s="71"/>
      <c r="AI107" s="71"/>
      <c r="AJ107" s="71"/>
      <c r="AK107" s="71"/>
      <c r="AL107" s="71"/>
      <c r="AM107" s="71"/>
      <c r="AN107" s="71"/>
      <c r="AO107" s="71"/>
      <c r="AP107" s="71"/>
      <c r="AQ107" s="71"/>
      <c r="AR107" s="71"/>
      <c r="AS107" s="71"/>
      <c r="AT107" s="71"/>
      <c r="AU107" s="71"/>
      <c r="AV107" s="71"/>
      <c r="AW107" s="71"/>
      <c r="AX107" s="71"/>
      <c r="AY107" s="71"/>
      <c r="AZ107" s="71"/>
      <c r="BA107" s="71"/>
      <c r="BB107" s="71"/>
      <c r="BC107" s="71"/>
      <c r="BD107" s="71"/>
      <c r="BE107" s="71"/>
      <c r="BF107" s="71"/>
      <c r="BG107" s="71"/>
      <c r="BH107" s="71"/>
      <c r="BI107" s="71"/>
      <c r="BJ107" s="71"/>
    </row>
    <row r="108" spans="14:62" s="9" customFormat="1" ht="14.25" customHeight="1">
      <c r="N108" s="71"/>
      <c r="O108" s="87"/>
      <c r="P108" s="87"/>
      <c r="Q108" s="147" t="s">
        <v>74</v>
      </c>
      <c r="R108" s="315">
        <f t="shared" ref="R108:R117" si="110">+AC108</f>
        <v>0</v>
      </c>
      <c r="S108" s="316">
        <f>+SUMIF($O$20:$O$39,Lister!$D$30,S$20:S$39)</f>
        <v>0</v>
      </c>
      <c r="T108" s="316">
        <f>+SUMIF($O$20:$O$39,Lister!$D$30,T$20:T$39)</f>
        <v>0</v>
      </c>
      <c r="U108" s="316">
        <f>+SUMIF($O$20:$O$39,Lister!$D$30,U$20:U$39)</f>
        <v>0</v>
      </c>
      <c r="V108" s="316">
        <f>+SUMIF($O$20:$O$39,Lister!$D$30,V$20:V$39)</f>
        <v>0</v>
      </c>
      <c r="W108" s="316">
        <f>+SUMIF($O$20:$O$39,Lister!$D$30,W$20:W$39)</f>
        <v>0</v>
      </c>
      <c r="X108" s="316">
        <f>+SUMIF($O$20:$O$39,Lister!$D$30,X$20:X$39)</f>
        <v>0</v>
      </c>
      <c r="Y108" s="316">
        <f>+SUMIF($O$20:$O$39,Lister!$D$30,Y$20:Y$39)</f>
        <v>0</v>
      </c>
      <c r="Z108" s="316">
        <f>+SUMIF($O$20:$O$39,Lister!$D$30,Z$20:Z$39)</f>
        <v>0</v>
      </c>
      <c r="AA108" s="316">
        <f>+SUMIF($O$20:$O$39,Lister!$D$30,AA$20:AA$39)</f>
        <v>0</v>
      </c>
      <c r="AB108" s="316">
        <f>+SUMIF($O$20:$O$39,Lister!$D$30,AB$20:AB$39)</f>
        <v>0</v>
      </c>
      <c r="AC108" s="140">
        <f>SUM(S108:AB108)</f>
        <v>0</v>
      </c>
      <c r="AD108" s="71"/>
      <c r="AE108" s="71"/>
      <c r="AF108" s="71"/>
      <c r="AG108" s="71"/>
      <c r="AH108" s="71"/>
      <c r="AI108" s="71"/>
      <c r="AJ108" s="71"/>
      <c r="AK108" s="71"/>
      <c r="AL108" s="71"/>
      <c r="AM108" s="71"/>
      <c r="AN108" s="71"/>
      <c r="AO108" s="71"/>
      <c r="AP108" s="71"/>
      <c r="AQ108" s="71"/>
      <c r="AR108" s="71"/>
      <c r="AS108" s="71"/>
      <c r="AT108" s="71"/>
      <c r="AU108" s="71"/>
      <c r="AV108" s="71"/>
      <c r="AW108" s="71"/>
      <c r="AX108" s="71"/>
      <c r="AY108" s="71"/>
      <c r="AZ108" s="71"/>
      <c r="BA108" s="71"/>
      <c r="BB108" s="71"/>
      <c r="BC108" s="71"/>
      <c r="BD108" s="71"/>
      <c r="BE108" s="71"/>
      <c r="BF108" s="71"/>
      <c r="BG108" s="71"/>
      <c r="BH108" s="71"/>
      <c r="BI108" s="71"/>
      <c r="BJ108" s="71"/>
    </row>
    <row r="109" spans="14:62" s="9" customFormat="1" ht="14.25" customHeight="1">
      <c r="N109" s="71"/>
      <c r="O109" s="87"/>
      <c r="P109" s="87"/>
      <c r="Q109" s="148" t="s">
        <v>75</v>
      </c>
      <c r="R109" s="309">
        <f t="shared" si="110"/>
        <v>0</v>
      </c>
      <c r="S109" s="310">
        <f>+SUMIF($O$43:$O$55,Lister!$D$30,S$43:S$55)</f>
        <v>0</v>
      </c>
      <c r="T109" s="319">
        <f>+SUMIF($O$43:$O$55,Lister!$D$30,T$43:T$55)</f>
        <v>0</v>
      </c>
      <c r="U109" s="310">
        <f>+SUMIF($O$43:$O$55,Lister!$D$30,U$43:U$55)</f>
        <v>0</v>
      </c>
      <c r="V109" s="319">
        <f>+SUMIF($O$43:$O$55,Lister!$D$30,V$43:V$55)</f>
        <v>0</v>
      </c>
      <c r="W109" s="310">
        <f>+SUMIF($O$43:$O$55,Lister!$D$30,W$43:W$55)</f>
        <v>0</v>
      </c>
      <c r="X109" s="320">
        <f>+SUMIF($O$43:$O$55,Lister!$D$30,X$43:X$55)</f>
        <v>0</v>
      </c>
      <c r="Y109" s="295">
        <f>+SUMIF($O$43:$O$55,Lister!$D$30,Y$43:Y$55)</f>
        <v>0</v>
      </c>
      <c r="Z109" s="113">
        <f>+SUMIF($O$43:$O$55,Lister!$D$30,Z$43:Z$55)</f>
        <v>0</v>
      </c>
      <c r="AA109" s="113">
        <f>+SUMIF($O$43:$O$55,Lister!$D$30,AA$43:AA$55)</f>
        <v>0</v>
      </c>
      <c r="AB109" s="113">
        <f>+SUMIF($O$43:$O$55,Lister!$D$30,AB$43:AB$55)</f>
        <v>0</v>
      </c>
      <c r="AC109" s="141">
        <f t="shared" ref="AC109:AC117" si="111">SUM(S109:AB109)</f>
        <v>0</v>
      </c>
      <c r="AD109" s="71"/>
      <c r="AE109" s="71"/>
      <c r="AF109" s="71"/>
      <c r="AG109" s="71"/>
      <c r="AH109" s="71"/>
      <c r="AI109" s="71"/>
      <c r="AJ109" s="71"/>
      <c r="AK109" s="71"/>
      <c r="AL109" s="71"/>
      <c r="AM109" s="71"/>
      <c r="AN109" s="71"/>
      <c r="AO109" s="71"/>
      <c r="AP109" s="71"/>
      <c r="AQ109" s="71"/>
      <c r="AR109" s="71"/>
      <c r="AS109" s="71"/>
      <c r="AT109" s="71"/>
      <c r="AU109" s="71"/>
      <c r="AV109" s="71"/>
      <c r="AW109" s="71"/>
      <c r="AX109" s="71"/>
      <c r="AY109" s="71"/>
      <c r="AZ109" s="71"/>
      <c r="BA109" s="71"/>
      <c r="BB109" s="71"/>
      <c r="BC109" s="71"/>
      <c r="BD109" s="71"/>
      <c r="BE109" s="71"/>
      <c r="BF109" s="71"/>
      <c r="BG109" s="71"/>
      <c r="BH109" s="71"/>
      <c r="BI109" s="71"/>
      <c r="BJ109" s="71"/>
    </row>
    <row r="110" spans="14:62" s="9" customFormat="1" ht="14.25" customHeight="1">
      <c r="N110" s="71"/>
      <c r="O110" s="87"/>
      <c r="P110" s="87"/>
      <c r="Q110" s="149" t="s">
        <v>76</v>
      </c>
      <c r="R110" s="312">
        <f t="shared" si="110"/>
        <v>0</v>
      </c>
      <c r="S110" s="313">
        <f>+SUM(S108:S109)</f>
        <v>0</v>
      </c>
      <c r="T110" s="313">
        <f t="shared" ref="T110:Z110" si="112">+SUM(T108:T109)</f>
        <v>0</v>
      </c>
      <c r="U110" s="313">
        <f t="shared" si="112"/>
        <v>0</v>
      </c>
      <c r="V110" s="313">
        <f t="shared" si="112"/>
        <v>0</v>
      </c>
      <c r="W110" s="313">
        <f t="shared" si="112"/>
        <v>0</v>
      </c>
      <c r="X110" s="314">
        <f t="shared" si="112"/>
        <v>0</v>
      </c>
      <c r="Y110" s="142">
        <f t="shared" si="112"/>
        <v>0</v>
      </c>
      <c r="Z110" s="137">
        <f t="shared" si="112"/>
        <v>0</v>
      </c>
      <c r="AA110" s="137">
        <f>+SUM(AA108:AA109)</f>
        <v>0</v>
      </c>
      <c r="AB110" s="137">
        <f>+SUM(AB108:AB109)</f>
        <v>0</v>
      </c>
      <c r="AC110" s="138">
        <f t="shared" si="111"/>
        <v>0</v>
      </c>
      <c r="AD110" s="71"/>
      <c r="AE110" s="71"/>
      <c r="AF110" s="71"/>
      <c r="AG110" s="71"/>
      <c r="AH110" s="71"/>
      <c r="AI110" s="71"/>
      <c r="AJ110" s="71"/>
      <c r="AK110" s="71"/>
      <c r="AL110" s="71"/>
      <c r="AM110" s="71"/>
      <c r="AN110" s="71"/>
      <c r="AO110" s="71"/>
      <c r="AP110" s="71"/>
      <c r="AQ110" s="71"/>
      <c r="AR110" s="71"/>
      <c r="AS110" s="71"/>
      <c r="AT110" s="71"/>
      <c r="AU110" s="71"/>
      <c r="AV110" s="71"/>
      <c r="AW110" s="71"/>
      <c r="AX110" s="71"/>
      <c r="AY110" s="71"/>
      <c r="AZ110" s="71"/>
      <c r="BA110" s="71"/>
      <c r="BB110" s="71"/>
      <c r="BC110" s="71"/>
      <c r="BD110" s="71"/>
      <c r="BE110" s="71"/>
      <c r="BF110" s="71"/>
      <c r="BG110" s="71"/>
      <c r="BH110" s="71"/>
      <c r="BI110" s="71"/>
      <c r="BJ110" s="71"/>
    </row>
    <row r="111" spans="14:62" s="9" customFormat="1" ht="14.25" customHeight="1">
      <c r="N111" s="71"/>
      <c r="O111" s="87"/>
      <c r="P111" s="87"/>
      <c r="Q111" s="149" t="s">
        <v>77</v>
      </c>
      <c r="R111" s="312">
        <f t="shared" si="110"/>
        <v>0</v>
      </c>
      <c r="S111" s="313">
        <f>+SUMIF($O$62:$O$74,Lister!$D$30,C$62:C$74)</f>
        <v>0</v>
      </c>
      <c r="T111" s="327">
        <f>+SUMIF($O$62:$O$74,Lister!$D$30,D$62:D$74)</f>
        <v>0</v>
      </c>
      <c r="U111" s="327">
        <f>+SUMIF($O$62:$O$74,Lister!$D$30,E$62:E$74)</f>
        <v>0</v>
      </c>
      <c r="V111" s="327">
        <f>+SUMIF($O$62:$O$74,Lister!$D$30,F$62:F$74)</f>
        <v>0</v>
      </c>
      <c r="W111" s="327">
        <f>+SUMIF($O$62:$O$74,Lister!$D$30,G$62:G$74)</f>
        <v>0</v>
      </c>
      <c r="X111" s="328">
        <f>+SUMIF($O$62:$O$74,Lister!$D$30,H$62:H$74)</f>
        <v>0</v>
      </c>
      <c r="Y111" s="209">
        <f>+SUMIF($O$62:$O$74,Lister!$D$30,I$62:I$74)</f>
        <v>0</v>
      </c>
      <c r="Z111" s="208">
        <f>+SUMIF($O$62:$O$74,Lister!$D$30,J$62:J$74)</f>
        <v>0</v>
      </c>
      <c r="AA111" s="208">
        <f>+SUMIF($O$62:$O$74,Lister!$D$30,K$62:K$74)</f>
        <v>0</v>
      </c>
      <c r="AB111" s="208">
        <f>+SUMIF($O$62:$O$74,Lister!$D$30,L$62:L$74)</f>
        <v>0</v>
      </c>
      <c r="AC111" s="138">
        <f t="shared" si="111"/>
        <v>0</v>
      </c>
      <c r="AD111" s="71"/>
      <c r="AE111" s="71"/>
      <c r="AF111" s="71"/>
      <c r="AG111" s="71"/>
      <c r="AH111" s="71"/>
      <c r="AI111" s="71"/>
      <c r="AJ111" s="71"/>
      <c r="AK111" s="71"/>
      <c r="AL111" s="71"/>
      <c r="AM111" s="71"/>
      <c r="AN111" s="71"/>
      <c r="AO111" s="71"/>
      <c r="AP111" s="71"/>
      <c r="AQ111" s="71"/>
      <c r="AR111" s="71"/>
      <c r="AS111" s="71"/>
      <c r="AT111" s="71"/>
      <c r="AU111" s="71"/>
      <c r="AV111" s="71"/>
      <c r="AW111" s="71"/>
      <c r="AX111" s="71"/>
      <c r="AY111" s="71"/>
      <c r="AZ111" s="71"/>
      <c r="BA111" s="71"/>
      <c r="BB111" s="71"/>
      <c r="BC111" s="71"/>
      <c r="BD111" s="71"/>
      <c r="BE111" s="71"/>
      <c r="BF111" s="71"/>
      <c r="BG111" s="71"/>
      <c r="BH111" s="71"/>
      <c r="BI111" s="71"/>
      <c r="BJ111" s="71"/>
    </row>
    <row r="112" spans="14:62" s="9" customFormat="1" ht="14.25" customHeight="1">
      <c r="N112" s="71"/>
      <c r="O112" s="87"/>
      <c r="P112" s="87"/>
      <c r="Q112" s="149" t="s">
        <v>78</v>
      </c>
      <c r="R112" s="312">
        <f t="shared" si="110"/>
        <v>0</v>
      </c>
      <c r="S112" s="313">
        <f>+S111+S110</f>
        <v>0</v>
      </c>
      <c r="T112" s="329">
        <f t="shared" ref="T112:Z112" si="113">+T111+T110</f>
        <v>0</v>
      </c>
      <c r="U112" s="329">
        <f t="shared" si="113"/>
        <v>0</v>
      </c>
      <c r="V112" s="329">
        <f t="shared" si="113"/>
        <v>0</v>
      </c>
      <c r="W112" s="329">
        <f t="shared" si="113"/>
        <v>0</v>
      </c>
      <c r="X112" s="330">
        <f t="shared" si="113"/>
        <v>0</v>
      </c>
      <c r="Y112" s="146">
        <f t="shared" si="113"/>
        <v>0</v>
      </c>
      <c r="Z112" s="145">
        <f t="shared" si="113"/>
        <v>0</v>
      </c>
      <c r="AA112" s="145">
        <f>+AA111+AA110</f>
        <v>0</v>
      </c>
      <c r="AB112" s="145">
        <f>+AB111+AB110</f>
        <v>0</v>
      </c>
      <c r="AC112" s="138">
        <f t="shared" si="111"/>
        <v>0</v>
      </c>
      <c r="AD112" s="71"/>
      <c r="AE112" s="71"/>
      <c r="AF112" s="71"/>
      <c r="AG112" s="71"/>
      <c r="AH112" s="71"/>
      <c r="AI112" s="71"/>
      <c r="AJ112" s="71"/>
      <c r="AK112" s="71"/>
      <c r="AL112" s="71"/>
      <c r="AM112" s="71"/>
      <c r="AN112" s="71"/>
      <c r="AO112" s="71"/>
      <c r="AP112" s="71"/>
      <c r="AQ112" s="71"/>
      <c r="AR112" s="71"/>
      <c r="AS112" s="71"/>
      <c r="AT112" s="71"/>
      <c r="AU112" s="71"/>
      <c r="AV112" s="71"/>
      <c r="AW112" s="71"/>
      <c r="AX112" s="71"/>
      <c r="AY112" s="71"/>
      <c r="AZ112" s="71"/>
      <c r="BA112" s="71"/>
      <c r="BB112" s="71"/>
      <c r="BC112" s="71"/>
      <c r="BD112" s="71"/>
      <c r="BE112" s="71"/>
      <c r="BF112" s="71"/>
      <c r="BG112" s="71"/>
      <c r="BH112" s="71"/>
      <c r="BI112" s="71"/>
      <c r="BJ112" s="71"/>
    </row>
    <row r="113" spans="14:62" s="15" customFormat="1" ht="14.25" customHeight="1">
      <c r="N113" s="71"/>
      <c r="O113" s="87"/>
      <c r="P113" s="87"/>
      <c r="Q113" s="150" t="s">
        <v>0</v>
      </c>
      <c r="R113" s="312">
        <f t="shared" si="110"/>
        <v>0</v>
      </c>
      <c r="S113" s="153">
        <f>IF($C$12=2,S110*$C$6/100,
IF($G$6=Lister!$D$4,S110*$C$6/100,
IF($G$6=Lister!$D$5,S112*$C$6/100,
IF($G$6=Lister!$D$6,(S112-SUMIFS(C62:C74,$O$62:$O$74,Lister!$D$30,$A$62:$A$74,Lister!$M$10))*$C$6/100,
IF($G$6=Lister!$D$7,(S112-SUMIFS(C62:C74,$O$62:$O$74,Lister!$D$30,$A$62:$A$74,Lister!$M$10)-SUMIFS(C62:C74,$O$62:$O$74,Lister!$D$30,$A$62:$A$74,Lister!$M$7))*$C$6/100,
IF($G$6=Lister!$D$8,(S112+S114)*$C$6/100,
IF($G$6=Lister!$D$9,S111*$C$6/100,0)))))))</f>
        <v>0</v>
      </c>
      <c r="T113" s="323">
        <f>IF($C$12=2,T110*$C$6/100,
IF($G$6=Lister!$D$4,T110*$C$6/100,
IF($G$6=Lister!$D$5,T112*$C$6/100,
IF($G$6=Lister!$D$6,(T112-SUMIFS(D62:D74,$O$62:$O$74,Lister!$D$30,$A$62:$A$74,Lister!$M$10))*$C$6/100,
IF($G$6=Lister!$D$7,(T112-SUMIFS(D62:D74,$O$62:$O$74,Lister!$D$30,$A$62:$A$74,Lister!$M$10)-SUMIFS(D62:D74,$O$62:$O$74,Lister!$D$30,$A$62:$A$74,Lister!$M$7))*$C$6/100,
IF($G$6=Lister!$D$8,(T112+T114)*$C$6/100,
IF($G$6=Lister!$D$9,T111*$C$6/100,0)))))))</f>
        <v>0</v>
      </c>
      <c r="U113" s="323">
        <f>IF($C$12=2,U110*$C$6/100,
IF($G$6=Lister!$D$4,U110*$C$6/100,
IF($G$6=Lister!$D$5,U112*$C$6/100,
IF($G$6=Lister!$D$6,(U112-SUMIFS(E62:E74,$O$62:$O$74,Lister!$D$30,$A$62:$A$74,Lister!$M$10))*$C$6/100,
IF($G$6=Lister!$D$7,(U112-SUMIFS(E62:E74,$O$62:$O$74,Lister!$D$30,$A$62:$A$74,Lister!$M$10)-SUMIFS(E62:E74,$O$62:$O$74,Lister!$D$30,$A$62:$A$74,Lister!$M$7))*$C$6/100,
IF($G$6=Lister!$D$8,(U112+U114)*$C$6/100,
IF($G$6=Lister!$D$9,U111*$C$6/100,0)))))))</f>
        <v>0</v>
      </c>
      <c r="V113" s="323">
        <f>IF($C$12=2,V110*$C$6/100,
IF($G$6=Lister!$D$4,V110*$C$6/100,
IF($G$6=Lister!$D$5,V112*$C$6/100,
IF($G$6=Lister!$D$6,(V112-SUMIFS(F62:F74,$O$62:$O$74,Lister!$D$30,$A$62:$A$74,Lister!$M$10))*$C$6/100,
IF($G$6=Lister!$D$7,(V112-SUMIFS(F62:F74,$O$62:$O$74,Lister!$D$30,$A$62:$A$74,Lister!$M$10)-SUMIFS(F62:F74,$O$62:$O$74,Lister!$D$30,$A$62:$A$74,Lister!$M$7))*$C$6/100,
IF($G$6=Lister!$D$8,(V112+V114)*$C$6/100,
IF($G$6=Lister!$D$9,V111*$C$6/100,0)))))))</f>
        <v>0</v>
      </c>
      <c r="W113" s="323">
        <f>IF($C$12=2,W110*$C$6/100,
IF($G$6=Lister!$D$4,W110*$C$6/100,
IF($G$6=Lister!$D$5,W112*$C$6/100,
IF($G$6=Lister!$D$6,(W112-SUMIFS(G62:G74,$O$62:$O$74,Lister!$D$30,$A$62:$A$74,Lister!$M$10))*$C$6/100,
IF($G$6=Lister!$D$7,(W112-SUMIFS(G62:G74,$O$62:$O$74,Lister!$D$30,$A$62:$A$74,Lister!$M$10)-SUMIFS(G62:G74,$O$62:$O$74,Lister!$D$30,$A$62:$A$74,Lister!$M$7))*$C$6/100,
IF($G$6=Lister!$D$8,(W112+W114)*$C$6/100,
IF($G$6=Lister!$D$9,W111*$C$6/100,0)))))))</f>
        <v>0</v>
      </c>
      <c r="X113" s="324">
        <f>IF($C$12=2,X110*$C$6/100,
IF($G$6=Lister!$D$4,X110*$C$6/100,
IF($G$6=Lister!$D$5,X112*$C$6/100,
IF($G$6=Lister!$D$6,(X112-SUMIFS(H62:H74,$O$62:$O$74,Lister!$D$30,$A$62:$A$74,Lister!$M$10))*$C$6/100,
IF($G$6=Lister!$D$7,(X112-SUMIFS(H62:H74,$O$62:$O$74,Lister!$D$30,$A$62:$A$74,Lister!$M$10)-SUMIFS(H62:H74,$O$62:$O$74,Lister!$D$30,$A$62:$A$74,Lister!$M$7))*$C$6/100,
IF($G$6=Lister!$D$8,(X112+X114)*$C$6/100,
IF($G$6=Lister!$D$9,X111*$C$6/100,0)))))))</f>
        <v>0</v>
      </c>
      <c r="Y113" s="205">
        <f>IF($C$12=2,Y110*$C$6/100,
IF($G$6=Lister!$D$4,Y110*$C$6/100,
IF($G$6=Lister!$D$5,Y112*$C$6/100,
IF($G$6=Lister!$D$6,(Y112-SUMIFS(I62:I74,$O$62:$O$74,Lister!$D$30,$A$62:$A$74,Lister!$M$10))*$C$6/100,
IF($G$6=Lister!$D$7,(Y112-SUMIFS(I62:I74,$O$62:$O$74,Lister!$D$30,$A$62:$A$74,Lister!$M$10)-SUMIFS(I62:I74,$O$62:$O$74,Lister!$D$30,$A$62:$A$74,Lister!$M$7))*$C$6/100,
IF($G$6=Lister!$D$8,(Y112+Y114)*$C$6/100,
IF($G$6=Lister!$D$9,Y111*$C$6/100,0)))))))</f>
        <v>0</v>
      </c>
      <c r="Z113" s="204">
        <f>IF($C$12=2,Z110*$C$6/100,
IF($G$6=Lister!$D$4,Z110*$C$6/100,
IF($G$6=Lister!$D$5,Z112*$C$6/100,
IF($G$6=Lister!$D$6,(Z112-SUMIFS(J62:J74,$O$62:$O$74,Lister!$D$30,$A$62:$A$74,Lister!$M$10))*$C$6/100,
IF($G$6=Lister!$D$7,(Z112-SUMIFS(J62:J74,$O$62:$O$74,Lister!$D$30,$A$62:$A$74,Lister!$M$10)-SUMIFS(J62:J74,$O$62:$O$74,Lister!$D$30,$A$62:$A$74,Lister!$M$7))*$C$6/100,
IF($G$6=Lister!$D$8,(Z112+Z114)*$C$6/100,
IF($G$6=Lister!$D$9,Z111*$C$6/100,0)))))))</f>
        <v>0</v>
      </c>
      <c r="AA113" s="204">
        <f>IF($C$12=2,AA110*$C$6/100,
IF($G$6=Lister!$D$4,AA110*$C$6/100,
IF($G$6=Lister!$D$5,AA112*$C$6/100,
IF($G$6=Lister!$D$6,(AA112-SUMIFS(K62:K74,$O$62:$O$74,Lister!$D$30,$A$62:$A$74,Lister!$M$10))*$C$6/100,
IF($G$6=Lister!$D$7,(AA112-SUMIFS(K62:K74,$O$62:$O$74,Lister!$D$30,$A$62:$A$74,Lister!$M$10)-SUMIFS(K62:K74,$O$62:$O$74,Lister!$D$30,$A$62:$A$74,Lister!$M$7))*$C$6/100,
IF($G$6=Lister!$D$8,(AA112+AA114)*$C$6/100,
IF($G$6=Lister!$D$9,AA111*$C$6/100,0)))))))</f>
        <v>0</v>
      </c>
      <c r="AB113" s="204">
        <f>IF($C$12=2,AB110*$C$6/100,
IF($G$6=Lister!$D$4,AB110*$C$6/100,
IF($G$6=Lister!$D$5,AB112*$C$6/100,
IF($G$6=Lister!$D$6,(AB112-SUMIFS(L62:L74,$O$62:$O$74,Lister!$D$30,$A$62:$A$74,Lister!$M$10))*$C$6/100,
IF($G$6=Lister!$D$7,(AB112-SUMIFS(L62:L74,$O$62:$O$74,Lister!$D$30,$A$62:$A$74,Lister!$M$10)-SUMIFS(L62:L74,$O$62:$O$74,Lister!$D$30,$A$62:$A$74,Lister!$M$7))*$C$6/100,
IF($G$6=Lister!$D$8,(AB112+AB114)*$C$6/100,
IF($G$6=Lister!$D$9,AB111*$C$6/100,0)))))))</f>
        <v>0</v>
      </c>
      <c r="AC113" s="138">
        <f t="shared" si="111"/>
        <v>0</v>
      </c>
      <c r="AD113" s="71"/>
      <c r="AE113" s="71"/>
      <c r="AF113" s="71"/>
      <c r="AG113" s="71"/>
      <c r="AH113" s="71"/>
      <c r="AI113" s="71"/>
      <c r="AJ113" s="71"/>
      <c r="AK113" s="71"/>
      <c r="AL113" s="71"/>
      <c r="AM113" s="71"/>
      <c r="AN113" s="71"/>
      <c r="AO113" s="71"/>
      <c r="AP113" s="71"/>
      <c r="AQ113" s="71"/>
      <c r="AR113" s="71"/>
      <c r="AS113" s="71"/>
      <c r="AT113" s="71"/>
      <c r="AU113" s="71"/>
      <c r="AV113" s="71"/>
      <c r="AW113" s="71"/>
      <c r="AX113" s="71"/>
      <c r="AY113" s="71"/>
      <c r="AZ113" s="71"/>
      <c r="BA113" s="71"/>
      <c r="BB113" s="71"/>
      <c r="BC113" s="71"/>
      <c r="BD113" s="71"/>
      <c r="BE113" s="71"/>
      <c r="BF113" s="71"/>
      <c r="BG113" s="71"/>
      <c r="BH113" s="71"/>
      <c r="BI113" s="71"/>
      <c r="BJ113" s="71"/>
    </row>
    <row r="114" spans="14:62" s="9" customFormat="1" ht="14.25" customHeight="1">
      <c r="N114" s="71"/>
      <c r="O114" s="87"/>
      <c r="P114" s="87"/>
      <c r="Q114" s="151" t="s">
        <v>103</v>
      </c>
      <c r="R114" s="312">
        <f t="shared" si="110"/>
        <v>0</v>
      </c>
      <c r="S114" s="153">
        <f>+IF($C$8=Lister!$O$5,(SUMIF($O$20:$O$29,Lister!$D$30,C20:C29))*Takstblad!C$84,0)</f>
        <v>0</v>
      </c>
      <c r="T114" s="153">
        <f>+IF($C$8=Lister!$O$5,(SUMIF($O$20:$O$29,Lister!$D$30,D20:D29))*Takstblad!D$84,0)</f>
        <v>0</v>
      </c>
      <c r="U114" s="153">
        <f>+IF($C$8=Lister!$O$5,(SUMIF($O$20:$O$29,Lister!$D$30,E20:E29))*Takstblad!E$84,0)</f>
        <v>0</v>
      </c>
      <c r="V114" s="153">
        <f>+IF($C$8=Lister!$O$5,(SUMIF($O$20:$O$29,Lister!$D$30,F20:F29))*Takstblad!F$84,0)</f>
        <v>0</v>
      </c>
      <c r="W114" s="153">
        <f>+IF($C$8=Lister!$O$5,(SUMIF($O$20:$O$29,Lister!$D$30,G20:G29))*Takstblad!G$84,0)</f>
        <v>0</v>
      </c>
      <c r="X114" s="300">
        <f>+IF($C$8=Lister!$O$5,(SUMIF($O$20:$O$29,Lister!$D$30,H20:H29))*Takstblad!H$84,0)</f>
        <v>0</v>
      </c>
      <c r="Y114" s="297">
        <f>+IF($C$8=Lister!$O$5,(SUMIF($O$20:$O$29,Lister!$D$30,I20:I29))*Takstblad!I$84,0)</f>
        <v>0</v>
      </c>
      <c r="Z114" s="21">
        <f>+IF($C$8=Lister!$O$5,(SUMIF($O$20:$O$29,Lister!$D$30,J20:J29))*Takstblad!J$84,0)</f>
        <v>0</v>
      </c>
      <c r="AA114" s="21">
        <f>+IF($C$8=Lister!$O$5,(SUMIF($O$20:$O$29,Lister!$D$30,K20:K29))*Takstblad!K$84,0)</f>
        <v>0</v>
      </c>
      <c r="AB114" s="21">
        <f>+IF($C$8=Lister!$O$5,(SUMIF($O$20:$O$29,Lister!$D$30,L20:L29))*Takstblad!L$84,0)</f>
        <v>0</v>
      </c>
      <c r="AC114" s="138">
        <f t="shared" si="111"/>
        <v>0</v>
      </c>
      <c r="AD114" s="71"/>
      <c r="AE114" s="71"/>
      <c r="AF114" s="71"/>
      <c r="AG114" s="71"/>
      <c r="AH114" s="71"/>
      <c r="AI114" s="71"/>
      <c r="AJ114" s="71"/>
      <c r="AK114" s="71"/>
      <c r="AL114" s="71"/>
      <c r="AM114" s="71"/>
      <c r="AN114" s="71"/>
      <c r="AO114" s="71"/>
      <c r="AP114" s="71"/>
      <c r="AQ114" s="71"/>
      <c r="AR114" s="71"/>
      <c r="AS114" s="71"/>
      <c r="AT114" s="71"/>
      <c r="AU114" s="71"/>
      <c r="AV114" s="71"/>
      <c r="AW114" s="71"/>
      <c r="AX114" s="71"/>
      <c r="AY114" s="71"/>
      <c r="AZ114" s="71"/>
      <c r="BA114" s="71"/>
      <c r="BB114" s="71"/>
      <c r="BC114" s="71"/>
      <c r="BD114" s="71"/>
      <c r="BE114" s="71"/>
      <c r="BF114" s="71"/>
      <c r="BG114" s="71"/>
      <c r="BH114" s="71"/>
      <c r="BI114" s="71"/>
      <c r="BJ114" s="71"/>
    </row>
    <row r="115" spans="14:62" ht="14.25" customHeight="1">
      <c r="N115" s="82"/>
      <c r="O115" s="93"/>
      <c r="P115" s="93"/>
      <c r="Q115" s="151" t="s">
        <v>108</v>
      </c>
      <c r="R115" s="312">
        <f t="shared" si="110"/>
        <v>0</v>
      </c>
      <c r="S115" s="153">
        <f>+IF($C$8="Project-Supplement",((
SUMIFS(C20:C39,$O$20:$O$39,Lister!$D$30,$A$20:$A$39,Lister!$A$21)
+SUMIFS(C20:C39,$O$20:$O$39,Lister!$D$30,$A$20:$A$39,Lister!$A$31)
+SUMIFS(C20:C39,$O$20:$O$39,Lister!$D$30,$A$20:$A$39,Lister!$A$32)
+SUMIFS(C20:C39,$O$20:$O$39,Lister!$D$30,$A$20:$A$39,Lister!$A$22)
+SUMIFS(C20:C39,$O$20:$O$39,Lister!$D$30,$A$20:$A$39,Lister!$A$23)
+SUMIFS(C20:C39,$O$20:$O$39,Lister!$D$30,$A$20:$A$39,Lister!$A$20)
+SUMIFS(C20:C39,$O$20:$O$39,Lister!$D$30,$A$20:$A$39,Lister!$A$33)
+SUMIFS(C20:C39,$O$20:$O$39,Lister!$D$30,$A$20:$A$39,Lister!$A$34))
/12)*Takstblad!C$85,0)</f>
        <v>0</v>
      </c>
      <c r="T115" s="155">
        <f>+IF($C$8="Project-Supplement",((
SUMIFS(D20:D39,$O$20:$O$39,Lister!$D$30,$A$20:$A$39,Lister!$A$21)
+SUMIFS(D20:D39,$O$20:$O$39,Lister!$D$30,$A$20:$A$39,Lister!$A$31)
+SUMIFS(D20:D39,$O$20:$O$39,Lister!$D$30,$A$20:$A$39,Lister!$A$32)
+SUMIFS(D20:D39,$O$20:$O$39,Lister!$D$30,$A$20:$A$39,Lister!$A$22)
+SUMIFS(D20:D39,$O$20:$O$39,Lister!$D$30,$A$20:$A$39,Lister!$A$23)
+SUMIFS(D20:D39,$O$20:$O$39,Lister!$D$30,$A$20:$A$39,Lister!$A$20)
+SUMIFS(D20:D39,$O$20:$O$39,Lister!$D$30,$A$20:$A$39,Lister!$A$33)
+SUMIFS(D20:D39,$O$20:$O$39,Lister!$D$30,$A$20:$A$39,Lister!$A$34))
/12)*Takstblad!D$85,0)</f>
        <v>0</v>
      </c>
      <c r="U115" s="155">
        <f>+IF($C$8="Project-Supplement",((
SUMIFS(E20:E39,$O$20:$O$39,Lister!$D$30,$A$20:$A$39,Lister!$A$21)
+SUMIFS(E20:E39,$O$20:$O$39,Lister!$D$30,$A$20:$A$39,Lister!$A$31)
+SUMIFS(E20:E39,$O$20:$O$39,Lister!$D$30,$A$20:$A$39,Lister!$A$32)
+SUMIFS(E20:E39,$O$20:$O$39,Lister!$D$30,$A$20:$A$39,Lister!$A$22)
+SUMIFS(E20:E39,$O$20:$O$39,Lister!$D$30,$A$20:$A$39,Lister!$A$23)
+SUMIFS(E20:E39,$O$20:$O$39,Lister!$D$30,$A$20:$A$39,Lister!$A$20)
+SUMIFS(E20:E39,$O$20:$O$39,Lister!$D$30,$A$20:$A$39,Lister!$A$33)
+SUMIFS(E20:E39,$O$20:$O$39,Lister!$D$30,$A$20:$A$39,Lister!$A$34))
/12)*Takstblad!E$85,0)</f>
        <v>0</v>
      </c>
      <c r="V115" s="155">
        <f>+IF($C$8="Project-Supplement",((
SUMIFS(F20:F39,$O$20:$O$39,Lister!$D$30,$A$20:$A$39,Lister!$A$21)
+SUMIFS(F20:F39,$O$20:$O$39,Lister!$D$30,$A$20:$A$39,Lister!$A$31)
+SUMIFS(F20:F39,$O$20:$O$39,Lister!$D$30,$A$20:$A$39,Lister!$A$32)
+SUMIFS(F20:F39,$O$20:$O$39,Lister!$D$30,$A$20:$A$39,Lister!$A$22)
+SUMIFS(F20:F39,$O$20:$O$39,Lister!$D$30,$A$20:$A$39,Lister!$A$23)
+SUMIFS(F20:F39,$O$20:$O$39,Lister!$D$30,$A$20:$A$39,Lister!$A$20)
+SUMIFS(F20:F39,$O$20:$O$39,Lister!$D$30,$A$20:$A$39,Lister!$A$33)
+SUMIFS(F20:F39,$O$20:$O$39,Lister!$D$30,$A$20:$A$39,Lister!$A$34))
/12)*Takstblad!F$85,0)</f>
        <v>0</v>
      </c>
      <c r="W115" s="155">
        <f>+IF($C$8="Project-Supplement",((
SUMIFS(G20:G39,$O$20:$O$39,Lister!$D$30,$A$20:$A$39,Lister!$A$21)
+SUMIFS(G20:G39,$O$20:$O$39,Lister!$D$30,$A$20:$A$39,Lister!$A$31)
+SUMIFS(G20:G39,$O$20:$O$39,Lister!$D$30,$A$20:$A$39,Lister!$A$32)
+SUMIFS(G20:G39,$O$20:$O$39,Lister!$D$30,$A$20:$A$39,Lister!$A$22)
+SUMIFS(G20:G39,$O$20:$O$39,Lister!$D$30,$A$20:$A$39,Lister!$A$23)
+SUMIFS(G20:G39,$O$20:$O$39,Lister!$D$30,$A$20:$A$39,Lister!$A$20)
+SUMIFS(G20:G39,$O$20:$O$39,Lister!$D$30,$A$20:$A$39,Lister!$A$33)
+SUMIFS(G20:G39,$O$20:$O$39,Lister!$D$30,$A$20:$A$39,Lister!$A$34))
/12)*Takstblad!G$85,0)</f>
        <v>0</v>
      </c>
      <c r="X115" s="308">
        <f>+IF($C$8="Project-Supplement",((
SUMIFS(H20:H39,$O$20:$O$39,Lister!$D$30,$A$20:$A$39,Lister!$A$21)
+SUMIFS(H20:H39,$O$20:$O$39,Lister!$D$30,$A$20:$A$39,Lister!$A$31)
+SUMIFS(H20:H39,$O$20:$O$39,Lister!$D$30,$A$20:$A$39,Lister!$A$32)
+SUMIFS(H20:H39,$O$20:$O$39,Lister!$D$30,$A$20:$A$39,Lister!$A$22)
+SUMIFS(H20:H39,$O$20:$O$39,Lister!$D$30,$A$20:$A$39,Lister!$A$23)
+SUMIFS(H20:H39,$O$20:$O$39,Lister!$D$30,$A$20:$A$39,Lister!$A$20)
+SUMIFS(H20:H39,$O$20:$O$39,Lister!$D$30,$A$20:$A$39,Lister!$A$33)
+SUMIFS(H20:H39,$O$20:$O$39,Lister!$D$30,$A$20:$A$39,Lister!$A$34))
/12)*Takstblad!H$85,0)</f>
        <v>0</v>
      </c>
      <c r="Y115" s="114">
        <f>+IF($C$8="Project-Supplement",((
SUMIFS(I20:I39,$O$20:$O$39,Lister!$D$30,$A$20:$A$39,Lister!$A$21)
+SUMIFS(I20:I39,$O$20:$O$39,Lister!$D$30,$A$20:$A$39,Lister!$A$31)
+SUMIFS(I20:I39,$O$20:$O$39,Lister!$D$30,$A$20:$A$39,Lister!$A$32)
+SUMIFS(I20:I39,$O$20:$O$39,Lister!$D$30,$A$20:$A$39,Lister!$A$22)
+SUMIFS(I20:I39,$O$20:$O$39,Lister!$D$30,$A$20:$A$39,Lister!$A$23)
+SUMIFS(I20:I39,$O$20:$O$39,Lister!$D$30,$A$20:$A$39,Lister!$A$20)
+SUMIFS(I20:I39,$O$20:$O$39,Lister!$D$30,$A$20:$A$39,Lister!$A$33)
+SUMIFS(I20:I39,$O$20:$O$39,Lister!$D$30,$A$20:$A$39,Lister!$A$34))
/12)*Takstblad!I$85,0)</f>
        <v>0</v>
      </c>
      <c r="Z115" s="115">
        <f>+IF($C$8="Project-Supplement",((
SUMIFS(J20:J39,$O$20:$O$39,Lister!$D$30,$A$20:$A$39,Lister!$A$21)
+SUMIFS(J20:J39,$O$20:$O$39,Lister!$D$30,$A$20:$A$39,Lister!$A$31)
+SUMIFS(J20:J39,$O$20:$O$39,Lister!$D$30,$A$20:$A$39,Lister!$A$32)
+SUMIFS(J20:J39,$O$20:$O$39,Lister!$D$30,$A$20:$A$39,Lister!$A$22)
+SUMIFS(J20:J39,$O$20:$O$39,Lister!$D$30,$A$20:$A$39,Lister!$A$23)
+SUMIFS(J20:J39,$O$20:$O$39,Lister!$D$30,$A$20:$A$39,Lister!$A$20)
+SUMIFS(J20:J39,$O$20:$O$39,Lister!$D$30,$A$20:$A$39,Lister!$A$33)
+SUMIFS(J20:J39,$O$20:$O$39,Lister!$D$30,$A$20:$A$39,Lister!$A$34))
/12)*Takstblad!J$85,0)</f>
        <v>0</v>
      </c>
      <c r="AA115" s="115">
        <f>+IF($C$8="Project-Supplement",((
SUMIFS(K20:K39,$O$20:$O$39,Lister!$D$30,$A$20:$A$39,Lister!$A$21)
+SUMIFS(K20:K39,$O$20:$O$39,Lister!$D$30,$A$20:$A$39,Lister!$A$31)
+SUMIFS(K20:K39,$O$20:$O$39,Lister!$D$30,$A$20:$A$39,Lister!$A$32)
+SUMIFS(K20:K39,$O$20:$O$39,Lister!$D$30,$A$20:$A$39,Lister!$A$22)
+SUMIFS(K20:K39,$O$20:$O$39,Lister!$D$30,$A$20:$A$39,Lister!$A$23)
+SUMIFS(K20:K39,$O$20:$O$39,Lister!$D$30,$A$20:$A$39,Lister!$A$20)
+SUMIFS(K20:K39,$O$20:$O$39,Lister!$D$30,$A$20:$A$39,Lister!$A$33)
+SUMIFS(K20:K39,$O$20:$O$39,Lister!$D$30,$A$20:$A$39,Lister!$A$34))
/12)*Takstblad!K$85,0)</f>
        <v>0</v>
      </c>
      <c r="AB115" s="115">
        <f>+IF($C$8="Project-Supplement",((
SUMIFS(L20:L39,$O$20:$O$39,Lister!$D$30,$A$20:$A$39,Lister!$A$21)
+SUMIFS(L20:L39,$O$20:$O$39,Lister!$D$30,$A$20:$A$39,Lister!$A$31)
+SUMIFS(L20:L39,$O$20:$O$39,Lister!$D$30,$A$20:$A$39,Lister!$A$32)
+SUMIFS(L20:L39,$O$20:$O$39,Lister!$D$30,$A$20:$A$39,Lister!$A$22)
+SUMIFS(L20:L39,$O$20:$O$39,Lister!$D$30,$A$20:$A$39,Lister!$A$23)
+SUMIFS(L20:L39,$O$20:$O$39,Lister!$D$30,$A$20:$A$39,Lister!$A$20)
+SUMIFS(L20:L39,$O$20:$O$39,Lister!$D$30,$A$20:$A$39,Lister!$A$33)
+SUMIFS(L20:L39,$O$20:$O$39,Lister!$D$30,$A$20:$A$39,Lister!$A$34))
/12)*Takstblad!L$85,0)</f>
        <v>0</v>
      </c>
      <c r="AC115" s="138">
        <f t="shared" si="111"/>
        <v>0</v>
      </c>
      <c r="AD115" s="71"/>
      <c r="AE115" s="71"/>
      <c r="AF115" s="71"/>
      <c r="AG115" s="71"/>
      <c r="AH115" s="71"/>
      <c r="AI115" s="82"/>
      <c r="AJ115" s="82"/>
      <c r="AK115" s="82"/>
      <c r="AL115" s="82"/>
      <c r="AM115" s="82"/>
      <c r="AN115" s="82"/>
      <c r="AO115" s="82"/>
      <c r="AP115" s="82"/>
      <c r="AQ115" s="82"/>
      <c r="AR115" s="82"/>
      <c r="AS115" s="82"/>
      <c r="AT115" s="82"/>
      <c r="AU115" s="82"/>
      <c r="AV115" s="82"/>
      <c r="AW115" s="82"/>
      <c r="AX115" s="82"/>
      <c r="AY115" s="82"/>
      <c r="AZ115" s="82"/>
      <c r="BA115" s="82"/>
      <c r="BB115" s="82"/>
      <c r="BC115" s="82"/>
      <c r="BD115" s="82"/>
      <c r="BE115" s="82"/>
      <c r="BF115" s="82"/>
      <c r="BG115" s="82"/>
      <c r="BH115" s="82"/>
      <c r="BI115" s="82"/>
      <c r="BJ115" s="82"/>
    </row>
    <row r="116" spans="14:62" ht="14.25" customHeight="1">
      <c r="N116" s="71"/>
      <c r="O116" s="87"/>
      <c r="P116" s="87"/>
      <c r="Q116" s="150" t="s">
        <v>531</v>
      </c>
      <c r="R116" s="312">
        <f t="shared" si="110"/>
        <v>0</v>
      </c>
      <c r="S116" s="153" t="str">
        <f>IF($C$12=2,(SUM(S112:S115)*$C$13)/100,"0")</f>
        <v>0</v>
      </c>
      <c r="T116" s="155" t="str">
        <f>IF($C$12=2,(SUM(T112:T115)*$C$13)/100,"0")</f>
        <v>0</v>
      </c>
      <c r="U116" s="155" t="str">
        <f t="shared" ref="U116:Z116" si="114">IF($C$12=2,(SUM(U112:U115)*$C$13)/100,"0")</f>
        <v>0</v>
      </c>
      <c r="V116" s="155" t="str">
        <f t="shared" si="114"/>
        <v>0</v>
      </c>
      <c r="W116" s="155" t="str">
        <f t="shared" si="114"/>
        <v>0</v>
      </c>
      <c r="X116" s="308" t="str">
        <f t="shared" si="114"/>
        <v>0</v>
      </c>
      <c r="Y116" s="156" t="str">
        <f t="shared" si="114"/>
        <v>0</v>
      </c>
      <c r="Z116" s="155" t="str">
        <f t="shared" si="114"/>
        <v>0</v>
      </c>
      <c r="AA116" s="155" t="str">
        <f>IF($C$12=2,(SUM(AA112:AA115)*$C$13)/100,"0")</f>
        <v>0</v>
      </c>
      <c r="AB116" s="155" t="str">
        <f>IF($C$12=2,(SUM(AB112:AB115)*$C$13)/100,"0")</f>
        <v>0</v>
      </c>
      <c r="AC116" s="138">
        <f t="shared" si="111"/>
        <v>0</v>
      </c>
      <c r="AD116" s="71"/>
      <c r="AE116" s="71"/>
      <c r="AF116" s="71"/>
      <c r="AG116" s="71"/>
      <c r="AH116" s="71"/>
      <c r="AI116" s="71"/>
      <c r="AJ116" s="71"/>
      <c r="AK116" s="71"/>
      <c r="AL116" s="71"/>
      <c r="AM116" s="71"/>
      <c r="AN116" s="71"/>
      <c r="AO116" s="71"/>
      <c r="AP116" s="71"/>
      <c r="AQ116" s="71"/>
      <c r="AR116" s="71"/>
      <c r="AS116" s="71"/>
      <c r="AT116" s="71"/>
      <c r="AU116" s="71"/>
      <c r="AV116" s="71"/>
      <c r="AW116" s="71"/>
      <c r="AX116" s="71"/>
      <c r="AY116" s="71"/>
      <c r="AZ116" s="71"/>
      <c r="BA116" s="71"/>
      <c r="BB116" s="71"/>
      <c r="BC116" s="71"/>
      <c r="BD116" s="71"/>
      <c r="BE116" s="71"/>
      <c r="BF116" s="71"/>
      <c r="BG116" s="71"/>
      <c r="BH116" s="71"/>
      <c r="BI116" s="71"/>
      <c r="BJ116" s="71"/>
    </row>
    <row r="117" spans="14:62" ht="14.25" customHeight="1">
      <c r="N117" s="70"/>
      <c r="O117" s="85"/>
      <c r="P117" s="85"/>
      <c r="Q117" s="149" t="s">
        <v>101</v>
      </c>
      <c r="R117" s="312">
        <f t="shared" si="110"/>
        <v>0</v>
      </c>
      <c r="S117" s="313">
        <f>+SUM(S112:S116)</f>
        <v>0</v>
      </c>
      <c r="T117" s="313">
        <f t="shared" ref="T117:Z117" si="115">+SUM(T112:T116)</f>
        <v>0</v>
      </c>
      <c r="U117" s="313">
        <f t="shared" si="115"/>
        <v>0</v>
      </c>
      <c r="V117" s="313">
        <f t="shared" si="115"/>
        <v>0</v>
      </c>
      <c r="W117" s="313">
        <f t="shared" si="115"/>
        <v>0</v>
      </c>
      <c r="X117" s="314">
        <f t="shared" si="115"/>
        <v>0</v>
      </c>
      <c r="Y117" s="296">
        <f t="shared" si="115"/>
        <v>0</v>
      </c>
      <c r="Z117" s="137">
        <f t="shared" si="115"/>
        <v>0</v>
      </c>
      <c r="AA117" s="137">
        <f>+SUM(AA112:AA116)</f>
        <v>0</v>
      </c>
      <c r="AB117" s="137">
        <f>+SUM(AB112:AB116)</f>
        <v>0</v>
      </c>
      <c r="AC117" s="138">
        <f t="shared" si="111"/>
        <v>0</v>
      </c>
      <c r="AD117" s="71"/>
      <c r="AE117" s="82"/>
      <c r="AF117" s="82"/>
      <c r="AG117" s="82"/>
      <c r="AH117" s="82"/>
      <c r="AI117" s="70"/>
      <c r="AJ117" s="70"/>
      <c r="AK117" s="70"/>
      <c r="AL117" s="70"/>
      <c r="AM117" s="70"/>
      <c r="AN117" s="70"/>
      <c r="AO117" s="70"/>
      <c r="AP117" s="70"/>
      <c r="AQ117" s="70"/>
      <c r="AR117" s="70"/>
      <c r="AS117" s="70"/>
      <c r="AT117" s="70"/>
      <c r="AU117" s="70"/>
      <c r="AV117" s="70"/>
      <c r="AW117" s="70"/>
      <c r="AX117" s="70"/>
      <c r="AY117" s="70"/>
      <c r="AZ117" s="70"/>
      <c r="BA117" s="70"/>
      <c r="BB117" s="70"/>
      <c r="BC117" s="70"/>
      <c r="BD117" s="70"/>
      <c r="BE117" s="70"/>
      <c r="BF117" s="70"/>
      <c r="BG117" s="70"/>
      <c r="BH117" s="70"/>
      <c r="BI117" s="70"/>
      <c r="BJ117" s="70"/>
    </row>
    <row r="118" spans="14:62" s="9" customFormat="1" ht="14.25" customHeight="1">
      <c r="N118" s="70"/>
      <c r="O118" s="85"/>
      <c r="P118" s="85"/>
      <c r="Q118" s="227"/>
      <c r="R118" s="133"/>
      <c r="S118" s="76"/>
      <c r="T118" s="76"/>
      <c r="U118" s="76"/>
      <c r="V118" s="76"/>
      <c r="W118" s="76"/>
      <c r="X118" s="133"/>
      <c r="Y118" s="76"/>
      <c r="Z118" s="76"/>
      <c r="AA118" s="76"/>
      <c r="AB118" s="76"/>
      <c r="AC118" s="133"/>
      <c r="AD118" s="82"/>
      <c r="AE118" s="71"/>
      <c r="AF118" s="71"/>
      <c r="AG118" s="71"/>
      <c r="AH118" s="71"/>
      <c r="AI118" s="70"/>
      <c r="AJ118" s="70"/>
      <c r="AK118" s="70"/>
      <c r="AL118" s="70"/>
      <c r="AM118" s="70"/>
      <c r="AN118" s="70"/>
      <c r="AO118" s="70"/>
      <c r="AP118" s="70"/>
      <c r="AQ118" s="70"/>
      <c r="AR118" s="70"/>
      <c r="AS118" s="70"/>
      <c r="AT118" s="70"/>
      <c r="AU118" s="70"/>
      <c r="AV118" s="70"/>
      <c r="AW118" s="70"/>
      <c r="AX118" s="70"/>
      <c r="AY118" s="70"/>
      <c r="AZ118" s="70"/>
      <c r="BA118" s="70"/>
      <c r="BB118" s="70"/>
      <c r="BC118" s="70"/>
      <c r="BD118" s="70"/>
      <c r="BE118" s="70"/>
      <c r="BF118" s="70"/>
      <c r="BG118" s="70"/>
      <c r="BH118" s="70"/>
      <c r="BI118" s="70"/>
      <c r="BJ118" s="70"/>
    </row>
    <row r="119" spans="14:62" ht="14.25" customHeight="1">
      <c r="N119" s="70"/>
      <c r="O119" s="85"/>
      <c r="P119" s="85"/>
      <c r="Q119" s="130" t="s">
        <v>606</v>
      </c>
      <c r="R119" s="131"/>
      <c r="S119" s="230"/>
      <c r="T119" s="136"/>
      <c r="U119" s="136"/>
      <c r="V119" s="136"/>
      <c r="W119" s="136"/>
      <c r="X119" s="305"/>
      <c r="Y119" s="136"/>
      <c r="Z119" s="136"/>
      <c r="AA119" s="136"/>
      <c r="AB119" s="136"/>
      <c r="AC119" s="131"/>
      <c r="AD119" s="71"/>
      <c r="AE119" s="70"/>
      <c r="AF119" s="70"/>
      <c r="AG119" s="70"/>
      <c r="AH119" s="70"/>
      <c r="AI119" s="70"/>
      <c r="AJ119" s="70"/>
      <c r="AK119" s="70"/>
      <c r="AL119" s="70"/>
      <c r="AM119" s="70"/>
      <c r="AN119" s="70"/>
      <c r="AO119" s="70"/>
      <c r="AP119" s="70"/>
      <c r="AQ119" s="70"/>
      <c r="AR119" s="70"/>
      <c r="AS119" s="70"/>
      <c r="AT119" s="70"/>
      <c r="AU119" s="70"/>
      <c r="AV119" s="70"/>
      <c r="AW119" s="70"/>
      <c r="AX119" s="70"/>
      <c r="AY119" s="70"/>
      <c r="AZ119" s="70"/>
      <c r="BA119" s="70"/>
      <c r="BB119" s="70"/>
      <c r="BC119" s="70"/>
      <c r="BD119" s="70"/>
      <c r="BE119" s="70"/>
      <c r="BF119" s="70"/>
      <c r="BG119" s="70"/>
      <c r="BH119" s="70"/>
      <c r="BI119" s="70"/>
      <c r="BJ119" s="70"/>
    </row>
    <row r="120" spans="14:62" ht="14.25" customHeight="1">
      <c r="N120" s="9"/>
      <c r="O120" s="9"/>
      <c r="P120" s="9"/>
      <c r="Q120" s="134"/>
      <c r="R120" s="133"/>
      <c r="S120" s="16"/>
      <c r="T120" s="76"/>
      <c r="U120" s="76"/>
      <c r="V120" s="76"/>
      <c r="W120" s="76"/>
      <c r="X120" s="133"/>
      <c r="Y120" s="76"/>
      <c r="Z120" s="76"/>
      <c r="AA120" s="76"/>
      <c r="AB120" s="76"/>
      <c r="AC120" s="133"/>
      <c r="AD120" s="70"/>
      <c r="AE120" s="70"/>
      <c r="AF120" s="70"/>
      <c r="AG120" s="70"/>
      <c r="AH120" s="70"/>
      <c r="AI120" s="71"/>
      <c r="AJ120" s="71"/>
      <c r="AK120" s="71"/>
      <c r="AL120" s="71"/>
      <c r="AM120" s="71"/>
      <c r="AN120" s="71"/>
      <c r="AO120" s="71"/>
      <c r="AP120" s="71"/>
      <c r="AQ120" s="71"/>
      <c r="AR120" s="71"/>
      <c r="AS120" s="71"/>
      <c r="AT120" s="71"/>
      <c r="AU120" s="71"/>
      <c r="AV120" s="71"/>
      <c r="AW120" s="71"/>
      <c r="AX120" s="71"/>
      <c r="AY120" s="71"/>
      <c r="AZ120" s="71"/>
      <c r="BA120" s="71"/>
      <c r="BB120" s="71"/>
      <c r="BC120" s="71"/>
      <c r="BD120" s="71"/>
      <c r="BE120" s="71"/>
      <c r="BF120" s="71"/>
      <c r="BG120" s="71"/>
      <c r="BH120" s="71"/>
      <c r="BI120" s="71"/>
      <c r="BJ120" s="71"/>
    </row>
    <row r="121" spans="14:62" ht="14.25" customHeight="1">
      <c r="Q121" s="152" t="s">
        <v>22</v>
      </c>
      <c r="R121" s="124" t="s">
        <v>34</v>
      </c>
      <c r="S121" s="45">
        <f>+S107</f>
        <v>2026</v>
      </c>
      <c r="T121" s="8">
        <f t="shared" ref="T121:Z121" si="116">+T107</f>
        <v>2027</v>
      </c>
      <c r="U121" s="8">
        <f t="shared" si="116"/>
        <v>2028</v>
      </c>
      <c r="V121" s="8">
        <f t="shared" si="116"/>
        <v>2029</v>
      </c>
      <c r="W121" s="8">
        <f t="shared" si="116"/>
        <v>2030</v>
      </c>
      <c r="X121" s="124">
        <f t="shared" si="116"/>
        <v>2031</v>
      </c>
      <c r="Y121" s="8">
        <f t="shared" si="116"/>
        <v>2032</v>
      </c>
      <c r="Z121" s="8">
        <f t="shared" si="116"/>
        <v>2033</v>
      </c>
      <c r="AA121" s="8">
        <f>+AA107</f>
        <v>2034</v>
      </c>
      <c r="AB121" s="8">
        <f>+AB107</f>
        <v>2035</v>
      </c>
      <c r="AC121" s="124" t="s">
        <v>34</v>
      </c>
      <c r="AD121" s="70"/>
      <c r="AE121" s="70"/>
      <c r="AF121" s="70"/>
      <c r="AG121" s="70"/>
      <c r="AH121" s="70"/>
    </row>
    <row r="122" spans="14:62" ht="14.25" customHeight="1">
      <c r="Q122" s="147" t="s">
        <v>74</v>
      </c>
      <c r="R122" s="315">
        <f t="shared" ref="R122:R131" si="117">+AC122</f>
        <v>0</v>
      </c>
      <c r="S122" s="316">
        <f>+SUMIF($O$20:$O$39,Lister!$D$31,S$20:S$39)</f>
        <v>0</v>
      </c>
      <c r="T122" s="316">
        <f>+SUMIF($O$20:$O$39,Lister!$D$31,T$20:T$39)</f>
        <v>0</v>
      </c>
      <c r="U122" s="316">
        <f>+SUMIF($O$20:$O$39,Lister!$D$31,U$20:U$39)</f>
        <v>0</v>
      </c>
      <c r="V122" s="316">
        <f>+SUMIF($O$20:$O$39,Lister!$D$31,V$20:V$39)</f>
        <v>0</v>
      </c>
      <c r="W122" s="316">
        <f>+SUMIF($O$20:$O$39,Lister!$D$31,W$20:W$39)</f>
        <v>0</v>
      </c>
      <c r="X122" s="316">
        <f>+SUMIF($O$20:$O$39,Lister!$D$31,X$20:X$39)</f>
        <v>0</v>
      </c>
      <c r="Y122" s="316">
        <f>+SUMIF($O$20:$O$39,Lister!$D$31,Y$20:Y$39)</f>
        <v>0</v>
      </c>
      <c r="Z122" s="316">
        <f>+SUMIF($O$20:$O$39,Lister!$D$31,Z$20:Z$39)</f>
        <v>0</v>
      </c>
      <c r="AA122" s="316">
        <f>+SUMIF($O$20:$O$39,Lister!$D$31,AA$20:AA$39)</f>
        <v>0</v>
      </c>
      <c r="AB122" s="316">
        <f>+SUMIF($O$20:$O$39,Lister!$D$31,AB$20:AB$39)</f>
        <v>0</v>
      </c>
      <c r="AC122" s="140">
        <f t="shared" ref="AC122:AC131" si="118">SUM(S122:Z122)</f>
        <v>0</v>
      </c>
      <c r="AD122" s="70"/>
      <c r="AE122" s="71"/>
      <c r="AF122" s="71"/>
      <c r="AG122" s="71"/>
      <c r="AH122" s="71"/>
    </row>
    <row r="123" spans="14:62" ht="14.25" customHeight="1">
      <c r="Q123" s="148" t="s">
        <v>75</v>
      </c>
      <c r="R123" s="309">
        <f t="shared" si="117"/>
        <v>0</v>
      </c>
      <c r="S123" s="310">
        <f>+SUMIF($O$43:$O$55,Lister!$D$31,S$43:S$55)</f>
        <v>0</v>
      </c>
      <c r="T123" s="319">
        <f>+SUMIF($O$43:$O$55,Lister!$D$31,T$43:T$55)</f>
        <v>0</v>
      </c>
      <c r="U123" s="310">
        <f>+SUMIF($O$43:$O$55,Lister!$D$31,U$43:U$55)</f>
        <v>0</v>
      </c>
      <c r="V123" s="319">
        <f>+SUMIF($O$43:$O$55,Lister!$D$31,V$43:V$55)</f>
        <v>0</v>
      </c>
      <c r="W123" s="310">
        <f>+SUMIF($O$43:$O$55,Lister!$D$31,W$43:W$55)</f>
        <v>0</v>
      </c>
      <c r="X123" s="320">
        <f>+SUMIF($O$43:$O$55,Lister!$D$31,X$43:X$55)</f>
        <v>0</v>
      </c>
      <c r="Y123" s="295">
        <f>+SUMIF($O$43:$O$55,Lister!$D$31,Y$43:Y$55)</f>
        <v>0</v>
      </c>
      <c r="Z123" s="113">
        <f>+SUMIF($O$43:$O$55,Lister!$D$31,Z$43:Z$55)</f>
        <v>0</v>
      </c>
      <c r="AA123" s="113">
        <f>+SUMIF($O$43:$O$55,Lister!$D$31,AA$43:AA$55)</f>
        <v>0</v>
      </c>
      <c r="AB123" s="113">
        <f>+SUMIF($O$43:$O$55,Lister!$D$31,AB$43:AB$55)</f>
        <v>0</v>
      </c>
      <c r="AC123" s="141">
        <f t="shared" si="118"/>
        <v>0</v>
      </c>
      <c r="AD123" s="71"/>
    </row>
    <row r="124" spans="14:62" ht="14.25" customHeight="1">
      <c r="Q124" s="149" t="s">
        <v>76</v>
      </c>
      <c r="R124" s="312">
        <f t="shared" si="117"/>
        <v>0</v>
      </c>
      <c r="S124" s="313">
        <f>+S123+S122</f>
        <v>0</v>
      </c>
      <c r="T124" s="313">
        <f t="shared" ref="T124:Z124" si="119">+T123+T122</f>
        <v>0</v>
      </c>
      <c r="U124" s="313">
        <f t="shared" si="119"/>
        <v>0</v>
      </c>
      <c r="V124" s="313">
        <f t="shared" si="119"/>
        <v>0</v>
      </c>
      <c r="W124" s="313">
        <f t="shared" si="119"/>
        <v>0</v>
      </c>
      <c r="X124" s="314">
        <f t="shared" si="119"/>
        <v>0</v>
      </c>
      <c r="Y124" s="296">
        <f t="shared" si="119"/>
        <v>0</v>
      </c>
      <c r="Z124" s="137">
        <f t="shared" si="119"/>
        <v>0</v>
      </c>
      <c r="AA124" s="137">
        <f>+AA123+AA122</f>
        <v>0</v>
      </c>
      <c r="AB124" s="137">
        <f>+AB123+AB122</f>
        <v>0</v>
      </c>
      <c r="AC124" s="138">
        <f t="shared" si="118"/>
        <v>0</v>
      </c>
    </row>
    <row r="125" spans="14:62" ht="14.25" customHeight="1">
      <c r="Q125" s="149" t="s">
        <v>77</v>
      </c>
      <c r="R125" s="312">
        <f t="shared" si="117"/>
        <v>0</v>
      </c>
      <c r="S125" s="313">
        <f>+SUMIF($O$62:$O$74,Lister!$D$31,C$62:C$74)</f>
        <v>0</v>
      </c>
      <c r="T125" s="327">
        <f>+SUMIF($O$62:$O$74,Lister!$D$31,D$62:D$74)</f>
        <v>0</v>
      </c>
      <c r="U125" s="327">
        <f>+SUMIF($O$62:$O$74,Lister!$D$31,E$62:E$74)</f>
        <v>0</v>
      </c>
      <c r="V125" s="327">
        <f>+SUMIF($O$62:$O$74,Lister!$D$31,F$62:F$74)</f>
        <v>0</v>
      </c>
      <c r="W125" s="327">
        <f>+SUMIF($O$62:$O$74,Lister!$D$31,G$62:G$74)</f>
        <v>0</v>
      </c>
      <c r="X125" s="328">
        <f>+SUMIF($O$62:$O$74,Lister!$D$31,H$62:H$74)</f>
        <v>0</v>
      </c>
      <c r="Y125" s="209">
        <f>+SUMIF($O$62:$O$74,Lister!$D$31,I$62:I$74)</f>
        <v>0</v>
      </c>
      <c r="Z125" s="208">
        <f>+SUMIF($O$62:$O$74,Lister!$D$31,J$62:J$74)</f>
        <v>0</v>
      </c>
      <c r="AA125" s="208">
        <f>+SUMIF($O$62:$O$74,Lister!$D$31,K$62:K$74)</f>
        <v>0</v>
      </c>
      <c r="AB125" s="208">
        <f>+SUMIF($O$62:$O$74,Lister!$D$31,L$62:L$74)</f>
        <v>0</v>
      </c>
      <c r="AC125" s="138">
        <f t="shared" si="118"/>
        <v>0</v>
      </c>
    </row>
    <row r="126" spans="14:62" ht="14.25" customHeight="1">
      <c r="Q126" s="149" t="s">
        <v>78</v>
      </c>
      <c r="R126" s="312">
        <f t="shared" si="117"/>
        <v>0</v>
      </c>
      <c r="S126" s="313">
        <f>+S125+S124</f>
        <v>0</v>
      </c>
      <c r="T126" s="329">
        <f t="shared" ref="T126:Z126" si="120">+T125+T124</f>
        <v>0</v>
      </c>
      <c r="U126" s="329">
        <f t="shared" si="120"/>
        <v>0</v>
      </c>
      <c r="V126" s="329">
        <f t="shared" si="120"/>
        <v>0</v>
      </c>
      <c r="W126" s="329">
        <f t="shared" si="120"/>
        <v>0</v>
      </c>
      <c r="X126" s="330">
        <f t="shared" si="120"/>
        <v>0</v>
      </c>
      <c r="Y126" s="146">
        <f t="shared" si="120"/>
        <v>0</v>
      </c>
      <c r="Z126" s="145">
        <f t="shared" si="120"/>
        <v>0</v>
      </c>
      <c r="AA126" s="145">
        <f>+AA125+AA124</f>
        <v>0</v>
      </c>
      <c r="AB126" s="145">
        <f>+AB125+AB124</f>
        <v>0</v>
      </c>
      <c r="AC126" s="138">
        <f t="shared" si="118"/>
        <v>0</v>
      </c>
    </row>
    <row r="127" spans="14:62" ht="14.25" customHeight="1">
      <c r="Q127" s="150" t="s">
        <v>0</v>
      </c>
      <c r="R127" s="312">
        <f t="shared" si="117"/>
        <v>0</v>
      </c>
      <c r="S127" s="153">
        <f>IF($C$12=2,S124*$C$6/100,
IF($G$6=Lister!$D$4,S124*$C$6/100,
IF($G$6=Lister!$D$5,S126*$C$6/100,
IF($G$6=Lister!$D$6,(S126-SUMIFS(C62:C74,$O$62:$O$74,Lister!$D$31,$A$62:$A$74,Lister!$M$10))*$C$6/100,
IF($G$6=Lister!$D$7,(S126-SUMIFS(C62:C74,$O$62:$O$74,Lister!$D$31,$A$62:$A$74,Lister!$M$10)-SUMIFS(C62:C74,$O$62:$O$74,Lister!$D$31,$A$62:$A$74,Lister!$M$7))*$C$6/100,
IF($G$6=Lister!$D$8,(S126+S128)*$C$6/100,
IF($G$6=Lister!$D$9,S125*$C$6/100,0)))))))</f>
        <v>0</v>
      </c>
      <c r="T127" s="323">
        <f>IF($C$12=2,T124*$C$6/100,
IF($G$6=Lister!$D$4,T124*$C$6/100,
IF($G$6=Lister!$D$5,T126*$C$6/100,
IF($G$6=Lister!$D$6,(T126-SUMIFS(D62:D74,$O$62:$O$74,Lister!$D$31,$A$62:$A$74,Lister!$M$10))*$C$6/100,
IF($G$6=Lister!$D$7,(T126-SUMIFS(D62:D74,$O$62:$O$74,Lister!$D$31,$A$62:$A$74,Lister!$M$10)-SUMIFS(D62:D74,$O$62:$O$74,Lister!$D$31,$A$62:$A$74,Lister!$M$7))*$C$6/100,
IF($G$6=Lister!$D$8,(T126+T128)*$C$6/100,
IF($G$6=Lister!$D$9,T125*$C$6/100,0)))))))</f>
        <v>0</v>
      </c>
      <c r="U127" s="323">
        <f>IF($C$12=2,U124*$C$6/100,
IF($G$6=Lister!$D$4,U124*$C$6/100,
IF($G$6=Lister!$D$5,U126*$C$6/100,
IF($G$6=Lister!$D$6,(U126-SUMIFS(E62:E74,$O$62:$O$74,Lister!$D$31,$A$62:$A$74,Lister!$M$10))*$C$6/100,
IF($G$6=Lister!$D$7,(U126-SUMIFS(E62:E74,$O$62:$O$74,Lister!$D$31,$A$62:$A$74,Lister!$M$10)-SUMIFS(E62:E74,$O$62:$O$74,Lister!$D$31,$A$62:$A$74,Lister!$M$7))*$C$6/100,
IF($G$6=Lister!$D$8,(U126+U128)*$C$6/100,
IF($G$6=Lister!$D$9,U125*$C$6/100,0)))))))</f>
        <v>0</v>
      </c>
      <c r="V127" s="323">
        <f>IF($C$12=2,V124*$C$6/100,
IF($G$6=Lister!$D$4,V124*$C$6/100,
IF($G$6=Lister!$D$5,V126*$C$6/100,
IF($G$6=Lister!$D$6,(V126-SUMIFS(F62:F74,$O$62:$O$74,Lister!$D$31,$A$62:$A$74,Lister!$M$10))*$C$6/100,
IF($G$6=Lister!$D$7,(V126-SUMIFS(F62:F74,$O$62:$O$74,Lister!$D$31,$A$62:$A$74,Lister!$M$10)-SUMIFS(F62:F74,$O$62:$O$74,Lister!$D$31,$A$62:$A$74,Lister!$M$7))*$C$6/100,
IF($G$6=Lister!$D$8,(V126+V128)*$C$6/100,
IF($G$6=Lister!$D$9,V125*$C$6/100,0)))))))</f>
        <v>0</v>
      </c>
      <c r="W127" s="323">
        <f>IF($C$12=2,W124*$C$6/100,
IF($G$6=Lister!$D$4,W124*$C$6/100,
IF($G$6=Lister!$D$5,W126*$C$6/100,
IF($G$6=Lister!$D$6,(W126-SUMIFS(G62:G74,$O$62:$O$74,Lister!$D$31,$A$62:$A$74,Lister!$M$10))*$C$6/100,
IF($G$6=Lister!$D$7,(W126-SUMIFS(G62:G74,$O$62:$O$74,Lister!$D$31,$A$62:$A$74,Lister!$M$10)-SUMIFS(G62:G74,$O$62:$O$74,Lister!$D$31,$A$62:$A$74,Lister!$M$7))*$C$6/100,
IF($G$6=Lister!$D$8,(W126+W128)*$C$6/100,
IF($G$6=Lister!$D$9,W125*$C$6/100,0)))))))</f>
        <v>0</v>
      </c>
      <c r="X127" s="324">
        <f>IF($C$12=2,X124*$C$6/100,
IF($G$6=Lister!$D$4,X124*$C$6/100,
IF($G$6=Lister!$D$5,X126*$C$6/100,
IF($G$6=Lister!$D$6,(X126-SUMIFS(H62:H74,$O$62:$O$74,Lister!$D$31,$A$62:$A$74,Lister!$M$10))*$C$6/100,
IF($G$6=Lister!$D$7,(X126-SUMIFS(H62:H74,$O$62:$O$74,Lister!$D$31,$A$62:$A$74,Lister!$M$10)-SUMIFS(H62:H74,$O$62:$O$74,Lister!$D$31,$A$62:$A$74,Lister!$M$7))*$C$6/100,
IF($G$6=Lister!$D$8,(X126+X128)*$C$6/100,
IF($G$6=Lister!$D$9,X125*$C$6/100,0)))))))</f>
        <v>0</v>
      </c>
      <c r="Y127" s="205">
        <f>IF($C$12=2,Y124*$C$6/100,
IF($G$6=Lister!$D$4,Y124*$C$6/100,
IF($G$6=Lister!$D$5,Y126*$C$6/100,
IF($G$6=Lister!$D$6,(Y126-SUMIFS(I62:I74,$O$62:$O$74,Lister!$D$31,$A$62:$A$74,Lister!$M$10))*$C$6/100,
IF($G$6=Lister!$D$7,(Y126-SUMIFS(I62:I74,$O$62:$O$74,Lister!$D$31,$A$62:$A$74,Lister!$M$10)-SUMIFS(I62:I74,$O$62:$O$74,Lister!$D$31,$A$62:$A$74,Lister!$M$7))*$C$6/100,
IF($G$6=Lister!$D$8,(Y126+Y128)*$C$6/100,
IF($G$6=Lister!$D$9,Y125*$C$6/100,0)))))))</f>
        <v>0</v>
      </c>
      <c r="Z127" s="204">
        <f>IF($C$12=2,Z124*$C$6/100,
IF($G$6=Lister!$D$4,Z124*$C$6/100,
IF($G$6=Lister!$D$5,Z126*$C$6/100,
IF($G$6=Lister!$D$6,(Z126-SUMIFS(J62:J74,$O$62:$O$74,Lister!$D$31,$A$62:$A$74,Lister!$M$10))*$C$6/100,
IF($G$6=Lister!$D$7,(Z126-SUMIFS(J62:J74,$O$62:$O$74,Lister!$D$31,$A$62:$A$74,Lister!$M$10)-SUMIFS(J62:J74,$O$62:$O$74,Lister!$D$31,$A$62:$A$74,Lister!$M$7))*$C$6/100,
IF($G$6=Lister!$D$8,(Z126+Z128)*$C$6/100,
IF($G$6=Lister!$D$9,Z125*$C$6/100,0)))))))</f>
        <v>0</v>
      </c>
      <c r="AA127" s="204">
        <f>IF($C$12=2,AA124*$C$6/100,
IF($G$6=Lister!$D$4,AA124*$C$6/100,
IF($G$6=Lister!$D$5,AA126*$C$6/100,
IF($G$6=Lister!$D$6,(AA126-SUMIFS(K62:K74,$O$62:$O$74,Lister!$D$31,$A$62:$A$74,Lister!$M$10))*$C$6/100,
IF($G$6=Lister!$D$7,(AA126-SUMIFS(K62:K74,$O$62:$O$74,Lister!$D$31,$A$62:$A$74,Lister!$M$10)-SUMIFS(K62:K74,$O$62:$O$74,Lister!$D$31,$A$62:$A$74,Lister!$M$7))*$C$6/100,
IF($G$6=Lister!$D$8,(AA126+AA128)*$C$6/100,
IF($G$6=Lister!$D$9,AA125*$C$6/100,0)))))))</f>
        <v>0</v>
      </c>
      <c r="AB127" s="204">
        <f>IF($C$12=2,AB124*$C$6/100,
IF($G$6=Lister!$D$4,AB124*$C$6/100,
IF($G$6=Lister!$D$5,AB126*$C$6/100,
IF($G$6=Lister!$D$6,(AB126-SUMIFS(L62:L74,$O$62:$O$74,Lister!$D$31,$A$62:$A$74,Lister!$M$10))*$C$6/100,
IF($G$6=Lister!$D$7,(AB126-SUMIFS(L62:L74,$O$62:$O$74,Lister!$D$31,$A$62:$A$74,Lister!$M$10)-SUMIFS(L62:L74,$O$62:$O$74,Lister!$D$31,$A$62:$A$74,Lister!$M$7))*$C$6/100,
IF($G$6=Lister!$D$8,(AB126+AB128)*$C$6/100,
IF($G$6=Lister!$D$9,AB125*$C$6/100,0)))))))</f>
        <v>0</v>
      </c>
      <c r="AC127" s="138">
        <f t="shared" si="118"/>
        <v>0</v>
      </c>
    </row>
    <row r="128" spans="14:62" ht="14.25" customHeight="1">
      <c r="Q128" s="151" t="s">
        <v>103</v>
      </c>
      <c r="R128" s="312">
        <f t="shared" si="117"/>
        <v>0</v>
      </c>
      <c r="S128" s="153">
        <f>+IF($C$8=Lister!$O$5,(SUMIF($O$20:$O$29,Lister!$D$31,C20:C29))*Takstblad!C$84,0)</f>
        <v>0</v>
      </c>
      <c r="T128" s="153">
        <f>+IF($C$8=Lister!$O$5,(SUMIF($O$20:$O$29,Lister!$D$31,D20:D29))*Takstblad!D$84,0)</f>
        <v>0</v>
      </c>
      <c r="U128" s="153">
        <f>+IF($C$8=Lister!$O$5,(SUMIF($O$20:$O$29,Lister!$D$31,E20:E29))*Takstblad!E$84,0)</f>
        <v>0</v>
      </c>
      <c r="V128" s="153">
        <f>+IF($C$8=Lister!$O$5,(SUMIF($O$20:$O$29,Lister!$D$31,F20:F29))*Takstblad!F$84,0)</f>
        <v>0</v>
      </c>
      <c r="W128" s="153">
        <f>+IF($C$8=Lister!$O$5,(SUMIF($O$20:$O$29,Lister!$D$31,G20:G29))*Takstblad!G$84,0)</f>
        <v>0</v>
      </c>
      <c r="X128" s="300">
        <f>+IF($C$8=Lister!$O$5,(SUMIF($O$20:$O$29,Lister!$D$31,H20:H29))*Takstblad!H$84,0)</f>
        <v>0</v>
      </c>
      <c r="Y128" s="297">
        <f>+IF($C$8=Lister!$O$5,(SUMIF($O$20:$O$29,Lister!$D$31,I20:I29))*Takstblad!I$84,0)</f>
        <v>0</v>
      </c>
      <c r="Z128" s="21">
        <f>+IF($C$8=Lister!$O$5,(SUMIF($O$20:$O$29,Lister!$D$31,J20:J29))*Takstblad!J$84,0)</f>
        <v>0</v>
      </c>
      <c r="AA128" s="21">
        <f>+IF($C$8=Lister!$O$5,(SUMIF($O$20:$O$29,Lister!$D$31,K20:K29))*Takstblad!K$84,0)</f>
        <v>0</v>
      </c>
      <c r="AB128" s="21">
        <f>+IF($C$8=Lister!$O$5,(SUMIF($O$20:$O$29,Lister!$D$31,L20:L29))*Takstblad!L$84,0)</f>
        <v>0</v>
      </c>
      <c r="AC128" s="138">
        <f t="shared" si="118"/>
        <v>0</v>
      </c>
    </row>
    <row r="129" spans="17:29" ht="14.25" customHeight="1">
      <c r="Q129" s="151" t="s">
        <v>108</v>
      </c>
      <c r="R129" s="312">
        <f t="shared" si="117"/>
        <v>0</v>
      </c>
      <c r="S129" s="153"/>
      <c r="T129" s="155"/>
      <c r="U129" s="155"/>
      <c r="V129" s="155"/>
      <c r="W129" s="155"/>
      <c r="X129" s="308"/>
      <c r="Y129" s="114"/>
      <c r="Z129" s="115"/>
      <c r="AA129" s="115"/>
      <c r="AB129" s="115"/>
      <c r="AC129" s="138">
        <f t="shared" si="118"/>
        <v>0</v>
      </c>
    </row>
    <row r="130" spans="17:29" ht="14.25" customHeight="1">
      <c r="Q130" s="150" t="s">
        <v>531</v>
      </c>
      <c r="R130" s="312">
        <f t="shared" si="117"/>
        <v>0</v>
      </c>
      <c r="S130" s="153" t="str">
        <f>IF($C$12=2,(SUM(S126:S129)*$C$13)/100,"0")</f>
        <v>0</v>
      </c>
      <c r="T130" s="155" t="str">
        <f t="shared" ref="T130:Z130" si="121">IF($C$12=2,(SUM(T126:T129)*$C$13)/100,"0")</f>
        <v>0</v>
      </c>
      <c r="U130" s="155" t="str">
        <f t="shared" si="121"/>
        <v>0</v>
      </c>
      <c r="V130" s="155" t="str">
        <f t="shared" si="121"/>
        <v>0</v>
      </c>
      <c r="W130" s="155" t="str">
        <f t="shared" si="121"/>
        <v>0</v>
      </c>
      <c r="X130" s="308" t="str">
        <f t="shared" si="121"/>
        <v>0</v>
      </c>
      <c r="Y130" s="156" t="str">
        <f t="shared" si="121"/>
        <v>0</v>
      </c>
      <c r="Z130" s="155" t="str">
        <f t="shared" si="121"/>
        <v>0</v>
      </c>
      <c r="AA130" s="155" t="str">
        <f>IF($C$12=2,(SUM(AA126:AA129)*$C$13)/100,"0")</f>
        <v>0</v>
      </c>
      <c r="AB130" s="155" t="str">
        <f>IF($C$12=2,(SUM(AB126:AB129)*$C$13)/100,"0")</f>
        <v>0</v>
      </c>
      <c r="AC130" s="138">
        <f t="shared" si="118"/>
        <v>0</v>
      </c>
    </row>
    <row r="131" spans="17:29" ht="14.25" customHeight="1" thickBot="1">
      <c r="Q131" s="303" t="s">
        <v>101</v>
      </c>
      <c r="R131" s="331">
        <f t="shared" si="117"/>
        <v>0</v>
      </c>
      <c r="S131" s="332">
        <f>+SUM(S126:S130)</f>
        <v>0</v>
      </c>
      <c r="T131" s="332">
        <f t="shared" ref="T131:Z131" si="122">+SUM(T126:T130)</f>
        <v>0</v>
      </c>
      <c r="U131" s="332">
        <f t="shared" si="122"/>
        <v>0</v>
      </c>
      <c r="V131" s="332">
        <f t="shared" si="122"/>
        <v>0</v>
      </c>
      <c r="W131" s="332">
        <f t="shared" si="122"/>
        <v>0</v>
      </c>
      <c r="X131" s="333">
        <f t="shared" si="122"/>
        <v>0</v>
      </c>
      <c r="Y131" s="299">
        <f t="shared" si="122"/>
        <v>0</v>
      </c>
      <c r="Z131" s="143">
        <f t="shared" si="122"/>
        <v>0</v>
      </c>
      <c r="AA131" s="143">
        <f>+SUM(AA126:AA130)</f>
        <v>0</v>
      </c>
      <c r="AB131" s="143">
        <f>+SUM(AB126:AB130)</f>
        <v>0</v>
      </c>
      <c r="AC131" s="144">
        <f t="shared" si="118"/>
        <v>0</v>
      </c>
    </row>
    <row r="132" spans="17:29" ht="12.5">
      <c r="Q132" s="7"/>
      <c r="R132" s="7"/>
    </row>
    <row r="133" spans="17:29" ht="12.5">
      <c r="Q133" s="7"/>
      <c r="R133" s="7"/>
    </row>
    <row r="134" spans="17:29" ht="12.5">
      <c r="Q134" s="7"/>
      <c r="R134" s="7"/>
    </row>
    <row r="142" spans="17:29" ht="12.5">
      <c r="Q142" s="7"/>
      <c r="R142" s="7"/>
    </row>
    <row r="143" spans="17:29" ht="12.5">
      <c r="Q143" s="7"/>
      <c r="R143" s="7"/>
    </row>
    <row r="144" spans="17:29" ht="12.5">
      <c r="Q144" s="7"/>
      <c r="R144" s="7"/>
    </row>
    <row r="145" s="7" customFormat="1" ht="12.5"/>
    <row r="146" s="7" customFormat="1" ht="12.5"/>
    <row r="147" s="7" customFormat="1" ht="12.5"/>
    <row r="148" s="7" customFormat="1" ht="12.5"/>
    <row r="149" s="7" customFormat="1" ht="12.5"/>
    <row r="150" s="7" customFormat="1" ht="12.5"/>
    <row r="151" s="7" customFormat="1" ht="12.5"/>
    <row r="152" s="7" customFormat="1" ht="12.5"/>
  </sheetData>
  <sheetProtection algorithmName="SHA-512" hashValue="iMQ9w4UWZP3AzOtZLX/FF/cFNigfojsIuV0kNEoXsp+MFAOGDrXtC4FhgLfcFXOckF7JpVRth1haBAakpFqtvw==" saltValue="TX/TTc4AUrqlj+oTqUWGuw==" spinCount="100000" sheet="1" objects="1" scenarios="1"/>
  <mergeCells count="35">
    <mergeCell ref="BF19:BG19"/>
    <mergeCell ref="BF42:BG42"/>
    <mergeCell ref="BI19:BJ19"/>
    <mergeCell ref="BI42:BJ42"/>
    <mergeCell ref="AE42:AF42"/>
    <mergeCell ref="AH42:AI42"/>
    <mergeCell ref="AK42:AL42"/>
    <mergeCell ref="AN42:AO42"/>
    <mergeCell ref="AQ42:AR42"/>
    <mergeCell ref="AZ19:BA19"/>
    <mergeCell ref="AZ42:BA42"/>
    <mergeCell ref="BC19:BD19"/>
    <mergeCell ref="BC42:BD42"/>
    <mergeCell ref="AT19:AU19"/>
    <mergeCell ref="AW19:AX19"/>
    <mergeCell ref="AT42:AU42"/>
    <mergeCell ref="AW42:AX42"/>
    <mergeCell ref="AN19:AO19"/>
    <mergeCell ref="AQ19:AR19"/>
    <mergeCell ref="D6:F6"/>
    <mergeCell ref="G6:H6"/>
    <mergeCell ref="G7:H7"/>
    <mergeCell ref="D12:G12"/>
    <mergeCell ref="D13:G13"/>
    <mergeCell ref="J12:O12"/>
    <mergeCell ref="C8:D8"/>
    <mergeCell ref="C3:H3"/>
    <mergeCell ref="C4:H4"/>
    <mergeCell ref="C5:H5"/>
    <mergeCell ref="AH19:AI19"/>
    <mergeCell ref="AK19:AL19"/>
    <mergeCell ref="AE19:AF19"/>
    <mergeCell ref="D7:F7"/>
    <mergeCell ref="D14:H14"/>
    <mergeCell ref="D16:H16"/>
  </mergeCells>
  <dataValidations count="3">
    <dataValidation errorStyle="information" allowBlank="1" showInputMessage="1" showErrorMessage="1" sqref="O73:O74" xr:uid="{68B02D0A-13DC-4CCB-A602-5FF92E91A86F}"/>
    <dataValidation type="decimal" errorStyle="warning" operator="lessThan" allowBlank="1" showInputMessage="1" showErrorMessage="1" errorTitle="Too high value" error="Value can't exceed 12 months" sqref="C43:L52 C20:L39" xr:uid="{84BFE20E-6C6A-4F4E-AC7D-693293B4DCC2}">
      <formula1>13</formula1>
    </dataValidation>
    <dataValidation type="date" allowBlank="1" showInputMessage="1" showErrorMessage="1" sqref="C9 D9:D10 I9:I10 H9" xr:uid="{8DFAF08A-F513-41F0-A051-5150D65334FD}">
      <formula1>45292</formula1>
      <formula2>73050</formula2>
    </dataValidation>
  </dataValidations>
  <pageMargins left="0.15748031496062992" right="0.23622047244094491" top="0.27559055118110237" bottom="0.19685039370078741" header="0" footer="0"/>
  <pageSetup paperSize="9" scale="55" orientation="landscape" r:id="rId1"/>
  <headerFooter alignWithMargins="0">
    <oddFooter>&amp;R&amp;A
&amp;D</oddFooter>
  </headerFooter>
  <rowBreaks count="1" manualBreakCount="1">
    <brk id="118" max="16383" man="1"/>
  </rowBreaks>
  <legacyDrawing r:id="rId2"/>
  <extLst>
    <ext xmlns:x14="http://schemas.microsoft.com/office/spreadsheetml/2009/9/main" uri="{CCE6A557-97BC-4b89-ADB6-D9C93CAAB3DF}">
      <x14:dataValidations xmlns:xm="http://schemas.microsoft.com/office/excel/2006/main" count="18">
        <x14:dataValidation type="list" allowBlank="1" showInputMessage="1" showErrorMessage="1" xr:uid="{00000000-0002-0000-0E00-000000000000}">
          <x14:formula1>
            <xm:f>Takstblad!$A$5:$A$30</xm:f>
          </x14:formula1>
          <xm:sqref>A20:A39</xm:sqref>
        </x14:dataValidation>
        <x14:dataValidation type="list" allowBlank="1" showInputMessage="1" xr:uid="{338CF1F9-CDDA-47CF-AF34-82886EF6D782}">
          <x14:formula1>
            <xm:f>Lister!$O$4:$O$5</xm:f>
          </x14:formula1>
          <xm:sqref>C11</xm:sqref>
        </x14:dataValidation>
        <x14:dataValidation type="list" allowBlank="1" showInputMessage="1" showErrorMessage="1" errorTitle="Information" error="Please choose a department from the list" xr:uid="{00000000-0002-0000-0E00-000004000000}">
          <x14:formula1>
            <xm:f>Lister!$A$4:$A$16</xm:f>
          </x14:formula1>
          <xm:sqref>C2</xm:sqref>
        </x14:dataValidation>
        <x14:dataValidation type="list" errorStyle="warning" allowBlank="1" showInputMessage="1" showErrorMessage="1" errorTitle="Are you sure" error="You are about to select a number of hours that is not on the list. Are you sure you want to continue?" xr:uid="{CA779630-9D36-42AA-A2BD-85E8063F7FF4}">
          <x14:formula1>
            <xm:f>Lister!$F$4:$F$10</xm:f>
          </x14:formula1>
          <xm:sqref>C7</xm:sqref>
        </x14:dataValidation>
        <x14:dataValidation type="list" allowBlank="1" showInputMessage="1" showErrorMessage="1" errorTitle="STOP" error="You can only select a value from the list." xr:uid="{A523A369-396D-4A42-86DE-036A59C72543}">
          <x14:formula1>
            <xm:f>Lister!$I$4:$I$7</xm:f>
          </x14:formula1>
          <xm:sqref>G7:H7</xm:sqref>
        </x14:dataValidation>
        <x14:dataValidation type="list" allowBlank="1" showInputMessage="1" showErrorMessage="1" errorTitle="STOP" error="You can only select a value from the list." xr:uid="{FC7F51B3-EC56-4E17-83AA-B7BFDBAA6AF7}">
          <x14:formula1>
            <xm:f>Lister!$A$40:$A$41</xm:f>
          </x14:formula1>
          <xm:sqref>H8 H15</xm:sqref>
        </x14:dataValidation>
        <x14:dataValidation type="list" allowBlank="1" showInputMessage="1" showErrorMessage="1" errorTitle="STOP" error="You can only select a value from the list." xr:uid="{168699E9-2FAF-4434-B500-683D44C20D1C}">
          <x14:formula1>
            <xm:f>Lister!$A$49:$A$50</xm:f>
          </x14:formula1>
          <xm:sqref>C12</xm:sqref>
        </x14:dataValidation>
        <x14:dataValidation type="list" errorStyle="warning" allowBlank="1" showErrorMessage="1" errorTitle="Are you sure" error="You are about to select an EBIT that is different from 10. Are you sure you want to continue?" xr:uid="{D95D3D1E-EF55-4390-9B3D-96B0B1CC33C6}">
          <x14:formula1>
            <xm:f>Lister!$A$53:$A$53</xm:f>
          </x14:formula1>
          <xm:sqref>C13</xm:sqref>
        </x14:dataValidation>
        <x14:dataValidation type="list" errorStyle="warning" allowBlank="1" showInputMessage="1" xr:uid="{23EEE1CB-8FEE-463A-B856-D051864FA588}">
          <x14:formula1>
            <xm:f>Lister!$I$20:$I$45</xm:f>
          </x14:formula1>
          <xm:sqref>C5:H5</xm:sqref>
        </x14:dataValidation>
        <x14:dataValidation type="list" errorStyle="warning" allowBlank="1" showInputMessage="1" showErrorMessage="1" errorTitle="Are you sure" error="You are about to select an EBIT that is different from 10. Are you sure you want to continue?" xr:uid="{F84C6E87-B1FE-4BA4-8EA1-03C02D60430C}">
          <x14:formula1>
            <xm:f>Lister!$A$40:$A$41</xm:f>
          </x14:formula1>
          <xm:sqref>C14:C16</xm:sqref>
        </x14:dataValidation>
        <x14:dataValidation type="list" allowBlank="1" showInputMessage="1" xr:uid="{9DACA0B2-A2F8-46ED-A49C-0A3ECF2CBCE4}">
          <x14:formula1>
            <xm:f>Lister!$O$4:$O$6</xm:f>
          </x14:formula1>
          <xm:sqref>C8:D8</xm:sqref>
        </x14:dataValidation>
        <x14:dataValidation type="list" allowBlank="1" showInputMessage="1" showErrorMessage="1" errorTitle="STOP" error="You can only select a value from the list." xr:uid="{F49ACD66-6494-4450-83D5-86605AF8EB48}">
          <x14:formula1>
            <xm:f>Lister!$D$29:$D$32</xm:f>
          </x14:formula1>
          <xm:sqref>O62:P72 O43:P52 O20:P39</xm:sqref>
        </x14:dataValidation>
        <x14:dataValidation type="list" allowBlank="1" showInputMessage="1" xr:uid="{50C03794-8F94-42F0-B478-604FC8CDD671}">
          <x14:formula1>
            <xm:f>Lister!$A$61:$A$62</xm:f>
          </x14:formula1>
          <xm:sqref>C10</xm:sqref>
        </x14:dataValidation>
        <x14:dataValidation type="list" allowBlank="1" showInputMessage="1" showErrorMessage="1" xr:uid="{2594CBA4-63B1-4197-999D-0A5F3B937673}">
          <x14:formula1>
            <xm:f>Lister!$A$65:$A$66</xm:f>
          </x14:formula1>
          <xm:sqref>H10</xm:sqref>
        </x14:dataValidation>
        <x14:dataValidation type="list" allowBlank="1" showInputMessage="1" showErrorMessage="1" xr:uid="{2A90B825-79A0-451F-A056-B452E1CECDAE}">
          <x14:formula1>
            <xm:f>Takstblad!$A$33:$A$47</xm:f>
          </x14:formula1>
          <xm:sqref>A43:A52</xm:sqref>
        </x14:dataValidation>
        <x14:dataValidation type="list" allowBlank="1" showInputMessage="1" showErrorMessage="1" xr:uid="{9F214A2B-7DDF-487B-9236-9EF739691851}">
          <x14:formula1>
            <xm:f>Lister!$M$4:$M$17</xm:f>
          </x14:formula1>
          <xm:sqref>A62:A72</xm:sqref>
        </x14:dataValidation>
        <x14:dataValidation type="list" errorStyle="warning" allowBlank="1" showInputMessage="1" showErrorMessage="1" errorTitle="Are you sure" error="You are about to select an overhead rate that is not on the list. Are you sure you want to continue?" xr:uid="{5D78F8EA-3028-4F5B-8F15-6CFE4B1641B0}">
          <x14:formula1>
            <xm:f>Lister!$D$37:$D$44</xm:f>
          </x14:formula1>
          <xm:sqref>C6</xm:sqref>
        </x14:dataValidation>
        <x14:dataValidation type="list" allowBlank="1" showInputMessage="1" showErrorMessage="1" errorTitle="STOP" error="You can only select a value from the list." xr:uid="{5505AD4F-9DC8-4528-9F9B-E89CC24C2B70}">
          <x14:formula1>
            <xm:f>Lister!$D$4:$D$9</xm:f>
          </x14:formula1>
          <xm:sqref>G6:H6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BD844-029A-4A0D-A2C6-CEFC1413D32E}">
  <sheetPr codeName="Ark18">
    <tabColor theme="4" tint="0.59999389629810485"/>
    <pageSetUpPr fitToPage="1"/>
  </sheetPr>
  <dimension ref="A1:AO71"/>
  <sheetViews>
    <sheetView zoomScale="80" zoomScaleNormal="80" workbookViewId="0">
      <selection activeCell="D11" sqref="D11"/>
    </sheetView>
  </sheetViews>
  <sheetFormatPr defaultColWidth="9" defaultRowHeight="14"/>
  <cols>
    <col min="1" max="1" width="5.25" customWidth="1"/>
    <col min="2" max="2" width="45.08203125" bestFit="1" customWidth="1"/>
    <col min="3" max="3" width="1.5" customWidth="1"/>
    <col min="4" max="14" width="11.5" customWidth="1"/>
  </cols>
  <sheetData>
    <row r="1" spans="1:41" ht="14.5" thickBot="1"/>
    <row r="2" spans="1:41" ht="14.5" thickBot="1">
      <c r="B2" s="232" t="s">
        <v>672</v>
      </c>
      <c r="C2" s="233"/>
      <c r="D2" s="234">
        <f>IFERROR(N43/N15,0)</f>
        <v>0</v>
      </c>
    </row>
    <row r="3" spans="1:41" ht="14.5" thickBot="1"/>
    <row r="4" spans="1:41" s="5" customFormat="1" ht="20.149999999999999" customHeight="1">
      <c r="A4" s="176"/>
      <c r="B4" s="177" t="s">
        <v>751</v>
      </c>
      <c r="C4" s="121"/>
      <c r="D4" s="121"/>
      <c r="E4" s="121"/>
      <c r="F4" s="121"/>
      <c r="G4" s="121"/>
      <c r="H4" s="121"/>
      <c r="I4" s="121"/>
      <c r="J4" s="121"/>
      <c r="K4" s="121"/>
      <c r="L4" s="121"/>
      <c r="M4" s="121"/>
      <c r="N4" s="163"/>
      <c r="O4" s="178"/>
      <c r="P4" s="168"/>
      <c r="Q4" s="168"/>
      <c r="R4" s="168"/>
      <c r="S4" s="168"/>
      <c r="T4" s="168"/>
      <c r="U4" s="168"/>
      <c r="V4" s="168"/>
      <c r="W4" s="168"/>
      <c r="X4" s="168"/>
      <c r="Y4" s="168"/>
      <c r="Z4" s="168"/>
      <c r="AA4" s="168"/>
      <c r="AB4" s="168"/>
      <c r="AC4" s="168"/>
      <c r="AD4" s="168"/>
      <c r="AE4" s="168"/>
      <c r="AF4" s="168"/>
      <c r="AG4" s="168"/>
      <c r="AH4" s="168"/>
      <c r="AI4" s="168"/>
      <c r="AJ4" s="168"/>
      <c r="AK4" s="168"/>
      <c r="AL4" s="168"/>
      <c r="AM4" s="168"/>
      <c r="AN4" s="179"/>
      <c r="AO4" s="179"/>
    </row>
    <row r="5" spans="1:41">
      <c r="B5" s="152" t="s">
        <v>22</v>
      </c>
      <c r="C5" s="4"/>
      <c r="D5" s="8">
        <f>Takstblad!$C$3</f>
        <v>2026</v>
      </c>
      <c r="E5" s="8">
        <f>+D5+1</f>
        <v>2027</v>
      </c>
      <c r="F5" s="8">
        <f t="shared" ref="F5:M5" si="0">+E5+1</f>
        <v>2028</v>
      </c>
      <c r="G5" s="8">
        <f t="shared" si="0"/>
        <v>2029</v>
      </c>
      <c r="H5" s="8">
        <f t="shared" si="0"/>
        <v>2030</v>
      </c>
      <c r="I5" s="8">
        <f t="shared" si="0"/>
        <v>2031</v>
      </c>
      <c r="J5" s="8">
        <f t="shared" si="0"/>
        <v>2032</v>
      </c>
      <c r="K5" s="8">
        <f t="shared" si="0"/>
        <v>2033</v>
      </c>
      <c r="L5" s="8">
        <f t="shared" si="0"/>
        <v>2034</v>
      </c>
      <c r="M5" s="8">
        <f t="shared" si="0"/>
        <v>2035</v>
      </c>
      <c r="N5" s="124" t="s">
        <v>34</v>
      </c>
    </row>
    <row r="6" spans="1:41">
      <c r="B6" s="180" t="s">
        <v>74</v>
      </c>
      <c r="C6" s="111"/>
      <c r="D6" s="28">
        <f>SUM('B1:B5'!S64)</f>
        <v>0</v>
      </c>
      <c r="E6" s="28">
        <f>SUM('B1:B5'!T64)</f>
        <v>0</v>
      </c>
      <c r="F6" s="28">
        <f>SUM('B1:B5'!U64)</f>
        <v>0</v>
      </c>
      <c r="G6" s="28">
        <f>SUM('B1:B5'!V64)</f>
        <v>0</v>
      </c>
      <c r="H6" s="28">
        <f>SUM('B1:B5'!W64)</f>
        <v>0</v>
      </c>
      <c r="I6" s="28">
        <f>SUM('B1:B5'!X64)</f>
        <v>0</v>
      </c>
      <c r="J6" s="28">
        <f>SUM('B1:B5'!Y64)</f>
        <v>0</v>
      </c>
      <c r="K6" s="28">
        <f>SUM('B1:B5'!Z64)</f>
        <v>0</v>
      </c>
      <c r="L6" s="28">
        <f>SUM('B1:B5'!AA64)</f>
        <v>0</v>
      </c>
      <c r="M6" s="28">
        <f>SUM('B1:B5'!AB64)</f>
        <v>0</v>
      </c>
      <c r="N6" s="164">
        <f>SUM(D6:M6)</f>
        <v>0</v>
      </c>
    </row>
    <row r="7" spans="1:41">
      <c r="B7" s="152" t="s">
        <v>75</v>
      </c>
      <c r="C7" s="112"/>
      <c r="D7" s="113">
        <f>SUM('B1:B5'!S65)</f>
        <v>0</v>
      </c>
      <c r="E7" s="113">
        <f>SUM('B1:B5'!T65)</f>
        <v>0</v>
      </c>
      <c r="F7" s="113">
        <f>SUM('B1:B5'!U65)</f>
        <v>0</v>
      </c>
      <c r="G7" s="113">
        <f>SUM('B1:B5'!V65)</f>
        <v>0</v>
      </c>
      <c r="H7" s="113">
        <f>SUM('B1:B5'!W65)</f>
        <v>0</v>
      </c>
      <c r="I7" s="113">
        <f>SUM('B1:B5'!X65)</f>
        <v>0</v>
      </c>
      <c r="J7" s="113">
        <f>SUM('B1:B5'!Y65)</f>
        <v>0</v>
      </c>
      <c r="K7" s="113">
        <f>SUM('B1:B5'!Z65)</f>
        <v>0</v>
      </c>
      <c r="L7" s="113">
        <f>SUM('B1:B5'!AA65)</f>
        <v>0</v>
      </c>
      <c r="M7" s="113">
        <f>SUM('B1:B5'!AB65)</f>
        <v>0</v>
      </c>
      <c r="N7" s="165">
        <f t="shared" ref="N7:N15" si="1">SUM(D7:M7)</f>
        <v>0</v>
      </c>
    </row>
    <row r="8" spans="1:41">
      <c r="B8" s="181" t="s">
        <v>76</v>
      </c>
      <c r="C8" s="142"/>
      <c r="D8" s="137">
        <f>SUM('B1:B5'!S66)</f>
        <v>0</v>
      </c>
      <c r="E8" s="137">
        <f>SUM('B1:B5'!T66)</f>
        <v>0</v>
      </c>
      <c r="F8" s="137">
        <f>SUM('B1:B5'!U66)</f>
        <v>0</v>
      </c>
      <c r="G8" s="137">
        <f>SUM('B1:B5'!V66)</f>
        <v>0</v>
      </c>
      <c r="H8" s="137">
        <f>SUM('B1:B5'!W66)</f>
        <v>0</v>
      </c>
      <c r="I8" s="137">
        <f>SUM('B1:B5'!X66)</f>
        <v>0</v>
      </c>
      <c r="J8" s="137">
        <f>SUM('B1:B5'!Y66)</f>
        <v>0</v>
      </c>
      <c r="K8" s="137">
        <f>SUM('B1:B5'!Z66)</f>
        <v>0</v>
      </c>
      <c r="L8" s="137">
        <f>SUM('B1:B5'!AA66)</f>
        <v>0</v>
      </c>
      <c r="M8" s="137">
        <f>SUM('B1:B5'!AB66)</f>
        <v>0</v>
      </c>
      <c r="N8" s="166">
        <f t="shared" si="1"/>
        <v>0</v>
      </c>
    </row>
    <row r="9" spans="1:41">
      <c r="B9" s="181" t="s">
        <v>77</v>
      </c>
      <c r="C9" s="142"/>
      <c r="D9" s="137">
        <f>SUM('B1:B5'!S67)</f>
        <v>0</v>
      </c>
      <c r="E9" s="137">
        <f>SUM('B1:B5'!T67)</f>
        <v>0</v>
      </c>
      <c r="F9" s="137">
        <f>SUM('B1:B5'!U67)</f>
        <v>0</v>
      </c>
      <c r="G9" s="137">
        <f>SUM('B1:B5'!V67)</f>
        <v>0</v>
      </c>
      <c r="H9" s="137">
        <f>SUM('B1:B5'!W67)</f>
        <v>0</v>
      </c>
      <c r="I9" s="137">
        <f>SUM('B1:B5'!X67)</f>
        <v>0</v>
      </c>
      <c r="J9" s="137">
        <f>SUM('B1:B5'!Y67)</f>
        <v>0</v>
      </c>
      <c r="K9" s="137">
        <f>SUM('B1:B5'!Z67)</f>
        <v>0</v>
      </c>
      <c r="L9" s="137">
        <f>SUM('B1:B5'!AA67)</f>
        <v>0</v>
      </c>
      <c r="M9" s="137">
        <f>SUM('B1:B5'!AB67)</f>
        <v>0</v>
      </c>
      <c r="N9" s="166">
        <f t="shared" si="1"/>
        <v>0</v>
      </c>
    </row>
    <row r="10" spans="1:41">
      <c r="B10" s="181" t="s">
        <v>78</v>
      </c>
      <c r="C10" s="142"/>
      <c r="D10" s="137">
        <f>SUM('B1:B5'!S68)</f>
        <v>0</v>
      </c>
      <c r="E10" s="137">
        <f>SUM('B1:B5'!T68)</f>
        <v>0</v>
      </c>
      <c r="F10" s="137">
        <f>SUM('B1:B5'!U68)</f>
        <v>0</v>
      </c>
      <c r="G10" s="137">
        <f>SUM('B1:B5'!V68)</f>
        <v>0</v>
      </c>
      <c r="H10" s="137">
        <f>SUM('B1:B5'!W68)</f>
        <v>0</v>
      </c>
      <c r="I10" s="137">
        <f>SUM('B1:B5'!X68)</f>
        <v>0</v>
      </c>
      <c r="J10" s="137">
        <f>SUM('B1:B5'!Y68)</f>
        <v>0</v>
      </c>
      <c r="K10" s="137">
        <f>SUM('B1:B5'!Z68)</f>
        <v>0</v>
      </c>
      <c r="L10" s="137">
        <f>SUM('B1:B5'!AA68)</f>
        <v>0</v>
      </c>
      <c r="M10" s="137">
        <f>SUM('B1:B5'!AB68)</f>
        <v>0</v>
      </c>
      <c r="N10" s="166">
        <f t="shared" si="1"/>
        <v>0</v>
      </c>
    </row>
    <row r="11" spans="1:41">
      <c r="B11" s="182" t="s">
        <v>0</v>
      </c>
      <c r="C11" s="110"/>
      <c r="D11" s="21">
        <f>SUM('B1:B5'!S69)</f>
        <v>0</v>
      </c>
      <c r="E11" s="21">
        <f>SUM('B1:B5'!T69)</f>
        <v>0</v>
      </c>
      <c r="F11" s="21">
        <f>SUM('B1:B5'!U69)</f>
        <v>0</v>
      </c>
      <c r="G11" s="21">
        <f>SUM('B1:B5'!V69)</f>
        <v>0</v>
      </c>
      <c r="H11" s="21">
        <f>SUM('B1:B5'!W69)</f>
        <v>0</v>
      </c>
      <c r="I11" s="21">
        <f>SUM('B1:B5'!X69)</f>
        <v>0</v>
      </c>
      <c r="J11" s="21">
        <f>SUM('B1:B5'!Y69)</f>
        <v>0</v>
      </c>
      <c r="K11" s="21">
        <f>SUM('B1:B5'!Z69)</f>
        <v>0</v>
      </c>
      <c r="L11" s="21">
        <f>SUM('B1:B5'!AA69)</f>
        <v>0</v>
      </c>
      <c r="M11" s="21">
        <f>SUM('B1:B5'!AB69)</f>
        <v>0</v>
      </c>
      <c r="N11" s="166">
        <f t="shared" si="1"/>
        <v>0</v>
      </c>
    </row>
    <row r="12" spans="1:41">
      <c r="B12" s="183" t="s">
        <v>103</v>
      </c>
      <c r="C12" s="110"/>
      <c r="D12" s="21">
        <f>SUM('B1:B5'!S70)</f>
        <v>0</v>
      </c>
      <c r="E12" s="21">
        <f>SUM('B1:B5'!T70)</f>
        <v>0</v>
      </c>
      <c r="F12" s="21">
        <f>SUM('B1:B5'!U70)</f>
        <v>0</v>
      </c>
      <c r="G12" s="21">
        <f>SUM('B1:B5'!V70)</f>
        <v>0</v>
      </c>
      <c r="H12" s="21">
        <f>SUM('B1:B5'!W70)</f>
        <v>0</v>
      </c>
      <c r="I12" s="21">
        <f>SUM('B1:B5'!X70)</f>
        <v>0</v>
      </c>
      <c r="J12" s="21">
        <f>SUM('B1:B5'!Y70)</f>
        <v>0</v>
      </c>
      <c r="K12" s="21">
        <f>SUM('B1:B5'!Z70)</f>
        <v>0</v>
      </c>
      <c r="L12" s="21">
        <f>SUM('B1:B5'!AA70)</f>
        <v>0</v>
      </c>
      <c r="M12" s="21">
        <f>SUM('B1:B5'!AB70)</f>
        <v>0</v>
      </c>
      <c r="N12" s="166">
        <f t="shared" si="1"/>
        <v>0</v>
      </c>
    </row>
    <row r="13" spans="1:41">
      <c r="B13" s="183" t="s">
        <v>108</v>
      </c>
      <c r="C13" s="110"/>
      <c r="D13" s="21">
        <f>SUM('B1:B5'!S71)</f>
        <v>0</v>
      </c>
      <c r="E13" s="21">
        <f>SUM('B1:B5'!T71)</f>
        <v>0</v>
      </c>
      <c r="F13" s="21">
        <f>SUM('B1:B5'!U71)</f>
        <v>0</v>
      </c>
      <c r="G13" s="21">
        <f>SUM('B1:B5'!V71)</f>
        <v>0</v>
      </c>
      <c r="H13" s="21">
        <f>SUM('B1:B5'!W71)</f>
        <v>0</v>
      </c>
      <c r="I13" s="21">
        <f>SUM('B1:B5'!X71)</f>
        <v>0</v>
      </c>
      <c r="J13" s="21">
        <f>SUM('B1:B5'!Y71)</f>
        <v>0</v>
      </c>
      <c r="K13" s="21">
        <f>SUM('B1:B5'!Z71)</f>
        <v>0</v>
      </c>
      <c r="L13" s="21">
        <f>SUM('B1:B5'!AA71)</f>
        <v>0</v>
      </c>
      <c r="M13" s="21">
        <f>SUM('B1:B5'!AB71)</f>
        <v>0</v>
      </c>
      <c r="N13" s="166">
        <f t="shared" si="1"/>
        <v>0</v>
      </c>
    </row>
    <row r="14" spans="1:41">
      <c r="B14" s="182" t="s">
        <v>531</v>
      </c>
      <c r="C14" s="110"/>
      <c r="D14" s="21">
        <f>SUM('B1:B5'!S72)</f>
        <v>0</v>
      </c>
      <c r="E14" s="21">
        <f>SUM('B1:B5'!T72)</f>
        <v>0</v>
      </c>
      <c r="F14" s="21">
        <f>SUM('B1:B5'!U72)</f>
        <v>0</v>
      </c>
      <c r="G14" s="21">
        <f>SUM('B1:B5'!V72)</f>
        <v>0</v>
      </c>
      <c r="H14" s="21">
        <f>SUM('B1:B5'!W72)</f>
        <v>0</v>
      </c>
      <c r="I14" s="21">
        <f>SUM('B1:B5'!X72)</f>
        <v>0</v>
      </c>
      <c r="J14" s="21">
        <f>SUM('B1:B5'!Y72)</f>
        <v>0</v>
      </c>
      <c r="K14" s="21">
        <f>SUM('B1:B5'!Z72)</f>
        <v>0</v>
      </c>
      <c r="L14" s="21">
        <f>SUM('B1:B5'!AA72)</f>
        <v>0</v>
      </c>
      <c r="M14" s="21">
        <f>SUM('B1:B5'!AB72)</f>
        <v>0</v>
      </c>
      <c r="N14" s="166">
        <f t="shared" si="1"/>
        <v>0</v>
      </c>
    </row>
    <row r="15" spans="1:41" ht="14.5" thickBot="1">
      <c r="B15" s="184" t="s">
        <v>101</v>
      </c>
      <c r="C15" s="185"/>
      <c r="D15" s="143">
        <f>+SUM(D10:D14)</f>
        <v>0</v>
      </c>
      <c r="E15" s="143">
        <f t="shared" ref="E15:K15" si="2">+SUM(E10:E14)</f>
        <v>0</v>
      </c>
      <c r="F15" s="143">
        <f t="shared" si="2"/>
        <v>0</v>
      </c>
      <c r="G15" s="143">
        <f t="shared" si="2"/>
        <v>0</v>
      </c>
      <c r="H15" s="143">
        <f t="shared" si="2"/>
        <v>0</v>
      </c>
      <c r="I15" s="143">
        <f t="shared" si="2"/>
        <v>0</v>
      </c>
      <c r="J15" s="143">
        <f t="shared" si="2"/>
        <v>0</v>
      </c>
      <c r="K15" s="143">
        <f t="shared" si="2"/>
        <v>0</v>
      </c>
      <c r="L15" s="143">
        <f>+SUM(L10:L14)</f>
        <v>0</v>
      </c>
      <c r="M15" s="143">
        <f>+SUM(M10:M14)</f>
        <v>0</v>
      </c>
      <c r="N15" s="167">
        <f t="shared" si="1"/>
        <v>0</v>
      </c>
    </row>
    <row r="16" spans="1:41" ht="14.5" thickBot="1">
      <c r="B16" s="23"/>
      <c r="C16" s="16"/>
      <c r="D16" s="16"/>
      <c r="E16" s="168"/>
      <c r="F16" s="168"/>
      <c r="G16" s="168"/>
      <c r="H16" s="168"/>
      <c r="I16" s="168"/>
      <c r="J16" s="168"/>
      <c r="K16" s="168"/>
      <c r="L16" s="168"/>
      <c r="M16" s="168"/>
      <c r="N16" s="168"/>
    </row>
    <row r="17" spans="2:14" ht="18">
      <c r="B17" s="177" t="s">
        <v>587</v>
      </c>
      <c r="C17" s="121"/>
      <c r="D17" s="121"/>
      <c r="E17" s="121"/>
      <c r="F17" s="121"/>
      <c r="G17" s="121"/>
      <c r="H17" s="121"/>
      <c r="I17" s="121"/>
      <c r="J17" s="121"/>
      <c r="K17" s="121"/>
      <c r="L17" s="121"/>
      <c r="M17" s="121"/>
      <c r="N17" s="163"/>
    </row>
    <row r="18" spans="2:14">
      <c r="B18" s="152"/>
      <c r="C18" s="16"/>
      <c r="D18" s="16"/>
      <c r="E18" s="186"/>
      <c r="F18" s="186"/>
      <c r="G18" s="186"/>
      <c r="H18" s="186"/>
      <c r="I18" s="186"/>
      <c r="J18" s="186"/>
      <c r="K18" s="186"/>
      <c r="L18" s="186"/>
      <c r="M18" s="186"/>
      <c r="N18" s="169"/>
    </row>
    <row r="19" spans="2:14">
      <c r="B19" s="152" t="s">
        <v>22</v>
      </c>
      <c r="C19" s="4"/>
      <c r="D19" s="8">
        <f>+D5</f>
        <v>2026</v>
      </c>
      <c r="E19" s="8">
        <f t="shared" ref="E19:M19" si="3">+E5</f>
        <v>2027</v>
      </c>
      <c r="F19" s="8">
        <f t="shared" si="3"/>
        <v>2028</v>
      </c>
      <c r="G19" s="8">
        <f t="shared" si="3"/>
        <v>2029</v>
      </c>
      <c r="H19" s="8">
        <f t="shared" si="3"/>
        <v>2030</v>
      </c>
      <c r="I19" s="8">
        <f t="shared" si="3"/>
        <v>2031</v>
      </c>
      <c r="J19" s="8">
        <f t="shared" si="3"/>
        <v>2032</v>
      </c>
      <c r="K19" s="8">
        <f t="shared" si="3"/>
        <v>2033</v>
      </c>
      <c r="L19" s="8">
        <f t="shared" si="3"/>
        <v>2034</v>
      </c>
      <c r="M19" s="8">
        <f t="shared" si="3"/>
        <v>2035</v>
      </c>
      <c r="N19" s="124" t="s">
        <v>34</v>
      </c>
    </row>
    <row r="20" spans="2:14">
      <c r="B20" s="180" t="s">
        <v>74</v>
      </c>
      <c r="C20" s="111"/>
      <c r="D20" s="28">
        <f>SUM('B1:B5'!S80)</f>
        <v>0</v>
      </c>
      <c r="E20" s="111">
        <f>SUM('B1:B5'!T80)</f>
        <v>0</v>
      </c>
      <c r="F20" s="28">
        <f>SUM('B1:B5'!U80)</f>
        <v>0</v>
      </c>
      <c r="G20" s="111">
        <f>SUM('B1:B5'!V80)</f>
        <v>0</v>
      </c>
      <c r="H20" s="28">
        <f>SUM('B1:B5'!W80)</f>
        <v>0</v>
      </c>
      <c r="I20" s="111">
        <f>SUM('B1:B5'!X80)</f>
        <v>0</v>
      </c>
      <c r="J20" s="28">
        <f>SUM('B1:B5'!Y80)</f>
        <v>0</v>
      </c>
      <c r="K20" s="28">
        <f>SUM('B1:B5'!Z80)</f>
        <v>0</v>
      </c>
      <c r="L20" s="28">
        <f>SUM('B1:B5'!AA80)</f>
        <v>0</v>
      </c>
      <c r="M20" s="28">
        <f>SUM('B1:B5'!AB80)</f>
        <v>0</v>
      </c>
      <c r="N20" s="170">
        <f>SUM(D20:M20)</f>
        <v>0</v>
      </c>
    </row>
    <row r="21" spans="2:14">
      <c r="B21" s="152" t="s">
        <v>75</v>
      </c>
      <c r="C21" s="112"/>
      <c r="D21" s="113">
        <f>SUM('B1:B5'!S81)</f>
        <v>0</v>
      </c>
      <c r="E21" s="112">
        <f>SUM('B1:B5'!T81)</f>
        <v>0</v>
      </c>
      <c r="F21" s="113">
        <f>SUM('B1:B5'!U81)</f>
        <v>0</v>
      </c>
      <c r="G21" s="112">
        <f>SUM('B1:B5'!V81)</f>
        <v>0</v>
      </c>
      <c r="H21" s="113">
        <f>SUM('B1:B5'!W81)</f>
        <v>0</v>
      </c>
      <c r="I21" s="112">
        <f>SUM('B1:B5'!X81)</f>
        <v>0</v>
      </c>
      <c r="J21" s="113">
        <f>SUM('B1:B5'!Y81)</f>
        <v>0</v>
      </c>
      <c r="K21" s="113">
        <f>SUM('B1:B5'!Z81)</f>
        <v>0</v>
      </c>
      <c r="L21" s="113">
        <f>SUM('B1:B5'!AA81)</f>
        <v>0</v>
      </c>
      <c r="M21" s="113">
        <f>SUM('B1:B5'!AB81)</f>
        <v>0</v>
      </c>
      <c r="N21" s="171">
        <f t="shared" ref="N21:N29" si="4">SUM(D21:M21)</f>
        <v>0</v>
      </c>
    </row>
    <row r="22" spans="2:14">
      <c r="B22" s="181" t="s">
        <v>76</v>
      </c>
      <c r="C22" s="142"/>
      <c r="D22" s="137">
        <f>SUM('B1:B5'!S82)</f>
        <v>0</v>
      </c>
      <c r="E22" s="137">
        <f>SUM('B1:B5'!T82)</f>
        <v>0</v>
      </c>
      <c r="F22" s="137">
        <f>SUM('B1:B5'!U82)</f>
        <v>0</v>
      </c>
      <c r="G22" s="137">
        <f>SUM('B1:B5'!V82)</f>
        <v>0</v>
      </c>
      <c r="H22" s="137">
        <f>SUM('B1:B5'!W82)</f>
        <v>0</v>
      </c>
      <c r="I22" s="137">
        <f>SUM('B1:B5'!X82)</f>
        <v>0</v>
      </c>
      <c r="J22" s="142">
        <f>SUM('B1:B5'!Y82)</f>
        <v>0</v>
      </c>
      <c r="K22" s="137">
        <f>SUM('B1:B5'!Z82)</f>
        <v>0</v>
      </c>
      <c r="L22" s="137">
        <f>SUM('B1:B5'!AA82)</f>
        <v>0</v>
      </c>
      <c r="M22" s="137">
        <f>SUM('B1:B5'!AB82)</f>
        <v>0</v>
      </c>
      <c r="N22" s="172">
        <f t="shared" si="4"/>
        <v>0</v>
      </c>
    </row>
    <row r="23" spans="2:14">
      <c r="B23" s="181" t="s">
        <v>77</v>
      </c>
      <c r="C23" s="142"/>
      <c r="D23" s="137">
        <f>SUM('B1:B5'!S83)</f>
        <v>0</v>
      </c>
      <c r="E23" s="187">
        <f>SUM('B1:B5'!T83)</f>
        <v>0</v>
      </c>
      <c r="F23" s="187">
        <f>SUM('B1:B5'!U83)</f>
        <v>0</v>
      </c>
      <c r="G23" s="187">
        <f>SUM('B1:B5'!V83)</f>
        <v>0</v>
      </c>
      <c r="H23" s="187">
        <f>SUM('B1:B5'!W83)</f>
        <v>0</v>
      </c>
      <c r="I23" s="187">
        <f>SUM('B1:B5'!X83)</f>
        <v>0</v>
      </c>
      <c r="J23" s="188">
        <f>SUM('B1:B5'!Y83)</f>
        <v>0</v>
      </c>
      <c r="K23" s="187">
        <f>SUM('B1:B5'!Z83)</f>
        <v>0</v>
      </c>
      <c r="L23" s="187">
        <f>SUM('B1:B5'!AA83)</f>
        <v>0</v>
      </c>
      <c r="M23" s="187">
        <f>SUM('B1:B5'!AB83)</f>
        <v>0</v>
      </c>
      <c r="N23" s="172">
        <f t="shared" si="4"/>
        <v>0</v>
      </c>
    </row>
    <row r="24" spans="2:14">
      <c r="B24" s="181" t="s">
        <v>78</v>
      </c>
      <c r="C24" s="142"/>
      <c r="D24" s="137">
        <f>SUM('B1:B5'!S84)</f>
        <v>0</v>
      </c>
      <c r="E24" s="187">
        <f>SUM('B1:B5'!T84)</f>
        <v>0</v>
      </c>
      <c r="F24" s="187">
        <f>SUM('B1:B5'!U84)</f>
        <v>0</v>
      </c>
      <c r="G24" s="187">
        <f>SUM('B1:B5'!V84)</f>
        <v>0</v>
      </c>
      <c r="H24" s="187">
        <f>SUM('B1:B5'!W84)</f>
        <v>0</v>
      </c>
      <c r="I24" s="187">
        <f>SUM('B1:B5'!X84)</f>
        <v>0</v>
      </c>
      <c r="J24" s="188">
        <f>SUM('B1:B5'!Y84)</f>
        <v>0</v>
      </c>
      <c r="K24" s="187">
        <f>SUM('B1:B5'!Z84)</f>
        <v>0</v>
      </c>
      <c r="L24" s="187">
        <f>SUM('B1:B5'!AA84)</f>
        <v>0</v>
      </c>
      <c r="M24" s="187">
        <f>SUM('B1:B5'!AB84)</f>
        <v>0</v>
      </c>
      <c r="N24" s="172">
        <f t="shared" si="4"/>
        <v>0</v>
      </c>
    </row>
    <row r="25" spans="2:14">
      <c r="B25" s="182" t="s">
        <v>0</v>
      </c>
      <c r="C25" s="110"/>
      <c r="D25" s="21">
        <f>SUM('B1:B5'!S85)</f>
        <v>0</v>
      </c>
      <c r="E25" s="189">
        <f>SUM('B1:B5'!T85)</f>
        <v>0</v>
      </c>
      <c r="F25" s="189">
        <f>SUM('B1:B5'!U85)</f>
        <v>0</v>
      </c>
      <c r="G25" s="189">
        <f>SUM('B1:B5'!V85)</f>
        <v>0</v>
      </c>
      <c r="H25" s="189">
        <f>SUM('B1:B5'!W85)</f>
        <v>0</v>
      </c>
      <c r="I25" s="189">
        <f>SUM('B1:B5'!X85)</f>
        <v>0</v>
      </c>
      <c r="J25" s="190">
        <f>SUM('B1:B5'!Y85)</f>
        <v>0</v>
      </c>
      <c r="K25" s="189">
        <f>SUM('B1:B5'!Z85)</f>
        <v>0</v>
      </c>
      <c r="L25" s="189">
        <f>SUM('B1:B5'!AA85)</f>
        <v>0</v>
      </c>
      <c r="M25" s="189">
        <f>SUM('B1:B5'!AB85)</f>
        <v>0</v>
      </c>
      <c r="N25" s="172">
        <f t="shared" si="4"/>
        <v>0</v>
      </c>
    </row>
    <row r="26" spans="2:14">
      <c r="B26" s="183" t="s">
        <v>103</v>
      </c>
      <c r="C26" s="110"/>
      <c r="D26" s="21">
        <f>SUM('B1:B5'!S86)</f>
        <v>0</v>
      </c>
      <c r="E26" s="21">
        <f>SUM('B1:B5'!T86)</f>
        <v>0</v>
      </c>
      <c r="F26" s="21">
        <f>SUM('B1:B5'!U86)</f>
        <v>0</v>
      </c>
      <c r="G26" s="21">
        <f>SUM('B1:B5'!V86)</f>
        <v>0</v>
      </c>
      <c r="H26" s="21">
        <f>SUM('B1:B5'!W86)</f>
        <v>0</v>
      </c>
      <c r="I26" s="21">
        <f>SUM('B1:B5'!X86)</f>
        <v>0</v>
      </c>
      <c r="J26" s="110">
        <f>SUM('B1:B5'!Y86)</f>
        <v>0</v>
      </c>
      <c r="K26" s="21">
        <f>SUM('B1:B5'!Z86)</f>
        <v>0</v>
      </c>
      <c r="L26" s="21">
        <f>SUM('B1:B5'!AA86)</f>
        <v>0</v>
      </c>
      <c r="M26" s="21">
        <f>SUM('B1:B5'!AB86)</f>
        <v>0</v>
      </c>
      <c r="N26" s="172">
        <f t="shared" si="4"/>
        <v>0</v>
      </c>
    </row>
    <row r="27" spans="2:14">
      <c r="B27" s="183" t="s">
        <v>108</v>
      </c>
      <c r="C27" s="110"/>
      <c r="D27" s="21">
        <f>SUM('B1:B5'!S87)</f>
        <v>0</v>
      </c>
      <c r="E27" s="21">
        <f>SUM('B1:B5'!T87)</f>
        <v>0</v>
      </c>
      <c r="F27" s="21">
        <f>SUM('B1:B5'!U87)</f>
        <v>0</v>
      </c>
      <c r="G27" s="21">
        <f>SUM('B1:B5'!V87)</f>
        <v>0</v>
      </c>
      <c r="H27" s="21">
        <f>SUM('B1:B5'!W87)</f>
        <v>0</v>
      </c>
      <c r="I27" s="21">
        <f>SUM('B1:B5'!X87)</f>
        <v>0</v>
      </c>
      <c r="J27" s="21">
        <f>SUM('B1:B5'!Y87)</f>
        <v>0</v>
      </c>
      <c r="K27" s="21">
        <f>SUM('B1:B5'!Z87)</f>
        <v>0</v>
      </c>
      <c r="L27" s="21">
        <f>SUM('B1:B5'!AA87)</f>
        <v>0</v>
      </c>
      <c r="M27" s="21">
        <f>SUM('B1:B5'!AB87)</f>
        <v>0</v>
      </c>
      <c r="N27" s="172">
        <f t="shared" si="4"/>
        <v>0</v>
      </c>
    </row>
    <row r="28" spans="2:14">
      <c r="B28" s="182" t="s">
        <v>531</v>
      </c>
      <c r="C28" s="110"/>
      <c r="D28" s="21">
        <f>SUM('B1:B5'!S88)</f>
        <v>0</v>
      </c>
      <c r="E28" s="21">
        <f>SUM('B1:B5'!T88)</f>
        <v>0</v>
      </c>
      <c r="F28" s="21">
        <f>SUM('B1:B5'!U88)</f>
        <v>0</v>
      </c>
      <c r="G28" s="21">
        <f>SUM('B1:B5'!V88)</f>
        <v>0</v>
      </c>
      <c r="H28" s="21">
        <f>SUM('B1:B5'!W88)</f>
        <v>0</v>
      </c>
      <c r="I28" s="21">
        <f>SUM('B1:B5'!X88)</f>
        <v>0</v>
      </c>
      <c r="J28" s="21">
        <f>SUM('B1:B5'!Y88)</f>
        <v>0</v>
      </c>
      <c r="K28" s="21">
        <f>SUM('B1:B5'!Z88)</f>
        <v>0</v>
      </c>
      <c r="L28" s="21">
        <f>SUM('B1:B5'!AA88)</f>
        <v>0</v>
      </c>
      <c r="M28" s="21">
        <f>SUM('B1:B5'!AB88)</f>
        <v>0</v>
      </c>
      <c r="N28" s="172">
        <f t="shared" si="4"/>
        <v>0</v>
      </c>
    </row>
    <row r="29" spans="2:14" ht="14.5" thickBot="1">
      <c r="B29" s="184" t="s">
        <v>101</v>
      </c>
      <c r="C29" s="185"/>
      <c r="D29" s="143">
        <f>+SUM(D24:D28)</f>
        <v>0</v>
      </c>
      <c r="E29" s="143">
        <f t="shared" ref="E29:K29" si="5">+SUM(E24:E28)</f>
        <v>0</v>
      </c>
      <c r="F29" s="143">
        <f t="shared" si="5"/>
        <v>0</v>
      </c>
      <c r="G29" s="143">
        <f t="shared" si="5"/>
        <v>0</v>
      </c>
      <c r="H29" s="143">
        <f t="shared" si="5"/>
        <v>0</v>
      </c>
      <c r="I29" s="143">
        <f t="shared" si="5"/>
        <v>0</v>
      </c>
      <c r="J29" s="143">
        <f t="shared" si="5"/>
        <v>0</v>
      </c>
      <c r="K29" s="143">
        <f t="shared" si="5"/>
        <v>0</v>
      </c>
      <c r="L29" s="143">
        <f>+SUM(L24:L28)</f>
        <v>0</v>
      </c>
      <c r="M29" s="143">
        <f>+SUM(M24:M28)</f>
        <v>0</v>
      </c>
      <c r="N29" s="173">
        <f t="shared" si="4"/>
        <v>0</v>
      </c>
    </row>
    <row r="30" spans="2:14" ht="14.5" thickBot="1">
      <c r="B30" s="23"/>
      <c r="C30" s="16"/>
      <c r="D30" s="16"/>
      <c r="E30" s="191"/>
      <c r="F30" s="191"/>
      <c r="G30" s="191"/>
      <c r="H30" s="191"/>
      <c r="I30" s="191"/>
      <c r="J30" s="191"/>
      <c r="K30" s="191"/>
      <c r="L30" s="191"/>
      <c r="M30" s="191"/>
      <c r="N30" s="174"/>
    </row>
    <row r="31" spans="2:14" ht="18">
      <c r="B31" s="177" t="s">
        <v>588</v>
      </c>
      <c r="C31" s="192"/>
      <c r="D31" s="192"/>
      <c r="E31" s="192"/>
      <c r="F31" s="192"/>
      <c r="G31" s="192"/>
      <c r="H31" s="192"/>
      <c r="I31" s="192"/>
      <c r="J31" s="192"/>
      <c r="K31" s="192"/>
      <c r="L31" s="192"/>
      <c r="M31" s="192"/>
      <c r="N31" s="175"/>
    </row>
    <row r="32" spans="2:14" ht="18">
      <c r="B32" s="193"/>
      <c r="C32" s="16"/>
      <c r="D32" s="16"/>
      <c r="E32" s="186"/>
      <c r="F32" s="186"/>
      <c r="G32" s="186"/>
      <c r="H32" s="186"/>
      <c r="I32" s="186"/>
      <c r="J32" s="186"/>
      <c r="K32" s="186"/>
      <c r="L32" s="186"/>
      <c r="M32" s="186"/>
      <c r="N32" s="169"/>
    </row>
    <row r="33" spans="2:14">
      <c r="B33" s="152" t="s">
        <v>22</v>
      </c>
      <c r="C33" s="4"/>
      <c r="D33" s="8">
        <f>+D19</f>
        <v>2026</v>
      </c>
      <c r="E33" s="8">
        <f t="shared" ref="E33:M33" si="6">+E19</f>
        <v>2027</v>
      </c>
      <c r="F33" s="8">
        <f t="shared" si="6"/>
        <v>2028</v>
      </c>
      <c r="G33" s="8">
        <f t="shared" si="6"/>
        <v>2029</v>
      </c>
      <c r="H33" s="8">
        <f t="shared" si="6"/>
        <v>2030</v>
      </c>
      <c r="I33" s="8">
        <f t="shared" si="6"/>
        <v>2031</v>
      </c>
      <c r="J33" s="8">
        <f t="shared" si="6"/>
        <v>2032</v>
      </c>
      <c r="K33" s="8">
        <f t="shared" si="6"/>
        <v>2033</v>
      </c>
      <c r="L33" s="8">
        <f t="shared" si="6"/>
        <v>2034</v>
      </c>
      <c r="M33" s="8">
        <f t="shared" si="6"/>
        <v>2035</v>
      </c>
      <c r="N33" s="124" t="s">
        <v>34</v>
      </c>
    </row>
    <row r="34" spans="2:14">
      <c r="B34" s="180" t="s">
        <v>74</v>
      </c>
      <c r="C34" s="111"/>
      <c r="D34" s="28">
        <f>SUM('B1:B5'!S94)</f>
        <v>0</v>
      </c>
      <c r="E34" s="111">
        <f>SUM('B1:B5'!T94)</f>
        <v>0</v>
      </c>
      <c r="F34" s="28">
        <f>SUM('B1:B5'!U94)</f>
        <v>0</v>
      </c>
      <c r="G34" s="111">
        <f>SUM('B1:B5'!V94)</f>
        <v>0</v>
      </c>
      <c r="H34" s="28">
        <f>SUM('B1:B5'!W94)</f>
        <v>0</v>
      </c>
      <c r="I34" s="111">
        <f>SUM('B1:B5'!X94)</f>
        <v>0</v>
      </c>
      <c r="J34" s="28">
        <f>SUM('B1:B5'!Y94)</f>
        <v>0</v>
      </c>
      <c r="K34" s="28">
        <f>SUM('B1:B5'!Z94)</f>
        <v>0</v>
      </c>
      <c r="L34" s="111">
        <f>SUM('B1:B5'!AA94)</f>
        <v>0</v>
      </c>
      <c r="M34" s="111">
        <f>SUM('B1:B5'!AB94)</f>
        <v>0</v>
      </c>
      <c r="N34" s="170">
        <f>SUM(D34:M34)</f>
        <v>0</v>
      </c>
    </row>
    <row r="35" spans="2:14">
      <c r="B35" s="152" t="s">
        <v>75</v>
      </c>
      <c r="C35" s="112"/>
      <c r="D35" s="113">
        <f>SUM('B1:B5'!S95)</f>
        <v>0</v>
      </c>
      <c r="E35" s="112">
        <f>SUM('B1:B5'!T95)</f>
        <v>0</v>
      </c>
      <c r="F35" s="113">
        <f>SUM('B1:B5'!U95)</f>
        <v>0</v>
      </c>
      <c r="G35" s="112">
        <f>SUM('B1:B5'!V95)</f>
        <v>0</v>
      </c>
      <c r="H35" s="113">
        <f>SUM('B1:B5'!W95)</f>
        <v>0</v>
      </c>
      <c r="I35" s="112">
        <f>SUM('B1:B5'!X95)</f>
        <v>0</v>
      </c>
      <c r="J35" s="113">
        <f>SUM('B1:B5'!Y95)</f>
        <v>0</v>
      </c>
      <c r="K35" s="113">
        <f>SUM('B1:B5'!Z95)</f>
        <v>0</v>
      </c>
      <c r="L35" s="112">
        <f>SUM('B1:B5'!AA95)</f>
        <v>0</v>
      </c>
      <c r="M35" s="112">
        <f>SUM('B1:B5'!AB95)</f>
        <v>0</v>
      </c>
      <c r="N35" s="171">
        <f t="shared" ref="N35:N43" si="7">SUM(D35:M35)</f>
        <v>0</v>
      </c>
    </row>
    <row r="36" spans="2:14">
      <c r="B36" s="181" t="s">
        <v>76</v>
      </c>
      <c r="C36" s="142"/>
      <c r="D36" s="137">
        <f>SUM('B1:B5'!S96)</f>
        <v>0</v>
      </c>
      <c r="E36" s="137">
        <f>SUM('B1:B5'!T96)</f>
        <v>0</v>
      </c>
      <c r="F36" s="137">
        <f>SUM('B1:B5'!U96)</f>
        <v>0</v>
      </c>
      <c r="G36" s="137">
        <f>SUM('B1:B5'!V96)</f>
        <v>0</v>
      </c>
      <c r="H36" s="137">
        <f>SUM('B1:B5'!W96)</f>
        <v>0</v>
      </c>
      <c r="I36" s="137">
        <f>SUM('B1:B5'!X96)</f>
        <v>0</v>
      </c>
      <c r="J36" s="142">
        <f>SUM('B1:B5'!Y96)</f>
        <v>0</v>
      </c>
      <c r="K36" s="137">
        <f>SUM('B1:B5'!Z96)</f>
        <v>0</v>
      </c>
      <c r="L36" s="142">
        <f>SUM('B1:B5'!AA96)</f>
        <v>0</v>
      </c>
      <c r="M36" s="142">
        <f>SUM('B1:B5'!AB96)</f>
        <v>0</v>
      </c>
      <c r="N36" s="172">
        <f t="shared" si="7"/>
        <v>0</v>
      </c>
    </row>
    <row r="37" spans="2:14">
      <c r="B37" s="181" t="s">
        <v>77</v>
      </c>
      <c r="C37" s="142"/>
      <c r="D37" s="137">
        <f>SUM('B1:B5'!S97)</f>
        <v>0</v>
      </c>
      <c r="E37" s="187">
        <f>SUM('B1:B5'!T97)</f>
        <v>0</v>
      </c>
      <c r="F37" s="187">
        <f>SUM('B1:B5'!U97)</f>
        <v>0</v>
      </c>
      <c r="G37" s="187">
        <f>SUM('B1:B5'!V97)</f>
        <v>0</v>
      </c>
      <c r="H37" s="187">
        <f>SUM('B1:B5'!W97)</f>
        <v>0</v>
      </c>
      <c r="I37" s="187">
        <f>SUM('B1:B5'!X97)</f>
        <v>0</v>
      </c>
      <c r="J37" s="188">
        <f>SUM('B1:B5'!Y97)</f>
        <v>0</v>
      </c>
      <c r="K37" s="187">
        <f>SUM('B1:B5'!Z97)</f>
        <v>0</v>
      </c>
      <c r="L37" s="188">
        <f>SUM('B1:B5'!AA97)</f>
        <v>0</v>
      </c>
      <c r="M37" s="188">
        <f>SUM('B1:B5'!AB97)</f>
        <v>0</v>
      </c>
      <c r="N37" s="172">
        <f t="shared" si="7"/>
        <v>0</v>
      </c>
    </row>
    <row r="38" spans="2:14">
      <c r="B38" s="181" t="s">
        <v>78</v>
      </c>
      <c r="C38" s="142"/>
      <c r="D38" s="137">
        <f>SUM('B1:B5'!S98)</f>
        <v>0</v>
      </c>
      <c r="E38" s="194">
        <f>SUM('B1:B5'!T98)</f>
        <v>0</v>
      </c>
      <c r="F38" s="194">
        <f>SUM('B1:B5'!U98)</f>
        <v>0</v>
      </c>
      <c r="G38" s="194">
        <f>SUM('B1:B5'!V98)</f>
        <v>0</v>
      </c>
      <c r="H38" s="194">
        <f>SUM('B1:B5'!W98)</f>
        <v>0</v>
      </c>
      <c r="I38" s="194">
        <f>SUM('B1:B5'!X98)</f>
        <v>0</v>
      </c>
      <c r="J38" s="195">
        <f>SUM('B1:B5'!Y98)</f>
        <v>0</v>
      </c>
      <c r="K38" s="194">
        <f>SUM('B1:B5'!Z98)</f>
        <v>0</v>
      </c>
      <c r="L38" s="195">
        <f>SUM('B1:B5'!AA98)</f>
        <v>0</v>
      </c>
      <c r="M38" s="195">
        <f>SUM('B1:B5'!AB98)</f>
        <v>0</v>
      </c>
      <c r="N38" s="172">
        <f t="shared" si="7"/>
        <v>0</v>
      </c>
    </row>
    <row r="39" spans="2:14">
      <c r="B39" s="182" t="s">
        <v>0</v>
      </c>
      <c r="C39" s="110"/>
      <c r="D39" s="21">
        <f>SUM('B1:B5'!S99)</f>
        <v>0</v>
      </c>
      <c r="E39" s="189">
        <f>SUM('B1:B5'!T99)</f>
        <v>0</v>
      </c>
      <c r="F39" s="189">
        <f>SUM('B1:B5'!U99)</f>
        <v>0</v>
      </c>
      <c r="G39" s="189">
        <f>SUM('B1:B5'!V99)</f>
        <v>0</v>
      </c>
      <c r="H39" s="189">
        <f>SUM('B1:B5'!W99)</f>
        <v>0</v>
      </c>
      <c r="I39" s="189">
        <f>SUM('B1:B5'!X99)</f>
        <v>0</v>
      </c>
      <c r="J39" s="190">
        <f>SUM('B1:B5'!Y99)</f>
        <v>0</v>
      </c>
      <c r="K39" s="189">
        <f>SUM('B1:B5'!Z99)</f>
        <v>0</v>
      </c>
      <c r="L39" s="190">
        <f>SUM('B1:B5'!AA99)</f>
        <v>0</v>
      </c>
      <c r="M39" s="190">
        <f>SUM('B1:B5'!AB99)</f>
        <v>0</v>
      </c>
      <c r="N39" s="172">
        <f t="shared" si="7"/>
        <v>0</v>
      </c>
    </row>
    <row r="40" spans="2:14">
      <c r="B40" s="183" t="s">
        <v>103</v>
      </c>
      <c r="C40" s="110"/>
      <c r="D40" s="21">
        <f>SUM('B1:B5'!S100)</f>
        <v>0</v>
      </c>
      <c r="E40" s="21">
        <f>SUM('B1:B5'!T100)</f>
        <v>0</v>
      </c>
      <c r="F40" s="21">
        <f>SUM('B1:B5'!U100)</f>
        <v>0</v>
      </c>
      <c r="G40" s="21">
        <f>SUM('B1:B5'!V100)</f>
        <v>0</v>
      </c>
      <c r="H40" s="21">
        <f>SUM('B1:B5'!W100)</f>
        <v>0</v>
      </c>
      <c r="I40" s="21">
        <f>SUM('B1:B5'!X100)</f>
        <v>0</v>
      </c>
      <c r="J40" s="110">
        <f>SUM('B1:B5'!Y100)</f>
        <v>0</v>
      </c>
      <c r="K40" s="21">
        <f>SUM('B1:B5'!Z100)</f>
        <v>0</v>
      </c>
      <c r="L40" s="110">
        <f>SUM('B1:B5'!AA100)</f>
        <v>0</v>
      </c>
      <c r="M40" s="110">
        <f>SUM('B1:B5'!AB100)</f>
        <v>0</v>
      </c>
      <c r="N40" s="172">
        <f t="shared" si="7"/>
        <v>0</v>
      </c>
    </row>
    <row r="41" spans="2:14">
      <c r="B41" s="183" t="s">
        <v>108</v>
      </c>
      <c r="C41" s="110"/>
      <c r="D41" s="21">
        <f>SUM('B1:B5'!S101)</f>
        <v>0</v>
      </c>
      <c r="E41" s="21">
        <f>SUM('B1:B5'!T101)</f>
        <v>0</v>
      </c>
      <c r="F41" s="21">
        <f>SUM('B1:B5'!U101)</f>
        <v>0</v>
      </c>
      <c r="G41" s="21">
        <f>SUM('B1:B5'!V101)</f>
        <v>0</v>
      </c>
      <c r="H41" s="21">
        <f>SUM('B1:B5'!W101)</f>
        <v>0</v>
      </c>
      <c r="I41" s="21">
        <f>SUM('B1:B5'!X101)</f>
        <v>0</v>
      </c>
      <c r="J41" s="21">
        <f>SUM('B1:B5'!Y101)</f>
        <v>0</v>
      </c>
      <c r="K41" s="21">
        <f>SUM('B1:B5'!Z101)</f>
        <v>0</v>
      </c>
      <c r="L41" s="110">
        <f>SUM('B1:B5'!AA101)</f>
        <v>0</v>
      </c>
      <c r="M41" s="110">
        <f>SUM('B1:B5'!AB101)</f>
        <v>0</v>
      </c>
      <c r="N41" s="172">
        <f t="shared" si="7"/>
        <v>0</v>
      </c>
    </row>
    <row r="42" spans="2:14">
      <c r="B42" s="182" t="s">
        <v>531</v>
      </c>
      <c r="C42" s="110"/>
      <c r="D42" s="21">
        <f>SUM('B1:B5'!S102)</f>
        <v>0</v>
      </c>
      <c r="E42" s="21">
        <f>SUM('B1:B5'!T102)</f>
        <v>0</v>
      </c>
      <c r="F42" s="21">
        <f>SUM('B1:B5'!U102)</f>
        <v>0</v>
      </c>
      <c r="G42" s="21">
        <f>SUM('B1:B5'!V102)</f>
        <v>0</v>
      </c>
      <c r="H42" s="21">
        <f>SUM('B1:B5'!W102)</f>
        <v>0</v>
      </c>
      <c r="I42" s="21">
        <f>SUM('B1:B5'!X102)</f>
        <v>0</v>
      </c>
      <c r="J42" s="21">
        <f>SUM('B1:B5'!Y102)</f>
        <v>0</v>
      </c>
      <c r="K42" s="21">
        <f>SUM('B1:B5'!Z102)</f>
        <v>0</v>
      </c>
      <c r="L42" s="110">
        <f>SUM('B1:B5'!AA102)</f>
        <v>0</v>
      </c>
      <c r="M42" s="110">
        <f>SUM('B1:B5'!AB102)</f>
        <v>0</v>
      </c>
      <c r="N42" s="172">
        <f t="shared" si="7"/>
        <v>0</v>
      </c>
    </row>
    <row r="43" spans="2:14" ht="14.5" thickBot="1">
      <c r="B43" s="184" t="s">
        <v>101</v>
      </c>
      <c r="C43" s="185"/>
      <c r="D43" s="143">
        <f>+SUM(D38:D42)</f>
        <v>0</v>
      </c>
      <c r="E43" s="143">
        <f t="shared" ref="E43:K43" si="8">+SUM(E38:E42)</f>
        <v>0</v>
      </c>
      <c r="F43" s="143">
        <f t="shared" si="8"/>
        <v>0</v>
      </c>
      <c r="G43" s="143">
        <f t="shared" si="8"/>
        <v>0</v>
      </c>
      <c r="H43" s="143">
        <f t="shared" si="8"/>
        <v>0</v>
      </c>
      <c r="I43" s="143">
        <f t="shared" si="8"/>
        <v>0</v>
      </c>
      <c r="J43" s="143">
        <f t="shared" si="8"/>
        <v>0</v>
      </c>
      <c r="K43" s="143">
        <f t="shared" si="8"/>
        <v>0</v>
      </c>
      <c r="L43" s="185">
        <f>+SUM(L38:L42)</f>
        <v>0</v>
      </c>
      <c r="M43" s="185">
        <f>+SUM(M38:M42)</f>
        <v>0</v>
      </c>
      <c r="N43" s="173">
        <f t="shared" si="7"/>
        <v>0</v>
      </c>
    </row>
    <row r="44" spans="2:14" ht="14.5" thickBot="1"/>
    <row r="45" spans="2:14" ht="18">
      <c r="B45" s="177" t="s">
        <v>152</v>
      </c>
      <c r="C45" s="192"/>
      <c r="D45" s="192"/>
      <c r="E45" s="192"/>
      <c r="F45" s="192"/>
      <c r="G45" s="192"/>
      <c r="H45" s="192"/>
      <c r="I45" s="192"/>
      <c r="J45" s="192"/>
      <c r="K45" s="192"/>
      <c r="L45" s="192"/>
      <c r="M45" s="192"/>
      <c r="N45" s="175"/>
    </row>
    <row r="46" spans="2:14" ht="18">
      <c r="B46" s="193"/>
      <c r="C46" s="16"/>
      <c r="D46" s="16"/>
      <c r="E46" s="186"/>
      <c r="F46" s="186"/>
      <c r="G46" s="186"/>
      <c r="H46" s="186"/>
      <c r="I46" s="186"/>
      <c r="J46" s="186"/>
      <c r="K46" s="186"/>
      <c r="L46" s="186"/>
      <c r="M46" s="186"/>
      <c r="N46" s="169"/>
    </row>
    <row r="47" spans="2:14">
      <c r="B47" s="152" t="s">
        <v>22</v>
      </c>
      <c r="C47" s="4"/>
      <c r="D47" s="8">
        <f>+D33</f>
        <v>2026</v>
      </c>
      <c r="E47" s="8">
        <f t="shared" ref="E47:M47" si="9">+E33</f>
        <v>2027</v>
      </c>
      <c r="F47" s="8">
        <f t="shared" si="9"/>
        <v>2028</v>
      </c>
      <c r="G47" s="8">
        <f t="shared" si="9"/>
        <v>2029</v>
      </c>
      <c r="H47" s="8">
        <f t="shared" si="9"/>
        <v>2030</v>
      </c>
      <c r="I47" s="8">
        <f t="shared" si="9"/>
        <v>2031</v>
      </c>
      <c r="J47" s="8">
        <f t="shared" si="9"/>
        <v>2032</v>
      </c>
      <c r="K47" s="8">
        <f t="shared" si="9"/>
        <v>2033</v>
      </c>
      <c r="L47" s="8">
        <f t="shared" si="9"/>
        <v>2034</v>
      </c>
      <c r="M47" s="8">
        <f t="shared" si="9"/>
        <v>2035</v>
      </c>
      <c r="N47" s="124" t="s">
        <v>34</v>
      </c>
    </row>
    <row r="48" spans="2:14">
      <c r="B48" s="180" t="s">
        <v>74</v>
      </c>
      <c r="C48" s="111"/>
      <c r="D48" s="28">
        <f>SUM('B1:B5'!S108)</f>
        <v>0</v>
      </c>
      <c r="E48" s="111">
        <f>SUM('B1:B5'!T108)</f>
        <v>0</v>
      </c>
      <c r="F48" s="28">
        <f>SUM('B1:B5'!U108)</f>
        <v>0</v>
      </c>
      <c r="G48" s="111">
        <f>SUM('B1:B5'!V108)</f>
        <v>0</v>
      </c>
      <c r="H48" s="28">
        <f>SUM('B1:B5'!W108)</f>
        <v>0</v>
      </c>
      <c r="I48" s="111">
        <f>SUM('B1:B5'!X108)</f>
        <v>0</v>
      </c>
      <c r="J48" s="28">
        <f>SUM('B1:B5'!Y108)</f>
        <v>0</v>
      </c>
      <c r="K48" s="28">
        <f>SUM('B1:B5'!Z108)</f>
        <v>0</v>
      </c>
      <c r="L48" s="111">
        <f>SUM('B1:B5'!AA108)</f>
        <v>0</v>
      </c>
      <c r="M48" s="111">
        <f>SUM('B1:B5'!AB108)</f>
        <v>0</v>
      </c>
      <c r="N48" s="170">
        <f>SUM(D48:M48)</f>
        <v>0</v>
      </c>
    </row>
    <row r="49" spans="2:14">
      <c r="B49" s="152" t="s">
        <v>75</v>
      </c>
      <c r="C49" s="112"/>
      <c r="D49" s="113">
        <f>SUM('B1:B5'!S109)</f>
        <v>0</v>
      </c>
      <c r="E49" s="112">
        <f>SUM('B1:B5'!T109)</f>
        <v>0</v>
      </c>
      <c r="F49" s="113">
        <f>SUM('B1:B5'!U109)</f>
        <v>0</v>
      </c>
      <c r="G49" s="112">
        <f>SUM('B1:B5'!V109)</f>
        <v>0</v>
      </c>
      <c r="H49" s="113">
        <f>SUM('B1:B5'!W109)</f>
        <v>0</v>
      </c>
      <c r="I49" s="112">
        <f>SUM('B1:B5'!X109)</f>
        <v>0</v>
      </c>
      <c r="J49" s="113">
        <f>SUM('B1:B5'!Y109)</f>
        <v>0</v>
      </c>
      <c r="K49" s="113">
        <f>SUM('B1:B5'!Z109)</f>
        <v>0</v>
      </c>
      <c r="L49" s="112">
        <f>SUM('B1:B5'!AA109)</f>
        <v>0</v>
      </c>
      <c r="M49" s="112">
        <f>SUM('B1:B5'!AB109)</f>
        <v>0</v>
      </c>
      <c r="N49" s="171">
        <f t="shared" ref="N49:N57" si="10">SUM(D49:M49)</f>
        <v>0</v>
      </c>
    </row>
    <row r="50" spans="2:14">
      <c r="B50" s="181" t="s">
        <v>76</v>
      </c>
      <c r="C50" s="142"/>
      <c r="D50" s="137">
        <f>SUM('B1:B5'!S110)</f>
        <v>0</v>
      </c>
      <c r="E50" s="137">
        <f>SUM('B1:B5'!T110)</f>
        <v>0</v>
      </c>
      <c r="F50" s="137">
        <f>SUM('B1:B5'!U110)</f>
        <v>0</v>
      </c>
      <c r="G50" s="137">
        <f>SUM('B1:B5'!V110)</f>
        <v>0</v>
      </c>
      <c r="H50" s="137">
        <f>SUM('B1:B5'!W110)</f>
        <v>0</v>
      </c>
      <c r="I50" s="137">
        <f>SUM('B1:B5'!X110)</f>
        <v>0</v>
      </c>
      <c r="J50" s="142">
        <f>SUM('B1:B5'!Y110)</f>
        <v>0</v>
      </c>
      <c r="K50" s="137">
        <f>SUM('B1:B5'!Z110)</f>
        <v>0</v>
      </c>
      <c r="L50" s="142">
        <f>SUM('B1:B5'!AA110)</f>
        <v>0</v>
      </c>
      <c r="M50" s="142">
        <f>SUM('B1:B5'!AB110)</f>
        <v>0</v>
      </c>
      <c r="N50" s="172">
        <f t="shared" si="10"/>
        <v>0</v>
      </c>
    </row>
    <row r="51" spans="2:14">
      <c r="B51" s="181" t="s">
        <v>77</v>
      </c>
      <c r="C51" s="142"/>
      <c r="D51" s="137">
        <f>SUM('B1:B5'!S111)</f>
        <v>0</v>
      </c>
      <c r="E51" s="187">
        <f>SUM('B1:B5'!T111)</f>
        <v>0</v>
      </c>
      <c r="F51" s="187">
        <f>SUM('B1:B5'!U111)</f>
        <v>0</v>
      </c>
      <c r="G51" s="187">
        <f>SUM('B1:B5'!V111)</f>
        <v>0</v>
      </c>
      <c r="H51" s="187">
        <f>SUM('B1:B5'!W111)</f>
        <v>0</v>
      </c>
      <c r="I51" s="187">
        <f>SUM('B1:B5'!X111)</f>
        <v>0</v>
      </c>
      <c r="J51" s="188">
        <f>SUM('B1:B5'!Y111)</f>
        <v>0</v>
      </c>
      <c r="K51" s="187">
        <f>SUM('B1:B5'!Z111)</f>
        <v>0</v>
      </c>
      <c r="L51" s="188">
        <f>SUM('B1:B5'!AA111)</f>
        <v>0</v>
      </c>
      <c r="M51" s="188">
        <f>SUM('B1:B5'!AB111)</f>
        <v>0</v>
      </c>
      <c r="N51" s="172">
        <f t="shared" si="10"/>
        <v>0</v>
      </c>
    </row>
    <row r="52" spans="2:14">
      <c r="B52" s="181" t="s">
        <v>78</v>
      </c>
      <c r="C52" s="142"/>
      <c r="D52" s="137">
        <f>SUM('B1:B5'!S112)</f>
        <v>0</v>
      </c>
      <c r="E52" s="194">
        <f>SUM('B1:B5'!T112)</f>
        <v>0</v>
      </c>
      <c r="F52" s="194">
        <f>SUM('B1:B5'!U112)</f>
        <v>0</v>
      </c>
      <c r="G52" s="194">
        <f>SUM('B1:B5'!V112)</f>
        <v>0</v>
      </c>
      <c r="H52" s="194">
        <f>SUM('B1:B5'!W112)</f>
        <v>0</v>
      </c>
      <c r="I52" s="194">
        <f>SUM('B1:B5'!X112)</f>
        <v>0</v>
      </c>
      <c r="J52" s="195">
        <f>SUM('B1:B5'!Y112)</f>
        <v>0</v>
      </c>
      <c r="K52" s="194">
        <f>SUM('B1:B5'!Z112)</f>
        <v>0</v>
      </c>
      <c r="L52" s="195">
        <f>SUM('B1:B5'!AA112)</f>
        <v>0</v>
      </c>
      <c r="M52" s="195">
        <f>SUM('B1:B5'!AB112)</f>
        <v>0</v>
      </c>
      <c r="N52" s="172">
        <f t="shared" si="10"/>
        <v>0</v>
      </c>
    </row>
    <row r="53" spans="2:14">
      <c r="B53" s="182" t="s">
        <v>0</v>
      </c>
      <c r="C53" s="110"/>
      <c r="D53" s="21">
        <f>SUM('B1:B5'!S113)</f>
        <v>0</v>
      </c>
      <c r="E53" s="189">
        <f>SUM('B1:B5'!T113)</f>
        <v>0</v>
      </c>
      <c r="F53" s="189">
        <f>SUM('B1:B5'!U113)</f>
        <v>0</v>
      </c>
      <c r="G53" s="189">
        <f>SUM('B1:B5'!V113)</f>
        <v>0</v>
      </c>
      <c r="H53" s="189">
        <f>SUM('B1:B5'!W113)</f>
        <v>0</v>
      </c>
      <c r="I53" s="189">
        <f>SUM('B1:B5'!X113)</f>
        <v>0</v>
      </c>
      <c r="J53" s="190">
        <f>SUM('B1:B5'!Y113)</f>
        <v>0</v>
      </c>
      <c r="K53" s="189">
        <f>SUM('B1:B5'!Z113)</f>
        <v>0</v>
      </c>
      <c r="L53" s="190">
        <f>SUM('B1:B5'!AA113)</f>
        <v>0</v>
      </c>
      <c r="M53" s="190">
        <f>SUM('B1:B5'!AB113)</f>
        <v>0</v>
      </c>
      <c r="N53" s="172">
        <f t="shared" si="10"/>
        <v>0</v>
      </c>
    </row>
    <row r="54" spans="2:14">
      <c r="B54" s="183" t="s">
        <v>103</v>
      </c>
      <c r="C54" s="110"/>
      <c r="D54" s="21">
        <f>SUM('B1:B5'!S114)</f>
        <v>0</v>
      </c>
      <c r="E54" s="21">
        <f>SUM('B1:B5'!T114)</f>
        <v>0</v>
      </c>
      <c r="F54" s="21">
        <f>SUM('B1:B5'!U114)</f>
        <v>0</v>
      </c>
      <c r="G54" s="21">
        <f>SUM('B1:B5'!V114)</f>
        <v>0</v>
      </c>
      <c r="H54" s="21">
        <f>SUM('B1:B5'!W114)</f>
        <v>0</v>
      </c>
      <c r="I54" s="21">
        <f>SUM('B1:B5'!X114)</f>
        <v>0</v>
      </c>
      <c r="J54" s="110">
        <f>SUM('B1:B5'!Y114)</f>
        <v>0</v>
      </c>
      <c r="K54" s="21">
        <f>SUM('B1:B5'!Z114)</f>
        <v>0</v>
      </c>
      <c r="L54" s="110">
        <f>SUM('B1:B5'!AA114)</f>
        <v>0</v>
      </c>
      <c r="M54" s="110">
        <f>SUM('B1:B5'!AB114)</f>
        <v>0</v>
      </c>
      <c r="N54" s="172">
        <f t="shared" si="10"/>
        <v>0</v>
      </c>
    </row>
    <row r="55" spans="2:14">
      <c r="B55" s="183" t="s">
        <v>108</v>
      </c>
      <c r="C55" s="110"/>
      <c r="D55" s="21">
        <f>SUM('B1:B5'!S115)</f>
        <v>0</v>
      </c>
      <c r="E55" s="21">
        <f>SUM('B1:B5'!T115)</f>
        <v>0</v>
      </c>
      <c r="F55" s="21">
        <f>SUM('B1:B5'!U115)</f>
        <v>0</v>
      </c>
      <c r="G55" s="21">
        <f>SUM('B1:B5'!V115)</f>
        <v>0</v>
      </c>
      <c r="H55" s="21">
        <f>SUM('B1:B5'!W115)</f>
        <v>0</v>
      </c>
      <c r="I55" s="21">
        <f>SUM('B1:B5'!X115)</f>
        <v>0</v>
      </c>
      <c r="J55" s="21">
        <f>SUM('B1:B5'!Y115)</f>
        <v>0</v>
      </c>
      <c r="K55" s="21">
        <f>SUM('B1:B5'!Z115)</f>
        <v>0</v>
      </c>
      <c r="L55" s="110">
        <f>SUM('B1:B5'!AA115)</f>
        <v>0</v>
      </c>
      <c r="M55" s="110">
        <f>SUM('B1:B5'!AB115)</f>
        <v>0</v>
      </c>
      <c r="N55" s="172">
        <f t="shared" si="10"/>
        <v>0</v>
      </c>
    </row>
    <row r="56" spans="2:14">
      <c r="B56" s="182" t="s">
        <v>531</v>
      </c>
      <c r="C56" s="110"/>
      <c r="D56" s="21">
        <f>SUM('B1:B5'!S116)</f>
        <v>0</v>
      </c>
      <c r="E56" s="21">
        <f>SUM('B1:B5'!T116)</f>
        <v>0</v>
      </c>
      <c r="F56" s="21">
        <f>SUM('B1:B5'!U116)</f>
        <v>0</v>
      </c>
      <c r="G56" s="21">
        <f>SUM('B1:B5'!V116)</f>
        <v>0</v>
      </c>
      <c r="H56" s="21">
        <f>SUM('B1:B5'!W116)</f>
        <v>0</v>
      </c>
      <c r="I56" s="21">
        <f>SUM('B1:B5'!X116)</f>
        <v>0</v>
      </c>
      <c r="J56" s="21">
        <f>SUM('B1:B5'!Y116)</f>
        <v>0</v>
      </c>
      <c r="K56" s="21">
        <f>SUM('B1:B5'!Z116)</f>
        <v>0</v>
      </c>
      <c r="L56" s="110">
        <f>SUM('B1:B5'!AA116)</f>
        <v>0</v>
      </c>
      <c r="M56" s="110">
        <f>SUM('B1:B5'!AB116)</f>
        <v>0</v>
      </c>
      <c r="N56" s="172">
        <f t="shared" si="10"/>
        <v>0</v>
      </c>
    </row>
    <row r="57" spans="2:14" ht="14.5" thickBot="1">
      <c r="B57" s="184" t="s">
        <v>101</v>
      </c>
      <c r="C57" s="185"/>
      <c r="D57" s="143">
        <f>+SUM(D52:D56)</f>
        <v>0</v>
      </c>
      <c r="E57" s="143">
        <f t="shared" ref="E57:K57" si="11">+SUM(E52:E56)</f>
        <v>0</v>
      </c>
      <c r="F57" s="143">
        <f t="shared" si="11"/>
        <v>0</v>
      </c>
      <c r="G57" s="143">
        <f t="shared" si="11"/>
        <v>0</v>
      </c>
      <c r="H57" s="143">
        <f t="shared" si="11"/>
        <v>0</v>
      </c>
      <c r="I57" s="143">
        <f t="shared" si="11"/>
        <v>0</v>
      </c>
      <c r="J57" s="143">
        <f t="shared" si="11"/>
        <v>0</v>
      </c>
      <c r="K57" s="143">
        <f t="shared" si="11"/>
        <v>0</v>
      </c>
      <c r="L57" s="185">
        <f>+SUM(L52:L56)</f>
        <v>0</v>
      </c>
      <c r="M57" s="185">
        <f>+SUM(M52:M56)</f>
        <v>0</v>
      </c>
      <c r="N57" s="173">
        <f t="shared" si="10"/>
        <v>0</v>
      </c>
    </row>
    <row r="58" spans="2:14" ht="14.5" thickBot="1"/>
    <row r="59" spans="2:14" ht="18">
      <c r="B59" s="177" t="s">
        <v>606</v>
      </c>
      <c r="C59" s="192"/>
      <c r="D59" s="192"/>
      <c r="E59" s="192"/>
      <c r="F59" s="192"/>
      <c r="G59" s="192"/>
      <c r="H59" s="192"/>
      <c r="I59" s="192"/>
      <c r="J59" s="192"/>
      <c r="K59" s="192"/>
      <c r="L59" s="192"/>
      <c r="M59" s="192"/>
      <c r="N59" s="175"/>
    </row>
    <row r="60" spans="2:14" ht="18">
      <c r="B60" s="193"/>
      <c r="C60" s="16"/>
      <c r="D60" s="16"/>
      <c r="E60" s="186"/>
      <c r="F60" s="186"/>
      <c r="G60" s="186"/>
      <c r="H60" s="186"/>
      <c r="I60" s="186"/>
      <c r="J60" s="186"/>
      <c r="K60" s="186"/>
      <c r="L60" s="186"/>
      <c r="M60" s="186"/>
      <c r="N60" s="169"/>
    </row>
    <row r="61" spans="2:14">
      <c r="B61" s="152" t="s">
        <v>22</v>
      </c>
      <c r="C61" s="4"/>
      <c r="D61" s="8">
        <f>+D47</f>
        <v>2026</v>
      </c>
      <c r="E61" s="8">
        <f t="shared" ref="E61:M61" si="12">+E47</f>
        <v>2027</v>
      </c>
      <c r="F61" s="8">
        <f t="shared" si="12"/>
        <v>2028</v>
      </c>
      <c r="G61" s="8">
        <f t="shared" si="12"/>
        <v>2029</v>
      </c>
      <c r="H61" s="8">
        <f t="shared" si="12"/>
        <v>2030</v>
      </c>
      <c r="I61" s="8">
        <f t="shared" si="12"/>
        <v>2031</v>
      </c>
      <c r="J61" s="8">
        <f t="shared" si="12"/>
        <v>2032</v>
      </c>
      <c r="K61" s="8">
        <f t="shared" si="12"/>
        <v>2033</v>
      </c>
      <c r="L61" s="8">
        <f t="shared" si="12"/>
        <v>2034</v>
      </c>
      <c r="M61" s="8">
        <f t="shared" si="12"/>
        <v>2035</v>
      </c>
      <c r="N61" s="124" t="s">
        <v>34</v>
      </c>
    </row>
    <row r="62" spans="2:14">
      <c r="B62" s="180" t="s">
        <v>74</v>
      </c>
      <c r="C62" s="111"/>
      <c r="D62" s="28">
        <f>SUM('B1:B5'!S122)</f>
        <v>0</v>
      </c>
      <c r="E62" s="111">
        <f>SUM('B1:B5'!T122)</f>
        <v>0</v>
      </c>
      <c r="F62" s="28">
        <f>SUM('B1:B5'!U122)</f>
        <v>0</v>
      </c>
      <c r="G62" s="111">
        <f>SUM('B1:B5'!V122)</f>
        <v>0</v>
      </c>
      <c r="H62" s="28">
        <f>SUM('B1:B5'!W122)</f>
        <v>0</v>
      </c>
      <c r="I62" s="111">
        <f>SUM('B1:B5'!X122)</f>
        <v>0</v>
      </c>
      <c r="J62" s="28">
        <f>SUM('B1:B5'!Y122)</f>
        <v>0</v>
      </c>
      <c r="K62" s="28">
        <f>SUM('B1:B5'!Z122)</f>
        <v>0</v>
      </c>
      <c r="L62" s="111">
        <f>SUM('B1:B5'!AA122)</f>
        <v>0</v>
      </c>
      <c r="M62" s="111">
        <f>SUM('B1:B5'!AB122)</f>
        <v>0</v>
      </c>
      <c r="N62" s="170">
        <f>SUM(D62:M62)</f>
        <v>0</v>
      </c>
    </row>
    <row r="63" spans="2:14">
      <c r="B63" s="152" t="s">
        <v>75</v>
      </c>
      <c r="C63" s="112"/>
      <c r="D63" s="113">
        <f>SUM('B1:B5'!S123)</f>
        <v>0</v>
      </c>
      <c r="E63" s="112">
        <f>SUM('B1:B5'!T123)</f>
        <v>0</v>
      </c>
      <c r="F63" s="113">
        <f>SUM('B1:B5'!U123)</f>
        <v>0</v>
      </c>
      <c r="G63" s="112">
        <f>SUM('B1:B5'!V123)</f>
        <v>0</v>
      </c>
      <c r="H63" s="113">
        <f>SUM('B1:B5'!W123)</f>
        <v>0</v>
      </c>
      <c r="I63" s="112">
        <f>SUM('B1:B5'!X123)</f>
        <v>0</v>
      </c>
      <c r="J63" s="113">
        <f>SUM('B1:B5'!Y123)</f>
        <v>0</v>
      </c>
      <c r="K63" s="113">
        <f>SUM('B1:B5'!Z123)</f>
        <v>0</v>
      </c>
      <c r="L63" s="112">
        <f>SUM('B1:B5'!AA123)</f>
        <v>0</v>
      </c>
      <c r="M63" s="112">
        <f>SUM('B1:B5'!AB123)</f>
        <v>0</v>
      </c>
      <c r="N63" s="171">
        <f t="shared" ref="N63:N71" si="13">SUM(D63:M63)</f>
        <v>0</v>
      </c>
    </row>
    <row r="64" spans="2:14">
      <c r="B64" s="181" t="s">
        <v>76</v>
      </c>
      <c r="C64" s="142"/>
      <c r="D64" s="137">
        <f>SUM('B1:B5'!S124)</f>
        <v>0</v>
      </c>
      <c r="E64" s="137">
        <f>SUM('B1:B5'!T124)</f>
        <v>0</v>
      </c>
      <c r="F64" s="137">
        <f>SUM('B1:B5'!U124)</f>
        <v>0</v>
      </c>
      <c r="G64" s="137">
        <f>SUM('B1:B5'!V124)</f>
        <v>0</v>
      </c>
      <c r="H64" s="137">
        <f>SUM('B1:B5'!W124)</f>
        <v>0</v>
      </c>
      <c r="I64" s="137">
        <f>SUM('B1:B5'!X124)</f>
        <v>0</v>
      </c>
      <c r="J64" s="142">
        <f>SUM('B1:B5'!Y124)</f>
        <v>0</v>
      </c>
      <c r="K64" s="137">
        <f>SUM('B1:B5'!Z124)</f>
        <v>0</v>
      </c>
      <c r="L64" s="142">
        <f>SUM('B1:B5'!AA124)</f>
        <v>0</v>
      </c>
      <c r="M64" s="142">
        <f>SUM('B1:B5'!AB124)</f>
        <v>0</v>
      </c>
      <c r="N64" s="172">
        <f t="shared" si="13"/>
        <v>0</v>
      </c>
    </row>
    <row r="65" spans="2:14">
      <c r="B65" s="181" t="s">
        <v>77</v>
      </c>
      <c r="C65" s="142"/>
      <c r="D65" s="137">
        <f>SUM('B1:B5'!S125)</f>
        <v>0</v>
      </c>
      <c r="E65" s="187">
        <f>SUM('B1:B5'!T125)</f>
        <v>0</v>
      </c>
      <c r="F65" s="187">
        <f>SUM('B1:B5'!U125)</f>
        <v>0</v>
      </c>
      <c r="G65" s="187">
        <f>SUM('B1:B5'!V125)</f>
        <v>0</v>
      </c>
      <c r="H65" s="187">
        <f>SUM('B1:B5'!W125)</f>
        <v>0</v>
      </c>
      <c r="I65" s="187">
        <f>SUM('B1:B5'!X125)</f>
        <v>0</v>
      </c>
      <c r="J65" s="188">
        <f>SUM('B1:B5'!Y125)</f>
        <v>0</v>
      </c>
      <c r="K65" s="187">
        <f>SUM('B1:B5'!Z125)</f>
        <v>0</v>
      </c>
      <c r="L65" s="188">
        <f>SUM('B1:B5'!AA125)</f>
        <v>0</v>
      </c>
      <c r="M65" s="188">
        <f>SUM('B1:B5'!AB125)</f>
        <v>0</v>
      </c>
      <c r="N65" s="172">
        <f t="shared" si="13"/>
        <v>0</v>
      </c>
    </row>
    <row r="66" spans="2:14">
      <c r="B66" s="181" t="s">
        <v>78</v>
      </c>
      <c r="C66" s="142"/>
      <c r="D66" s="137">
        <f>SUM('B1:B5'!S126)</f>
        <v>0</v>
      </c>
      <c r="E66" s="194">
        <f>SUM('B1:B5'!T126)</f>
        <v>0</v>
      </c>
      <c r="F66" s="194">
        <f>SUM('B1:B5'!U126)</f>
        <v>0</v>
      </c>
      <c r="G66" s="194">
        <f>SUM('B1:B5'!V126)</f>
        <v>0</v>
      </c>
      <c r="H66" s="194">
        <f>SUM('B1:B5'!W126)</f>
        <v>0</v>
      </c>
      <c r="I66" s="194">
        <f>SUM('B1:B5'!X126)</f>
        <v>0</v>
      </c>
      <c r="J66" s="195">
        <f>SUM('B1:B5'!Y126)</f>
        <v>0</v>
      </c>
      <c r="K66" s="194">
        <f>SUM('B1:B5'!Z126)</f>
        <v>0</v>
      </c>
      <c r="L66" s="195">
        <f>SUM('B1:B5'!AA126)</f>
        <v>0</v>
      </c>
      <c r="M66" s="195">
        <f>SUM('B1:B5'!AB126)</f>
        <v>0</v>
      </c>
      <c r="N66" s="172">
        <f t="shared" si="13"/>
        <v>0</v>
      </c>
    </row>
    <row r="67" spans="2:14">
      <c r="B67" s="182" t="s">
        <v>0</v>
      </c>
      <c r="C67" s="110"/>
      <c r="D67" s="21">
        <f>SUM('B1:B5'!S127)</f>
        <v>0</v>
      </c>
      <c r="E67" s="189">
        <f>SUM('B1:B5'!T127)</f>
        <v>0</v>
      </c>
      <c r="F67" s="189">
        <f>SUM('B1:B5'!U127)</f>
        <v>0</v>
      </c>
      <c r="G67" s="189">
        <f>SUM('B1:B5'!V127)</f>
        <v>0</v>
      </c>
      <c r="H67" s="189">
        <f>SUM('B1:B5'!W127)</f>
        <v>0</v>
      </c>
      <c r="I67" s="189">
        <f>SUM('B1:B5'!X127)</f>
        <v>0</v>
      </c>
      <c r="J67" s="190">
        <f>SUM('B1:B5'!Y127)</f>
        <v>0</v>
      </c>
      <c r="K67" s="189">
        <f>SUM('B1:B5'!Z127)</f>
        <v>0</v>
      </c>
      <c r="L67" s="190">
        <f>SUM('B1:B5'!AA127)</f>
        <v>0</v>
      </c>
      <c r="M67" s="190">
        <f>SUM('B1:B5'!AB127)</f>
        <v>0</v>
      </c>
      <c r="N67" s="172">
        <f t="shared" si="13"/>
        <v>0</v>
      </c>
    </row>
    <row r="68" spans="2:14">
      <c r="B68" s="183" t="s">
        <v>103</v>
      </c>
      <c r="C68" s="110"/>
      <c r="D68" s="21">
        <f>SUM('B1:B5'!S128)</f>
        <v>0</v>
      </c>
      <c r="E68" s="21">
        <f>SUM('B1:B5'!T128)</f>
        <v>0</v>
      </c>
      <c r="F68" s="21">
        <f>SUM('B1:B5'!U128)</f>
        <v>0</v>
      </c>
      <c r="G68" s="21">
        <f>SUM('B1:B5'!V128)</f>
        <v>0</v>
      </c>
      <c r="H68" s="21">
        <f>SUM('B1:B5'!W128)</f>
        <v>0</v>
      </c>
      <c r="I68" s="21">
        <f>SUM('B1:B5'!X128)</f>
        <v>0</v>
      </c>
      <c r="J68" s="110">
        <f>SUM('B1:B5'!Y128)</f>
        <v>0</v>
      </c>
      <c r="K68" s="21">
        <f>SUM('B1:B5'!Z128)</f>
        <v>0</v>
      </c>
      <c r="L68" s="110">
        <f>SUM('B1:B5'!AA128)</f>
        <v>0</v>
      </c>
      <c r="M68" s="110">
        <f>SUM('B1:B5'!AB128)</f>
        <v>0</v>
      </c>
      <c r="N68" s="172">
        <f t="shared" si="13"/>
        <v>0</v>
      </c>
    </row>
    <row r="69" spans="2:14">
      <c r="B69" s="183" t="s">
        <v>108</v>
      </c>
      <c r="C69" s="110"/>
      <c r="D69" s="21">
        <f>SUM('B1:B5'!S129)</f>
        <v>0</v>
      </c>
      <c r="E69" s="21">
        <f>SUM('B1:B5'!T129)</f>
        <v>0</v>
      </c>
      <c r="F69" s="21">
        <f>SUM('B1:B5'!U129)</f>
        <v>0</v>
      </c>
      <c r="G69" s="21">
        <f>SUM('B1:B5'!V129)</f>
        <v>0</v>
      </c>
      <c r="H69" s="21">
        <f>SUM('B1:B5'!W129)</f>
        <v>0</v>
      </c>
      <c r="I69" s="21">
        <f>SUM('B1:B5'!X129)</f>
        <v>0</v>
      </c>
      <c r="J69" s="21">
        <f>SUM('B1:B5'!Y129)</f>
        <v>0</v>
      </c>
      <c r="K69" s="21">
        <f>SUM('B1:B5'!Z129)</f>
        <v>0</v>
      </c>
      <c r="L69" s="110">
        <f>SUM('B1:B5'!AA129)</f>
        <v>0</v>
      </c>
      <c r="M69" s="110">
        <f>SUM('B1:B5'!AB129)</f>
        <v>0</v>
      </c>
      <c r="N69" s="172">
        <f t="shared" si="13"/>
        <v>0</v>
      </c>
    </row>
    <row r="70" spans="2:14">
      <c r="B70" s="182" t="s">
        <v>531</v>
      </c>
      <c r="C70" s="110"/>
      <c r="D70" s="21">
        <f>SUM('B1:B5'!S130)</f>
        <v>0</v>
      </c>
      <c r="E70" s="21">
        <f>SUM('B1:B5'!T130)</f>
        <v>0</v>
      </c>
      <c r="F70" s="21">
        <f>SUM('B1:B5'!U130)</f>
        <v>0</v>
      </c>
      <c r="G70" s="21">
        <f>SUM('B1:B5'!V130)</f>
        <v>0</v>
      </c>
      <c r="H70" s="21">
        <f>SUM('B1:B5'!W130)</f>
        <v>0</v>
      </c>
      <c r="I70" s="21">
        <f>SUM('B1:B5'!X130)</f>
        <v>0</v>
      </c>
      <c r="J70" s="21">
        <f>SUM('B1:B5'!Y130)</f>
        <v>0</v>
      </c>
      <c r="K70" s="21">
        <f>SUM('B1:B5'!Z130)</f>
        <v>0</v>
      </c>
      <c r="L70" s="110">
        <f>SUM('B1:B5'!AA130)</f>
        <v>0</v>
      </c>
      <c r="M70" s="110">
        <f>SUM('B1:B5'!AB130)</f>
        <v>0</v>
      </c>
      <c r="N70" s="172">
        <f t="shared" si="13"/>
        <v>0</v>
      </c>
    </row>
    <row r="71" spans="2:14" ht="14.5" thickBot="1">
      <c r="B71" s="184" t="s">
        <v>101</v>
      </c>
      <c r="C71" s="185"/>
      <c r="D71" s="143">
        <f>+SUM(D66:D70)</f>
        <v>0</v>
      </c>
      <c r="E71" s="143">
        <f t="shared" ref="E71:K71" si="14">+SUM(E66:E70)</f>
        <v>0</v>
      </c>
      <c r="F71" s="143">
        <f t="shared" si="14"/>
        <v>0</v>
      </c>
      <c r="G71" s="143">
        <f t="shared" si="14"/>
        <v>0</v>
      </c>
      <c r="H71" s="143">
        <f t="shared" si="14"/>
        <v>0</v>
      </c>
      <c r="I71" s="143">
        <f t="shared" si="14"/>
        <v>0</v>
      </c>
      <c r="J71" s="143">
        <f t="shared" si="14"/>
        <v>0</v>
      </c>
      <c r="K71" s="143">
        <f t="shared" si="14"/>
        <v>0</v>
      </c>
      <c r="L71" s="185">
        <f>+SUM(L66:L70)</f>
        <v>0</v>
      </c>
      <c r="M71" s="185">
        <f>+SUM(M66:M70)</f>
        <v>0</v>
      </c>
      <c r="N71" s="173">
        <f t="shared" si="13"/>
        <v>0</v>
      </c>
    </row>
  </sheetData>
  <sheetProtection algorithmName="SHA-512" hashValue="T6RKokMDMb0ZoU7862CuysrsiBtBFviquLbnW9TsifbWh+Bzami3xpqAhRP1u1OPzaDFfG/6ST7fl6V0ne0qIA==" saltValue="mEEuTG4maXU8wL0adQI8Ng==" spinCount="100000" sheet="1" objects="1" scenarios="1"/>
  <pageMargins left="0.70866141732283472" right="0.70866141732283472" top="0.74803149606299213" bottom="0.74803149606299213" header="0.31496062992125984" footer="0.31496062992125984"/>
  <pageSetup paperSize="9" scale="45"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13BEB-4392-4547-8EAD-3A9E010466A5}">
  <sheetPr codeName="Ark19">
    <tabColor theme="4" tint="0.59999389629810485"/>
  </sheetPr>
  <dimension ref="A4:CF78"/>
  <sheetViews>
    <sheetView zoomScale="80" zoomScaleNormal="80" workbookViewId="0">
      <selection activeCell="D5" sqref="D5"/>
    </sheetView>
  </sheetViews>
  <sheetFormatPr defaultColWidth="9" defaultRowHeight="14"/>
  <cols>
    <col min="1" max="1" width="3.58203125" customWidth="1"/>
    <col min="2" max="2" width="19.58203125" customWidth="1"/>
    <col min="3" max="3" width="1.5" customWidth="1"/>
    <col min="4" max="14" width="11.5" customWidth="1"/>
    <col min="15" max="15" width="2" customWidth="1"/>
    <col min="16" max="16" width="19.58203125" customWidth="1"/>
    <col min="17" max="17" width="1.5" customWidth="1"/>
    <col min="18" max="28" width="11.5" customWidth="1"/>
    <col min="29" max="29" width="1.5" customWidth="1"/>
    <col min="30" max="30" width="19.58203125" customWidth="1"/>
    <col min="31" max="31" width="1.5" customWidth="1"/>
    <col min="32" max="42" width="11.5" customWidth="1"/>
    <col min="43" max="43" width="1.58203125" customWidth="1"/>
    <col min="44" max="44" width="19.58203125" customWidth="1"/>
    <col min="45" max="45" width="1.5" customWidth="1"/>
    <col min="46" max="56" width="11.5" customWidth="1"/>
    <col min="57" max="57" width="2" customWidth="1"/>
    <col min="58" max="58" width="19.58203125" customWidth="1"/>
    <col min="59" max="59" width="1.5" customWidth="1"/>
    <col min="60" max="70" width="11.5" customWidth="1"/>
    <col min="71" max="71" width="2.25" customWidth="1"/>
    <col min="72" max="72" width="19.58203125" customWidth="1"/>
    <col min="73" max="73" width="1.5" customWidth="1"/>
    <col min="74" max="84" width="11.5" customWidth="1"/>
  </cols>
  <sheetData>
    <row r="4" spans="1:84">
      <c r="D4" s="8" t="s">
        <v>143</v>
      </c>
      <c r="E4" s="8" t="s">
        <v>69</v>
      </c>
    </row>
    <row r="5" spans="1:84">
      <c r="B5" s="253" t="s">
        <v>731</v>
      </c>
      <c r="C5" s="254"/>
      <c r="D5" s="68" t="s">
        <v>23</v>
      </c>
      <c r="E5" s="424">
        <f>VLOOKUP(D5,Currency!$A$2:$D$32,3,FALSE)/100</f>
        <v>7.4755999999999991</v>
      </c>
      <c r="F5" s="5" t="str">
        <f>"DKK / "&amp;$D5</f>
        <v>DKK / EUR</v>
      </c>
      <c r="G5" s="1" t="s">
        <v>1954</v>
      </c>
    </row>
    <row r="6" spans="1:84">
      <c r="B6" s="253" t="s">
        <v>1951</v>
      </c>
      <c r="C6" s="254"/>
      <c r="D6" s="279"/>
      <c r="E6" s="437"/>
      <c r="F6" s="5" t="str">
        <f>IF(D6="","","DKK / "&amp;$D6)</f>
        <v/>
      </c>
      <c r="G6" t="s">
        <v>1952</v>
      </c>
    </row>
    <row r="7" spans="1:84" ht="14.5">
      <c r="B7" s="425" t="s">
        <v>1953</v>
      </c>
      <c r="C7" s="426"/>
      <c r="D7" s="427" t="str">
        <f>IF($E6&lt;&gt;"",D6,D5)</f>
        <v>EUR</v>
      </c>
      <c r="E7" s="428">
        <f>IF($E6&lt;&gt;"",E6,E5)</f>
        <v>7.4755999999999991</v>
      </c>
      <c r="F7" s="4" t="str">
        <f>IF($E6&lt;&gt;"",F6,F5)</f>
        <v>DKK / EUR</v>
      </c>
      <c r="G7" s="440" t="str">
        <f>"Currency last updated on: "</f>
        <v xml:space="preserve">Currency last updated on: </v>
      </c>
      <c r="H7" s="440"/>
      <c r="I7" s="441">
        <f>INDEX(currencyratesxml?lang_en[LastUpdated],MATCH($D$5,currencyratesxml?lang_en[currency.code],0))</f>
        <v>46288</v>
      </c>
    </row>
    <row r="8" spans="1:84" ht="14.5" thickBot="1"/>
    <row r="9" spans="1:84" ht="18.5" thickBot="1">
      <c r="B9" s="568" t="s">
        <v>752</v>
      </c>
      <c r="C9" s="569"/>
      <c r="D9" s="569"/>
      <c r="E9" s="569"/>
      <c r="F9" s="569"/>
      <c r="G9" s="569"/>
      <c r="H9" s="569"/>
      <c r="I9" s="569"/>
      <c r="J9" s="569"/>
      <c r="K9" s="569"/>
      <c r="L9" s="569"/>
      <c r="M9" s="569"/>
      <c r="N9" s="570"/>
      <c r="P9" s="568" t="s">
        <v>753</v>
      </c>
      <c r="Q9" s="569"/>
      <c r="R9" s="569"/>
      <c r="S9" s="569"/>
      <c r="T9" s="569"/>
      <c r="U9" s="569"/>
      <c r="V9" s="569"/>
      <c r="W9" s="569"/>
      <c r="X9" s="569"/>
      <c r="Y9" s="569"/>
      <c r="Z9" s="569"/>
      <c r="AA9" s="569"/>
      <c r="AB9" s="570"/>
      <c r="AD9" s="568" t="s">
        <v>754</v>
      </c>
      <c r="AE9" s="569"/>
      <c r="AF9" s="569"/>
      <c r="AG9" s="569"/>
      <c r="AH9" s="569"/>
      <c r="AI9" s="569"/>
      <c r="AJ9" s="569"/>
      <c r="AK9" s="569"/>
      <c r="AL9" s="569"/>
      <c r="AM9" s="569"/>
      <c r="AN9" s="569"/>
      <c r="AO9" s="569"/>
      <c r="AP9" s="570"/>
      <c r="AR9" s="568" t="s">
        <v>755</v>
      </c>
      <c r="AS9" s="569"/>
      <c r="AT9" s="569"/>
      <c r="AU9" s="569"/>
      <c r="AV9" s="569"/>
      <c r="AW9" s="569"/>
      <c r="AX9" s="569"/>
      <c r="AY9" s="569"/>
      <c r="AZ9" s="569"/>
      <c r="BA9" s="569"/>
      <c r="BB9" s="569"/>
      <c r="BC9" s="569"/>
      <c r="BD9" s="570"/>
      <c r="BF9" s="568" t="s">
        <v>756</v>
      </c>
      <c r="BG9" s="569"/>
      <c r="BH9" s="569"/>
      <c r="BI9" s="569"/>
      <c r="BJ9" s="569"/>
      <c r="BK9" s="569"/>
      <c r="BL9" s="569"/>
      <c r="BM9" s="569"/>
      <c r="BN9" s="569"/>
      <c r="BO9" s="569"/>
      <c r="BP9" s="569"/>
      <c r="BQ9" s="569"/>
      <c r="BR9" s="570"/>
      <c r="BT9" s="568" t="s">
        <v>757</v>
      </c>
      <c r="BU9" s="569"/>
      <c r="BV9" s="569"/>
      <c r="BW9" s="569"/>
      <c r="BX9" s="569"/>
      <c r="BY9" s="569"/>
      <c r="BZ9" s="569"/>
      <c r="CA9" s="569"/>
      <c r="CB9" s="569"/>
      <c r="CC9" s="569"/>
      <c r="CD9" s="569"/>
      <c r="CE9" s="569"/>
      <c r="CF9" s="570"/>
    </row>
    <row r="10" spans="1:84" ht="14.5" thickBot="1"/>
    <row r="11" spans="1:84" s="5" customFormat="1" ht="20.149999999999999" customHeight="1">
      <c r="A11" s="176"/>
      <c r="B11" s="177" t="s">
        <v>101</v>
      </c>
      <c r="C11" s="121"/>
      <c r="D11" s="121"/>
      <c r="E11" s="121"/>
      <c r="F11" s="121"/>
      <c r="G11" s="121"/>
      <c r="H11" s="121"/>
      <c r="I11" s="121"/>
      <c r="J11" s="121"/>
      <c r="K11" s="121"/>
      <c r="L11" s="121"/>
      <c r="M11" s="121"/>
      <c r="N11" s="163"/>
      <c r="O11" s="178"/>
      <c r="P11" s="177" t="s">
        <v>101</v>
      </c>
      <c r="Q11" s="121"/>
      <c r="R11" s="121"/>
      <c r="S11" s="121"/>
      <c r="T11" s="121"/>
      <c r="U11" s="121"/>
      <c r="V11" s="121"/>
      <c r="W11" s="121"/>
      <c r="X11" s="121"/>
      <c r="Y11" s="121"/>
      <c r="Z11" s="121"/>
      <c r="AA11" s="121"/>
      <c r="AB11" s="163"/>
      <c r="AC11" s="168"/>
      <c r="AD11" s="177" t="s">
        <v>101</v>
      </c>
      <c r="AE11" s="121"/>
      <c r="AF11" s="121"/>
      <c r="AG11" s="121"/>
      <c r="AH11" s="121"/>
      <c r="AI11" s="121"/>
      <c r="AJ11" s="121"/>
      <c r="AK11" s="121"/>
      <c r="AL11" s="121"/>
      <c r="AM11" s="121"/>
      <c r="AN11" s="121"/>
      <c r="AO11" s="121"/>
      <c r="AP11" s="163"/>
      <c r="AR11" s="177" t="s">
        <v>101</v>
      </c>
      <c r="AS11" s="121"/>
      <c r="AT11" s="121"/>
      <c r="AU11" s="121"/>
      <c r="AV11" s="121"/>
      <c r="AW11" s="121"/>
      <c r="AX11" s="121"/>
      <c r="AY11" s="121"/>
      <c r="AZ11" s="121"/>
      <c r="BA11" s="121"/>
      <c r="BB11" s="121"/>
      <c r="BC11" s="121"/>
      <c r="BD11" s="163"/>
      <c r="BF11" s="177" t="s">
        <v>101</v>
      </c>
      <c r="BG11" s="121"/>
      <c r="BH11" s="121"/>
      <c r="BI11" s="121"/>
      <c r="BJ11" s="121"/>
      <c r="BK11" s="121"/>
      <c r="BL11" s="121"/>
      <c r="BM11" s="121"/>
      <c r="BN11" s="121"/>
      <c r="BO11" s="121"/>
      <c r="BP11" s="121"/>
      <c r="BQ11" s="121"/>
      <c r="BR11" s="163"/>
      <c r="BT11" s="177" t="s">
        <v>101</v>
      </c>
      <c r="BU11" s="121"/>
      <c r="BV11" s="121"/>
      <c r="BW11" s="121"/>
      <c r="BX11" s="121"/>
      <c r="BY11" s="121"/>
      <c r="BZ11" s="121"/>
      <c r="CA11" s="121"/>
      <c r="CB11" s="121"/>
      <c r="CC11" s="121"/>
      <c r="CD11" s="121"/>
      <c r="CE11" s="121"/>
      <c r="CF11" s="163"/>
    </row>
    <row r="12" spans="1:84">
      <c r="B12" s="152" t="str">
        <f>+$D$7</f>
        <v>EUR</v>
      </c>
      <c r="C12" s="4"/>
      <c r="D12" s="8">
        <f>Takstblad!$C$3</f>
        <v>2026</v>
      </c>
      <c r="E12" s="8">
        <f>+D12+1</f>
        <v>2027</v>
      </c>
      <c r="F12" s="8">
        <f t="shared" ref="F12:M12" si="0">+E12+1</f>
        <v>2028</v>
      </c>
      <c r="G12" s="8">
        <f t="shared" si="0"/>
        <v>2029</v>
      </c>
      <c r="H12" s="8">
        <f t="shared" si="0"/>
        <v>2030</v>
      </c>
      <c r="I12" s="8">
        <f t="shared" si="0"/>
        <v>2031</v>
      </c>
      <c r="J12" s="8">
        <f t="shared" si="0"/>
        <v>2032</v>
      </c>
      <c r="K12" s="8">
        <f t="shared" si="0"/>
        <v>2033</v>
      </c>
      <c r="L12" s="8">
        <f t="shared" si="0"/>
        <v>2034</v>
      </c>
      <c r="M12" s="8">
        <f t="shared" si="0"/>
        <v>2035</v>
      </c>
      <c r="N12" s="124" t="s">
        <v>34</v>
      </c>
      <c r="P12" s="152" t="str">
        <f>+$D$7</f>
        <v>EUR</v>
      </c>
      <c r="Q12" s="4"/>
      <c r="R12" s="8">
        <f>$D$12</f>
        <v>2026</v>
      </c>
      <c r="S12" s="8">
        <f t="shared" ref="S12:AA12" si="1">+R12+1</f>
        <v>2027</v>
      </c>
      <c r="T12" s="8">
        <f t="shared" si="1"/>
        <v>2028</v>
      </c>
      <c r="U12" s="8">
        <f t="shared" si="1"/>
        <v>2029</v>
      </c>
      <c r="V12" s="8">
        <f t="shared" si="1"/>
        <v>2030</v>
      </c>
      <c r="W12" s="8">
        <f t="shared" si="1"/>
        <v>2031</v>
      </c>
      <c r="X12" s="8">
        <f t="shared" si="1"/>
        <v>2032</v>
      </c>
      <c r="Y12" s="8">
        <f t="shared" si="1"/>
        <v>2033</v>
      </c>
      <c r="Z12" s="8">
        <f t="shared" si="1"/>
        <v>2034</v>
      </c>
      <c r="AA12" s="8">
        <f t="shared" si="1"/>
        <v>2035</v>
      </c>
      <c r="AB12" s="124" t="s">
        <v>34</v>
      </c>
      <c r="AD12" s="152" t="str">
        <f>+$D$7</f>
        <v>EUR</v>
      </c>
      <c r="AE12" s="4"/>
      <c r="AF12" s="8">
        <f>$D$12</f>
        <v>2026</v>
      </c>
      <c r="AG12" s="8">
        <f t="shared" ref="AG12:AO12" si="2">+AF12+1</f>
        <v>2027</v>
      </c>
      <c r="AH12" s="8">
        <f t="shared" si="2"/>
        <v>2028</v>
      </c>
      <c r="AI12" s="8">
        <f t="shared" si="2"/>
        <v>2029</v>
      </c>
      <c r="AJ12" s="8">
        <f t="shared" si="2"/>
        <v>2030</v>
      </c>
      <c r="AK12" s="8">
        <f t="shared" si="2"/>
        <v>2031</v>
      </c>
      <c r="AL12" s="8">
        <f t="shared" si="2"/>
        <v>2032</v>
      </c>
      <c r="AM12" s="8">
        <f t="shared" si="2"/>
        <v>2033</v>
      </c>
      <c r="AN12" s="8">
        <f t="shared" si="2"/>
        <v>2034</v>
      </c>
      <c r="AO12" s="8">
        <f t="shared" si="2"/>
        <v>2035</v>
      </c>
      <c r="AP12" s="124" t="s">
        <v>34</v>
      </c>
      <c r="AR12" s="152" t="str">
        <f>+$D$7</f>
        <v>EUR</v>
      </c>
      <c r="AS12" s="4"/>
      <c r="AT12" s="8">
        <f>$D$12</f>
        <v>2026</v>
      </c>
      <c r="AU12" s="8">
        <f t="shared" ref="AU12:BC12" si="3">+AT12+1</f>
        <v>2027</v>
      </c>
      <c r="AV12" s="8">
        <f t="shared" si="3"/>
        <v>2028</v>
      </c>
      <c r="AW12" s="8">
        <f t="shared" si="3"/>
        <v>2029</v>
      </c>
      <c r="AX12" s="8">
        <f t="shared" si="3"/>
        <v>2030</v>
      </c>
      <c r="AY12" s="8">
        <f t="shared" si="3"/>
        <v>2031</v>
      </c>
      <c r="AZ12" s="8">
        <f t="shared" si="3"/>
        <v>2032</v>
      </c>
      <c r="BA12" s="8">
        <f t="shared" si="3"/>
        <v>2033</v>
      </c>
      <c r="BB12" s="8">
        <f t="shared" si="3"/>
        <v>2034</v>
      </c>
      <c r="BC12" s="8">
        <f t="shared" si="3"/>
        <v>2035</v>
      </c>
      <c r="BD12" s="124" t="s">
        <v>34</v>
      </c>
      <c r="BF12" s="152" t="str">
        <f>+$D$7</f>
        <v>EUR</v>
      </c>
      <c r="BG12" s="4"/>
      <c r="BH12" s="8">
        <f>$D$12</f>
        <v>2026</v>
      </c>
      <c r="BI12" s="8">
        <f t="shared" ref="BI12:BQ12" si="4">+BH12+1</f>
        <v>2027</v>
      </c>
      <c r="BJ12" s="8">
        <f t="shared" si="4"/>
        <v>2028</v>
      </c>
      <c r="BK12" s="8">
        <f t="shared" si="4"/>
        <v>2029</v>
      </c>
      <c r="BL12" s="8">
        <f t="shared" si="4"/>
        <v>2030</v>
      </c>
      <c r="BM12" s="8">
        <f t="shared" si="4"/>
        <v>2031</v>
      </c>
      <c r="BN12" s="8">
        <f t="shared" si="4"/>
        <v>2032</v>
      </c>
      <c r="BO12" s="8">
        <f t="shared" si="4"/>
        <v>2033</v>
      </c>
      <c r="BP12" s="8">
        <f t="shared" si="4"/>
        <v>2034</v>
      </c>
      <c r="BQ12" s="8">
        <f t="shared" si="4"/>
        <v>2035</v>
      </c>
      <c r="BR12" s="124" t="s">
        <v>34</v>
      </c>
      <c r="BT12" s="152" t="str">
        <f>+$D$7</f>
        <v>EUR</v>
      </c>
      <c r="BU12" s="4"/>
      <c r="BV12" s="8">
        <f>$D$12</f>
        <v>2026</v>
      </c>
      <c r="BW12" s="8">
        <f t="shared" ref="BW12:CE12" si="5">+BV12+1</f>
        <v>2027</v>
      </c>
      <c r="BX12" s="8">
        <f t="shared" si="5"/>
        <v>2028</v>
      </c>
      <c r="BY12" s="8">
        <f t="shared" si="5"/>
        <v>2029</v>
      </c>
      <c r="BZ12" s="8">
        <f t="shared" si="5"/>
        <v>2030</v>
      </c>
      <c r="CA12" s="8">
        <f t="shared" si="5"/>
        <v>2031</v>
      </c>
      <c r="CB12" s="8">
        <f t="shared" si="5"/>
        <v>2032</v>
      </c>
      <c r="CC12" s="8">
        <f t="shared" si="5"/>
        <v>2033</v>
      </c>
      <c r="CD12" s="8">
        <f t="shared" si="5"/>
        <v>2034</v>
      </c>
      <c r="CE12" s="8">
        <f t="shared" si="5"/>
        <v>2035</v>
      </c>
      <c r="CF12" s="124" t="s">
        <v>34</v>
      </c>
    </row>
    <row r="13" spans="1:84">
      <c r="B13" s="180" t="s">
        <v>74</v>
      </c>
      <c r="C13" s="111"/>
      <c r="D13" s="28">
        <f>IFERROR(Total!D6/$E$7,0)</f>
        <v>0</v>
      </c>
      <c r="E13" s="28">
        <f>IFERROR(Total!E6/$E$7,0)</f>
        <v>0</v>
      </c>
      <c r="F13" s="28">
        <f>IFERROR(Total!F6/$E$7,0)</f>
        <v>0</v>
      </c>
      <c r="G13" s="28">
        <f>IFERROR(Total!G6/$E$7,0)</f>
        <v>0</v>
      </c>
      <c r="H13" s="28">
        <f>IFERROR(Total!H6/$E$7,0)</f>
        <v>0</v>
      </c>
      <c r="I13" s="28">
        <f>IFERROR(Total!I6/$E$7,0)</f>
        <v>0</v>
      </c>
      <c r="J13" s="28">
        <f>IFERROR(Total!J6/$E$7,0)</f>
        <v>0</v>
      </c>
      <c r="K13" s="28">
        <f>IFERROR(Total!K6/$E$7,0)</f>
        <v>0</v>
      </c>
      <c r="L13" s="28">
        <f>IFERROR(Total!L6/$E$7,0)</f>
        <v>0</v>
      </c>
      <c r="M13" s="28">
        <f>IFERROR(Total!M6/$E$7,0)</f>
        <v>0</v>
      </c>
      <c r="N13" s="164">
        <f>SUM(D13:M13)</f>
        <v>0</v>
      </c>
      <c r="P13" s="180" t="s">
        <v>74</v>
      </c>
      <c r="Q13" s="111"/>
      <c r="R13" s="28">
        <f>IFERROR(('B1'!S64/$E$7),0)</f>
        <v>0</v>
      </c>
      <c r="S13" s="28">
        <f>IFERROR(('B1'!T64/$E$7),0)</f>
        <v>0</v>
      </c>
      <c r="T13" s="28">
        <f>IFERROR(('B1'!U64/$E$7),0)</f>
        <v>0</v>
      </c>
      <c r="U13" s="28">
        <f>IFERROR(('B1'!V64/$E$7),0)</f>
        <v>0</v>
      </c>
      <c r="V13" s="28">
        <f>IFERROR(('B1'!W64/$E$7),0)</f>
        <v>0</v>
      </c>
      <c r="W13" s="28">
        <f>IFERROR(('B1'!X64/$E$7),0)</f>
        <v>0</v>
      </c>
      <c r="X13" s="28">
        <f>IFERROR(('B1'!Y64/$E$7),0)</f>
        <v>0</v>
      </c>
      <c r="Y13" s="28">
        <f>IFERROR(('B1'!Z64/$E$7),0)</f>
        <v>0</v>
      </c>
      <c r="Z13" s="28">
        <f>IFERROR(('B1'!AA64/$E$7),0)</f>
        <v>0</v>
      </c>
      <c r="AA13" s="28">
        <f>IFERROR(('B1'!AB64/$E$7),0)</f>
        <v>0</v>
      </c>
      <c r="AB13" s="164">
        <f>SUM(R13:AA13)</f>
        <v>0</v>
      </c>
      <c r="AD13" s="180" t="s">
        <v>74</v>
      </c>
      <c r="AE13" s="111"/>
      <c r="AF13" s="28">
        <f>IFERROR(('B2'!S64/$E$7),0)</f>
        <v>0</v>
      </c>
      <c r="AG13" s="28">
        <f>IFERROR(('B2'!T64/$E$7),0)</f>
        <v>0</v>
      </c>
      <c r="AH13" s="28">
        <f>IFERROR(('B2'!U64/$E$7),0)</f>
        <v>0</v>
      </c>
      <c r="AI13" s="28">
        <f>IFERROR(('B2'!V64/$E$7),0)</f>
        <v>0</v>
      </c>
      <c r="AJ13" s="28">
        <f>IFERROR(('B2'!W64/$E$7),0)</f>
        <v>0</v>
      </c>
      <c r="AK13" s="28">
        <f>IFERROR(('B2'!X64/$E$7),0)</f>
        <v>0</v>
      </c>
      <c r="AL13" s="28">
        <f>IFERROR(('B2'!Y64/$E$7),0)</f>
        <v>0</v>
      </c>
      <c r="AM13" s="28">
        <f>IFERROR(('B2'!Z64/$E$7),0)</f>
        <v>0</v>
      </c>
      <c r="AN13" s="28">
        <f>IFERROR(('B2'!AA64/$E$7),0)</f>
        <v>0</v>
      </c>
      <c r="AO13" s="28">
        <f>IFERROR(('B2'!AB64/$E$7),0)</f>
        <v>0</v>
      </c>
      <c r="AP13" s="164">
        <f>SUM(AF13:AO13)</f>
        <v>0</v>
      </c>
      <c r="AR13" s="180" t="s">
        <v>74</v>
      </c>
      <c r="AS13" s="111"/>
      <c r="AT13" s="28">
        <f>IFERROR(('B3'!S64/$E$7),0)</f>
        <v>0</v>
      </c>
      <c r="AU13" s="28">
        <f>IFERROR(('B3'!T64/$E$7),0)</f>
        <v>0</v>
      </c>
      <c r="AV13" s="28">
        <f>IFERROR(('B3'!U64/$E$7),0)</f>
        <v>0</v>
      </c>
      <c r="AW13" s="28">
        <f>IFERROR(('B3'!V64/$E$7),0)</f>
        <v>0</v>
      </c>
      <c r="AX13" s="28">
        <f>IFERROR(('B3'!W64/$E$7),0)</f>
        <v>0</v>
      </c>
      <c r="AY13" s="28">
        <f>IFERROR(('B3'!X64/$E$7),0)</f>
        <v>0</v>
      </c>
      <c r="AZ13" s="28">
        <f>IFERROR(('B3'!Y64/$E$7),0)</f>
        <v>0</v>
      </c>
      <c r="BA13" s="28">
        <f>IFERROR(('B3'!Z64/$E$7),0)</f>
        <v>0</v>
      </c>
      <c r="BB13" s="28">
        <f>IFERROR(('B3'!AA64/$E$7),0)</f>
        <v>0</v>
      </c>
      <c r="BC13" s="28">
        <f>IFERROR(('B3'!AB64/$E$7),0)</f>
        <v>0</v>
      </c>
      <c r="BD13" s="164">
        <f>SUM(AT13:BC13)</f>
        <v>0</v>
      </c>
      <c r="BF13" s="180" t="s">
        <v>74</v>
      </c>
      <c r="BG13" s="111"/>
      <c r="BH13" s="28">
        <f>IFERROR(('B4'!S64/$E$7),0)</f>
        <v>0</v>
      </c>
      <c r="BI13" s="28">
        <f>IFERROR(('B4'!T64/$E$7),0)</f>
        <v>0</v>
      </c>
      <c r="BJ13" s="28">
        <f>IFERROR(('B4'!U64/$E$7),0)</f>
        <v>0</v>
      </c>
      <c r="BK13" s="28">
        <f>IFERROR(('B4'!V64/$E$7),0)</f>
        <v>0</v>
      </c>
      <c r="BL13" s="28">
        <f>IFERROR(('B4'!W64/$E$7),0)</f>
        <v>0</v>
      </c>
      <c r="BM13" s="28">
        <f>IFERROR(('B4'!X64/$E$7),0)</f>
        <v>0</v>
      </c>
      <c r="BN13" s="28">
        <f>IFERROR(('B4'!Y64/$E$7),0)</f>
        <v>0</v>
      </c>
      <c r="BO13" s="28">
        <f>IFERROR(('B4'!Z64/$E$7),0)</f>
        <v>0</v>
      </c>
      <c r="BP13" s="28">
        <f>IFERROR(('B4'!AA64/$E$7),0)</f>
        <v>0</v>
      </c>
      <c r="BQ13" s="28">
        <f>IFERROR(('B4'!AB64/$E$7),0)</f>
        <v>0</v>
      </c>
      <c r="BR13" s="164">
        <f>SUM(BH13:BQ13)</f>
        <v>0</v>
      </c>
      <c r="BT13" s="180" t="s">
        <v>74</v>
      </c>
      <c r="BU13" s="111"/>
      <c r="BV13" s="28">
        <f>IFERROR(('B5'!S64/$E$7),0)</f>
        <v>0</v>
      </c>
      <c r="BW13" s="28">
        <f>IFERROR(('B5'!T64/$E$7),0)</f>
        <v>0</v>
      </c>
      <c r="BX13" s="28">
        <f>IFERROR(('B5'!U64/$E$7),0)</f>
        <v>0</v>
      </c>
      <c r="BY13" s="28">
        <f>IFERROR(('B5'!V64/$E$7),0)</f>
        <v>0</v>
      </c>
      <c r="BZ13" s="28">
        <f>IFERROR(('B5'!W64/$E$7),0)</f>
        <v>0</v>
      </c>
      <c r="CA13" s="28">
        <f>IFERROR(('B5'!X64/$E$7),0)</f>
        <v>0</v>
      </c>
      <c r="CB13" s="28">
        <f>IFERROR(('B5'!Y64/$E$7),0)</f>
        <v>0</v>
      </c>
      <c r="CC13" s="28">
        <f>IFERROR(('B5'!Z64/$E$7),0)</f>
        <v>0</v>
      </c>
      <c r="CD13" s="28">
        <f>IFERROR(('B5'!AA64/$E$7),0)</f>
        <v>0</v>
      </c>
      <c r="CE13" s="28">
        <f>IFERROR(('B5'!AB64/$E$7),0)</f>
        <v>0</v>
      </c>
      <c r="CF13" s="164">
        <f>SUM(BV13:CE13)</f>
        <v>0</v>
      </c>
    </row>
    <row r="14" spans="1:84">
      <c r="B14" s="152" t="s">
        <v>75</v>
      </c>
      <c r="C14" s="112"/>
      <c r="D14" s="113">
        <f>IFERROR(Total!D7/$E$7,0)</f>
        <v>0</v>
      </c>
      <c r="E14" s="113">
        <f>IFERROR(Total!E7/$E$7,0)</f>
        <v>0</v>
      </c>
      <c r="F14" s="113">
        <f>IFERROR(Total!F7/$E$7,0)</f>
        <v>0</v>
      </c>
      <c r="G14" s="113">
        <f>IFERROR(Total!G7/$E$7,0)</f>
        <v>0</v>
      </c>
      <c r="H14" s="113">
        <f>IFERROR(Total!H7/$E$7,0)</f>
        <v>0</v>
      </c>
      <c r="I14" s="113">
        <f>IFERROR(Total!I7/$E$7,0)</f>
        <v>0</v>
      </c>
      <c r="J14" s="113">
        <f>IFERROR(Total!J7/$E$7,0)</f>
        <v>0</v>
      </c>
      <c r="K14" s="113">
        <f>IFERROR(Total!K7/$E$7,0)</f>
        <v>0</v>
      </c>
      <c r="L14" s="113">
        <f>IFERROR(Total!L7/$E$7,0)</f>
        <v>0</v>
      </c>
      <c r="M14" s="113">
        <f>IFERROR(Total!M7/$E$7,0)</f>
        <v>0</v>
      </c>
      <c r="N14" s="165">
        <f t="shared" ref="N14:N22" si="6">SUM(D14:M14)</f>
        <v>0</v>
      </c>
      <c r="P14" s="152" t="s">
        <v>75</v>
      </c>
      <c r="Q14" s="112"/>
      <c r="R14" s="113">
        <f>IFERROR(('B1'!S65/$E$7),0)</f>
        <v>0</v>
      </c>
      <c r="S14" s="113">
        <f>IFERROR(('B1'!T65/$E$7),0)</f>
        <v>0</v>
      </c>
      <c r="T14" s="113">
        <f>IFERROR(('B1'!U65/$E$7),0)</f>
        <v>0</v>
      </c>
      <c r="U14" s="113">
        <f>IFERROR(('B1'!V65/$E$7),0)</f>
        <v>0</v>
      </c>
      <c r="V14" s="113">
        <f>IFERROR(('B1'!W65/$E$7),0)</f>
        <v>0</v>
      </c>
      <c r="W14" s="113">
        <f>IFERROR(('B1'!X65/$E$7),0)</f>
        <v>0</v>
      </c>
      <c r="X14" s="113">
        <f>IFERROR(('B1'!Y65/$E$7),0)</f>
        <v>0</v>
      </c>
      <c r="Y14" s="113">
        <f>IFERROR(('B1'!Z65/$E$7),0)</f>
        <v>0</v>
      </c>
      <c r="Z14" s="113">
        <f>IFERROR(('B1'!AA65/$E$7),0)</f>
        <v>0</v>
      </c>
      <c r="AA14" s="113">
        <f>IFERROR(('B1'!AB65/$E$7),0)</f>
        <v>0</v>
      </c>
      <c r="AB14" s="165">
        <f t="shared" ref="AB14:AB22" si="7">SUM(R14:AA14)</f>
        <v>0</v>
      </c>
      <c r="AD14" s="152" t="s">
        <v>75</v>
      </c>
      <c r="AE14" s="112"/>
      <c r="AF14" s="113">
        <f>IFERROR(('B2'!S65/$E$7),0)</f>
        <v>0</v>
      </c>
      <c r="AG14" s="113">
        <f>IFERROR(('B2'!T65/$E$7),0)</f>
        <v>0</v>
      </c>
      <c r="AH14" s="113">
        <f>IFERROR(('B2'!U65/$E$7),0)</f>
        <v>0</v>
      </c>
      <c r="AI14" s="113">
        <f>IFERROR(('B2'!V65/$E$7),0)</f>
        <v>0</v>
      </c>
      <c r="AJ14" s="113">
        <f>IFERROR(('B2'!W65/$E$7),0)</f>
        <v>0</v>
      </c>
      <c r="AK14" s="113">
        <f>IFERROR(('B2'!X65/$E$7),0)</f>
        <v>0</v>
      </c>
      <c r="AL14" s="113">
        <f>IFERROR(('B2'!Y65/$E$7),0)</f>
        <v>0</v>
      </c>
      <c r="AM14" s="113">
        <f>IFERROR(('B2'!Z65/$E$7),0)</f>
        <v>0</v>
      </c>
      <c r="AN14" s="113">
        <f>IFERROR(('B2'!AA65/$E$7),0)</f>
        <v>0</v>
      </c>
      <c r="AO14" s="113">
        <f>IFERROR(('B2'!AB65/$E$7),0)</f>
        <v>0</v>
      </c>
      <c r="AP14" s="165">
        <f t="shared" ref="AP14:AP22" si="8">SUM(AF14:AO14)</f>
        <v>0</v>
      </c>
      <c r="AR14" s="152" t="s">
        <v>75</v>
      </c>
      <c r="AS14" s="112"/>
      <c r="AT14" s="113">
        <f>IFERROR(('B3'!S65/$E$7),0)</f>
        <v>0</v>
      </c>
      <c r="AU14" s="113">
        <f>IFERROR(('B3'!T65/$E$7),0)</f>
        <v>0</v>
      </c>
      <c r="AV14" s="113">
        <f>IFERROR(('B3'!U65/$E$7),0)</f>
        <v>0</v>
      </c>
      <c r="AW14" s="113">
        <f>IFERROR(('B3'!V65/$E$7),0)</f>
        <v>0</v>
      </c>
      <c r="AX14" s="113">
        <f>IFERROR(('B3'!W65/$E$7),0)</f>
        <v>0</v>
      </c>
      <c r="AY14" s="113">
        <f>IFERROR(('B3'!X65/$E$7),0)</f>
        <v>0</v>
      </c>
      <c r="AZ14" s="113">
        <f>IFERROR(('B3'!Y65/$E$7),0)</f>
        <v>0</v>
      </c>
      <c r="BA14" s="113">
        <f>IFERROR(('B3'!Z65/$E$7),0)</f>
        <v>0</v>
      </c>
      <c r="BB14" s="113">
        <f>IFERROR(('B3'!AA65/$E$7),0)</f>
        <v>0</v>
      </c>
      <c r="BC14" s="113">
        <f>IFERROR(('B3'!AB65/$E$7),0)</f>
        <v>0</v>
      </c>
      <c r="BD14" s="165">
        <f t="shared" ref="BD14:BD22" si="9">SUM(AT14:BC14)</f>
        <v>0</v>
      </c>
      <c r="BF14" s="152" t="s">
        <v>75</v>
      </c>
      <c r="BG14" s="112"/>
      <c r="BH14" s="113">
        <f>IFERROR(('B4'!S65/$E$7),0)</f>
        <v>0</v>
      </c>
      <c r="BI14" s="113">
        <f>IFERROR(('B4'!T65/$E$7),0)</f>
        <v>0</v>
      </c>
      <c r="BJ14" s="113">
        <f>IFERROR(('B4'!U65/$E$7),0)</f>
        <v>0</v>
      </c>
      <c r="BK14" s="113">
        <f>IFERROR(('B4'!V65/$E$7),0)</f>
        <v>0</v>
      </c>
      <c r="BL14" s="113">
        <f>IFERROR(('B4'!W65/$E$7),0)</f>
        <v>0</v>
      </c>
      <c r="BM14" s="113">
        <f>IFERROR(('B4'!X65/$E$7),0)</f>
        <v>0</v>
      </c>
      <c r="BN14" s="113">
        <f>IFERROR(('B4'!Y65/$E$7),0)</f>
        <v>0</v>
      </c>
      <c r="BO14" s="113">
        <f>IFERROR(('B4'!Z65/$E$7),0)</f>
        <v>0</v>
      </c>
      <c r="BP14" s="113">
        <f>IFERROR(('B4'!AA65/$E$7),0)</f>
        <v>0</v>
      </c>
      <c r="BQ14" s="113">
        <f>IFERROR(('B4'!AB65/$E$7),0)</f>
        <v>0</v>
      </c>
      <c r="BR14" s="165">
        <f t="shared" ref="BR14:BR22" si="10">SUM(BH14:BQ14)</f>
        <v>0</v>
      </c>
      <c r="BT14" s="152" t="s">
        <v>75</v>
      </c>
      <c r="BU14" s="112"/>
      <c r="BV14" s="113">
        <f>IFERROR(('B5'!S65/$E$7),0)</f>
        <v>0</v>
      </c>
      <c r="BW14" s="113">
        <f>IFERROR(('B5'!T65/$E$7),0)</f>
        <v>0</v>
      </c>
      <c r="BX14" s="113">
        <f>IFERROR(('B5'!U65/$E$7),0)</f>
        <v>0</v>
      </c>
      <c r="BY14" s="113">
        <f>IFERROR(('B5'!V65/$E$7),0)</f>
        <v>0</v>
      </c>
      <c r="BZ14" s="113">
        <f>IFERROR(('B5'!W65/$E$7),0)</f>
        <v>0</v>
      </c>
      <c r="CA14" s="113">
        <f>IFERROR(('B5'!X65/$E$7),0)</f>
        <v>0</v>
      </c>
      <c r="CB14" s="113">
        <f>IFERROR(('B5'!Y65/$E$7),0)</f>
        <v>0</v>
      </c>
      <c r="CC14" s="113">
        <f>IFERROR(('B5'!Z65/$E$7),0)</f>
        <v>0</v>
      </c>
      <c r="CD14" s="113">
        <f>IFERROR(('B5'!AA65/$E$7),0)</f>
        <v>0</v>
      </c>
      <c r="CE14" s="113">
        <f>IFERROR(('B5'!AB65/$E$7),0)</f>
        <v>0</v>
      </c>
      <c r="CF14" s="165">
        <f t="shared" ref="CF14:CF22" si="11">SUM(BV14:CE14)</f>
        <v>0</v>
      </c>
    </row>
    <row r="15" spans="1:84">
      <c r="B15" s="181" t="s">
        <v>76</v>
      </c>
      <c r="C15" s="142"/>
      <c r="D15" s="137">
        <f>IFERROR(Total!D8/$E$7,0)</f>
        <v>0</v>
      </c>
      <c r="E15" s="137">
        <f>IFERROR(Total!E8/$E$7,0)</f>
        <v>0</v>
      </c>
      <c r="F15" s="137">
        <f>IFERROR(Total!F8/$E$7,0)</f>
        <v>0</v>
      </c>
      <c r="G15" s="137">
        <f>IFERROR(Total!G8/$E$7,0)</f>
        <v>0</v>
      </c>
      <c r="H15" s="137">
        <f>IFERROR(Total!H8/$E$7,0)</f>
        <v>0</v>
      </c>
      <c r="I15" s="137">
        <f>IFERROR(Total!I8/$E$7,0)</f>
        <v>0</v>
      </c>
      <c r="J15" s="137">
        <f>IFERROR(Total!J8/$E$7,0)</f>
        <v>0</v>
      </c>
      <c r="K15" s="137">
        <f>IFERROR(Total!K8/$E$7,0)</f>
        <v>0</v>
      </c>
      <c r="L15" s="137">
        <f>IFERROR(Total!L8/$E$7,0)</f>
        <v>0</v>
      </c>
      <c r="M15" s="137">
        <f>IFERROR(Total!M8/$E$7,0)</f>
        <v>0</v>
      </c>
      <c r="N15" s="166">
        <f t="shared" si="6"/>
        <v>0</v>
      </c>
      <c r="P15" s="181" t="s">
        <v>76</v>
      </c>
      <c r="Q15" s="142"/>
      <c r="R15" s="137">
        <f>IFERROR(('B1'!S66/$E$7),0)</f>
        <v>0</v>
      </c>
      <c r="S15" s="137">
        <f>IFERROR(('B1'!T66/$E$7),0)</f>
        <v>0</v>
      </c>
      <c r="T15" s="137">
        <f>IFERROR(('B1'!U66/$E$7),0)</f>
        <v>0</v>
      </c>
      <c r="U15" s="137">
        <f>IFERROR(('B1'!V66/$E$7),0)</f>
        <v>0</v>
      </c>
      <c r="V15" s="137">
        <f>IFERROR(('B1'!W66/$E$7),0)</f>
        <v>0</v>
      </c>
      <c r="W15" s="137">
        <f>IFERROR(('B1'!X66/$E$7),0)</f>
        <v>0</v>
      </c>
      <c r="X15" s="137">
        <f>IFERROR(('B1'!Y66/$E$7),0)</f>
        <v>0</v>
      </c>
      <c r="Y15" s="137">
        <f>IFERROR(('B1'!Z66/$E$7),0)</f>
        <v>0</v>
      </c>
      <c r="Z15" s="137">
        <f>IFERROR(('B1'!AA66/$E$7),0)</f>
        <v>0</v>
      </c>
      <c r="AA15" s="137">
        <f>IFERROR(('B1'!AB66/$E$7),0)</f>
        <v>0</v>
      </c>
      <c r="AB15" s="166">
        <f t="shared" si="7"/>
        <v>0</v>
      </c>
      <c r="AD15" s="181" t="s">
        <v>76</v>
      </c>
      <c r="AE15" s="142"/>
      <c r="AF15" s="137">
        <f>IFERROR(('B2'!S66/$E$7),0)</f>
        <v>0</v>
      </c>
      <c r="AG15" s="137">
        <f>IFERROR(('B2'!T66/$E$7),0)</f>
        <v>0</v>
      </c>
      <c r="AH15" s="137">
        <f>IFERROR(('B2'!U66/$E$7),0)</f>
        <v>0</v>
      </c>
      <c r="AI15" s="137">
        <f>IFERROR(('B2'!V66/$E$7),0)</f>
        <v>0</v>
      </c>
      <c r="AJ15" s="137">
        <f>IFERROR(('B2'!W66/$E$7),0)</f>
        <v>0</v>
      </c>
      <c r="AK15" s="137">
        <f>IFERROR(('B2'!X66/$E$7),0)</f>
        <v>0</v>
      </c>
      <c r="AL15" s="137">
        <f>IFERROR(('B2'!Y66/$E$7),0)</f>
        <v>0</v>
      </c>
      <c r="AM15" s="137">
        <f>IFERROR(('B2'!Z66/$E$7),0)</f>
        <v>0</v>
      </c>
      <c r="AN15" s="137">
        <f>IFERROR(('B2'!AA66/$E$7),0)</f>
        <v>0</v>
      </c>
      <c r="AO15" s="137">
        <f>IFERROR(('B2'!AB66/$E$7),0)</f>
        <v>0</v>
      </c>
      <c r="AP15" s="166">
        <f t="shared" si="8"/>
        <v>0</v>
      </c>
      <c r="AR15" s="181" t="s">
        <v>76</v>
      </c>
      <c r="AS15" s="142"/>
      <c r="AT15" s="137">
        <f>IFERROR(('B3'!S66/$E$7),0)</f>
        <v>0</v>
      </c>
      <c r="AU15" s="137">
        <f>IFERROR(('B3'!T66/$E$7),0)</f>
        <v>0</v>
      </c>
      <c r="AV15" s="137">
        <f>IFERROR(('B3'!U66/$E$7),0)</f>
        <v>0</v>
      </c>
      <c r="AW15" s="137">
        <f>IFERROR(('B3'!V66/$E$7),0)</f>
        <v>0</v>
      </c>
      <c r="AX15" s="137">
        <f>IFERROR(('B3'!W66/$E$7),0)</f>
        <v>0</v>
      </c>
      <c r="AY15" s="137">
        <f>IFERROR(('B3'!X66/$E$7),0)</f>
        <v>0</v>
      </c>
      <c r="AZ15" s="137">
        <f>IFERROR(('B3'!Y66/$E$7),0)</f>
        <v>0</v>
      </c>
      <c r="BA15" s="137">
        <f>IFERROR(('B3'!Z66/$E$7),0)</f>
        <v>0</v>
      </c>
      <c r="BB15" s="137">
        <f>IFERROR(('B3'!AA66/$E$7),0)</f>
        <v>0</v>
      </c>
      <c r="BC15" s="137">
        <f>IFERROR(('B3'!AB66/$E$7),0)</f>
        <v>0</v>
      </c>
      <c r="BD15" s="166">
        <f t="shared" si="9"/>
        <v>0</v>
      </c>
      <c r="BF15" s="181" t="s">
        <v>76</v>
      </c>
      <c r="BG15" s="142"/>
      <c r="BH15" s="137">
        <f>IFERROR(('B4'!S66/$E$7),0)</f>
        <v>0</v>
      </c>
      <c r="BI15" s="137">
        <f>IFERROR(('B4'!T66/$E$7),0)</f>
        <v>0</v>
      </c>
      <c r="BJ15" s="137">
        <f>IFERROR(('B4'!U66/$E$7),0)</f>
        <v>0</v>
      </c>
      <c r="BK15" s="137">
        <f>IFERROR(('B4'!V66/$E$7),0)</f>
        <v>0</v>
      </c>
      <c r="BL15" s="137">
        <f>IFERROR(('B4'!W66/$E$7),0)</f>
        <v>0</v>
      </c>
      <c r="BM15" s="137">
        <f>IFERROR(('B4'!X66/$E$7),0)</f>
        <v>0</v>
      </c>
      <c r="BN15" s="137">
        <f>IFERROR(('B4'!Y66/$E$7),0)</f>
        <v>0</v>
      </c>
      <c r="BO15" s="137">
        <f>IFERROR(('B4'!Z66/$E$7),0)</f>
        <v>0</v>
      </c>
      <c r="BP15" s="137">
        <f>IFERROR(('B4'!AA66/$E$7),0)</f>
        <v>0</v>
      </c>
      <c r="BQ15" s="137">
        <f>IFERROR(('B4'!AB66/$E$7),0)</f>
        <v>0</v>
      </c>
      <c r="BR15" s="166">
        <f t="shared" si="10"/>
        <v>0</v>
      </c>
      <c r="BT15" s="181" t="s">
        <v>76</v>
      </c>
      <c r="BU15" s="142"/>
      <c r="BV15" s="137">
        <f>IFERROR(('B5'!S66/$E$7),0)</f>
        <v>0</v>
      </c>
      <c r="BW15" s="137">
        <f>IFERROR(('B5'!T66/$E$7),0)</f>
        <v>0</v>
      </c>
      <c r="BX15" s="137">
        <f>IFERROR(('B5'!U66/$E$7),0)</f>
        <v>0</v>
      </c>
      <c r="BY15" s="137">
        <f>IFERROR(('B5'!V66/$E$7),0)</f>
        <v>0</v>
      </c>
      <c r="BZ15" s="137">
        <f>IFERROR(('B5'!W66/$E$7),0)</f>
        <v>0</v>
      </c>
      <c r="CA15" s="137">
        <f>IFERROR(('B5'!X66/$E$7),0)</f>
        <v>0</v>
      </c>
      <c r="CB15" s="137">
        <f>IFERROR(('B5'!Y66/$E$7),0)</f>
        <v>0</v>
      </c>
      <c r="CC15" s="137">
        <f>IFERROR(('B5'!Z66/$E$7),0)</f>
        <v>0</v>
      </c>
      <c r="CD15" s="137">
        <f>IFERROR(('B5'!AA66/$E$7),0)</f>
        <v>0</v>
      </c>
      <c r="CE15" s="137">
        <f>IFERROR(('B5'!AB66/$E$7),0)</f>
        <v>0</v>
      </c>
      <c r="CF15" s="166">
        <f t="shared" si="11"/>
        <v>0</v>
      </c>
    </row>
    <row r="16" spans="1:84">
      <c r="B16" s="181" t="s">
        <v>77</v>
      </c>
      <c r="C16" s="142"/>
      <c r="D16" s="137">
        <f>IFERROR(Total!D9/$E$7,0)</f>
        <v>0</v>
      </c>
      <c r="E16" s="137">
        <f>IFERROR(Total!E9/$E$7,0)</f>
        <v>0</v>
      </c>
      <c r="F16" s="137">
        <f>IFERROR(Total!F9/$E$7,0)</f>
        <v>0</v>
      </c>
      <c r="G16" s="137">
        <f>IFERROR(Total!G9/$E$7,0)</f>
        <v>0</v>
      </c>
      <c r="H16" s="137">
        <f>IFERROR(Total!H9/$E$7,0)</f>
        <v>0</v>
      </c>
      <c r="I16" s="137">
        <f>IFERROR(Total!I9/$E$7,0)</f>
        <v>0</v>
      </c>
      <c r="J16" s="137">
        <f>IFERROR(Total!J9/$E$7,0)</f>
        <v>0</v>
      </c>
      <c r="K16" s="137">
        <f>IFERROR(Total!K9/$E$7,0)</f>
        <v>0</v>
      </c>
      <c r="L16" s="137">
        <f>IFERROR(Total!L9/$E$7,0)</f>
        <v>0</v>
      </c>
      <c r="M16" s="137">
        <f>IFERROR(Total!M9/$E$7,0)</f>
        <v>0</v>
      </c>
      <c r="N16" s="166">
        <f t="shared" si="6"/>
        <v>0</v>
      </c>
      <c r="P16" s="181" t="s">
        <v>77</v>
      </c>
      <c r="Q16" s="142"/>
      <c r="R16" s="137">
        <f>IFERROR(('B1'!S67/$E$7),0)</f>
        <v>0</v>
      </c>
      <c r="S16" s="137">
        <f>IFERROR(('B1'!T67/$E$7),0)</f>
        <v>0</v>
      </c>
      <c r="T16" s="137">
        <f>IFERROR(('B1'!U67/$E$7),0)</f>
        <v>0</v>
      </c>
      <c r="U16" s="137">
        <f>IFERROR(('B1'!V67/$E$7),0)</f>
        <v>0</v>
      </c>
      <c r="V16" s="137">
        <f>IFERROR(('B1'!W67/$E$7),0)</f>
        <v>0</v>
      </c>
      <c r="W16" s="137">
        <f>IFERROR(('B1'!X67/$E$7),0)</f>
        <v>0</v>
      </c>
      <c r="X16" s="137">
        <f>IFERROR(('B1'!Y67/$E$7),0)</f>
        <v>0</v>
      </c>
      <c r="Y16" s="137">
        <f>IFERROR(('B1'!Z67/$E$7),0)</f>
        <v>0</v>
      </c>
      <c r="Z16" s="137">
        <f>IFERROR(('B1'!AA67/$E$7),0)</f>
        <v>0</v>
      </c>
      <c r="AA16" s="137">
        <f>IFERROR(('B1'!AB67/$E$7),0)</f>
        <v>0</v>
      </c>
      <c r="AB16" s="166">
        <f t="shared" si="7"/>
        <v>0</v>
      </c>
      <c r="AD16" s="181" t="s">
        <v>77</v>
      </c>
      <c r="AE16" s="142"/>
      <c r="AF16" s="137">
        <f>IFERROR(('B2'!S67/$E$7),0)</f>
        <v>0</v>
      </c>
      <c r="AG16" s="137">
        <f>IFERROR(('B2'!T67/$E$7),0)</f>
        <v>0</v>
      </c>
      <c r="AH16" s="137">
        <f>IFERROR(('B2'!U67/$E$7),0)</f>
        <v>0</v>
      </c>
      <c r="AI16" s="137">
        <f>IFERROR(('B2'!V67/$E$7),0)</f>
        <v>0</v>
      </c>
      <c r="AJ16" s="137">
        <f>IFERROR(('B2'!W67/$E$7),0)</f>
        <v>0</v>
      </c>
      <c r="AK16" s="137">
        <f>IFERROR(('B2'!X67/$E$7),0)</f>
        <v>0</v>
      </c>
      <c r="AL16" s="137">
        <f>IFERROR(('B2'!Y67/$E$7),0)</f>
        <v>0</v>
      </c>
      <c r="AM16" s="137">
        <f>IFERROR(('B2'!Z67/$E$7),0)</f>
        <v>0</v>
      </c>
      <c r="AN16" s="137">
        <f>IFERROR(('B2'!AA67/$E$7),0)</f>
        <v>0</v>
      </c>
      <c r="AO16" s="137">
        <f>IFERROR(('B2'!AB67/$E$7),0)</f>
        <v>0</v>
      </c>
      <c r="AP16" s="166">
        <f t="shared" si="8"/>
        <v>0</v>
      </c>
      <c r="AR16" s="181" t="s">
        <v>77</v>
      </c>
      <c r="AS16" s="142"/>
      <c r="AT16" s="137">
        <f>IFERROR(('B3'!S67/$E$7),0)</f>
        <v>0</v>
      </c>
      <c r="AU16" s="137">
        <f>IFERROR(('B3'!T67/$E$7),0)</f>
        <v>0</v>
      </c>
      <c r="AV16" s="137">
        <f>IFERROR(('B3'!U67/$E$7),0)</f>
        <v>0</v>
      </c>
      <c r="AW16" s="137">
        <f>IFERROR(('B3'!V67/$E$7),0)</f>
        <v>0</v>
      </c>
      <c r="AX16" s="137">
        <f>IFERROR(('B3'!W67/$E$7),0)</f>
        <v>0</v>
      </c>
      <c r="AY16" s="137">
        <f>IFERROR(('B3'!X67/$E$7),0)</f>
        <v>0</v>
      </c>
      <c r="AZ16" s="137">
        <f>IFERROR(('B3'!Y67/$E$7),0)</f>
        <v>0</v>
      </c>
      <c r="BA16" s="137">
        <f>IFERROR(('B3'!Z67/$E$7),0)</f>
        <v>0</v>
      </c>
      <c r="BB16" s="137">
        <f>IFERROR(('B3'!AA67/$E$7),0)</f>
        <v>0</v>
      </c>
      <c r="BC16" s="137">
        <f>IFERROR(('B3'!AB67/$E$7),0)</f>
        <v>0</v>
      </c>
      <c r="BD16" s="166">
        <f t="shared" si="9"/>
        <v>0</v>
      </c>
      <c r="BF16" s="181" t="s">
        <v>77</v>
      </c>
      <c r="BG16" s="142"/>
      <c r="BH16" s="137">
        <f>IFERROR(('B4'!S67/$E$7),0)</f>
        <v>0</v>
      </c>
      <c r="BI16" s="137">
        <f>IFERROR(('B4'!T67/$E$7),0)</f>
        <v>0</v>
      </c>
      <c r="BJ16" s="137">
        <f>IFERROR(('B4'!U67/$E$7),0)</f>
        <v>0</v>
      </c>
      <c r="BK16" s="137">
        <f>IFERROR(('B4'!V67/$E$7),0)</f>
        <v>0</v>
      </c>
      <c r="BL16" s="137">
        <f>IFERROR(('B4'!W67/$E$7),0)</f>
        <v>0</v>
      </c>
      <c r="BM16" s="137">
        <f>IFERROR(('B4'!X67/$E$7),0)</f>
        <v>0</v>
      </c>
      <c r="BN16" s="137">
        <f>IFERROR(('B4'!Y67/$E$7),0)</f>
        <v>0</v>
      </c>
      <c r="BO16" s="137">
        <f>IFERROR(('B4'!Z67/$E$7),0)</f>
        <v>0</v>
      </c>
      <c r="BP16" s="137">
        <f>IFERROR(('B4'!AA67/$E$7),0)</f>
        <v>0</v>
      </c>
      <c r="BQ16" s="137">
        <f>IFERROR(('B4'!AB67/$E$7),0)</f>
        <v>0</v>
      </c>
      <c r="BR16" s="166">
        <f t="shared" si="10"/>
        <v>0</v>
      </c>
      <c r="BT16" s="181" t="s">
        <v>77</v>
      </c>
      <c r="BU16" s="142"/>
      <c r="BV16" s="137">
        <f>IFERROR(('B5'!S67/$E$7),0)</f>
        <v>0</v>
      </c>
      <c r="BW16" s="137">
        <f>IFERROR(('B5'!T67/$E$7),0)</f>
        <v>0</v>
      </c>
      <c r="BX16" s="137">
        <f>IFERROR(('B5'!U67/$E$7),0)</f>
        <v>0</v>
      </c>
      <c r="BY16" s="137">
        <f>IFERROR(('B5'!V67/$E$7),0)</f>
        <v>0</v>
      </c>
      <c r="BZ16" s="137">
        <f>IFERROR(('B5'!W67/$E$7),0)</f>
        <v>0</v>
      </c>
      <c r="CA16" s="137">
        <f>IFERROR(('B5'!X67/$E$7),0)</f>
        <v>0</v>
      </c>
      <c r="CB16" s="137">
        <f>IFERROR(('B5'!Y67/$E$7),0)</f>
        <v>0</v>
      </c>
      <c r="CC16" s="137">
        <f>IFERROR(('B5'!Z67/$E$7),0)</f>
        <v>0</v>
      </c>
      <c r="CD16" s="137">
        <f>IFERROR(('B5'!AA67/$E$7),0)</f>
        <v>0</v>
      </c>
      <c r="CE16" s="137">
        <f>IFERROR(('B5'!AB67/$E$7),0)</f>
        <v>0</v>
      </c>
      <c r="CF16" s="166">
        <f t="shared" si="11"/>
        <v>0</v>
      </c>
    </row>
    <row r="17" spans="2:84">
      <c r="B17" s="181" t="s">
        <v>78</v>
      </c>
      <c r="C17" s="142"/>
      <c r="D17" s="137">
        <f>IFERROR(Total!D10/$E$7,0)</f>
        <v>0</v>
      </c>
      <c r="E17" s="137">
        <f>IFERROR(Total!E10/$E$7,0)</f>
        <v>0</v>
      </c>
      <c r="F17" s="137">
        <f>IFERROR(Total!F10/$E$7,0)</f>
        <v>0</v>
      </c>
      <c r="G17" s="137">
        <f>IFERROR(Total!G10/$E$7,0)</f>
        <v>0</v>
      </c>
      <c r="H17" s="137">
        <f>IFERROR(Total!H10/$E$7,0)</f>
        <v>0</v>
      </c>
      <c r="I17" s="137">
        <f>IFERROR(Total!I10/$E$7,0)</f>
        <v>0</v>
      </c>
      <c r="J17" s="137">
        <f>IFERROR(Total!J10/$E$7,0)</f>
        <v>0</v>
      </c>
      <c r="K17" s="137">
        <f>IFERROR(Total!K10/$E$7,0)</f>
        <v>0</v>
      </c>
      <c r="L17" s="137">
        <f>IFERROR(Total!L10/$E$7,0)</f>
        <v>0</v>
      </c>
      <c r="M17" s="137">
        <f>IFERROR(Total!M10/$E$7,0)</f>
        <v>0</v>
      </c>
      <c r="N17" s="166">
        <f t="shared" si="6"/>
        <v>0</v>
      </c>
      <c r="P17" s="181" t="s">
        <v>78</v>
      </c>
      <c r="Q17" s="142"/>
      <c r="R17" s="137">
        <f>IFERROR(('B1'!S68/$E$7),0)</f>
        <v>0</v>
      </c>
      <c r="S17" s="137">
        <f>IFERROR(('B1'!T68/$E$7),0)</f>
        <v>0</v>
      </c>
      <c r="T17" s="137">
        <f>IFERROR(('B1'!U68/$E$7),0)</f>
        <v>0</v>
      </c>
      <c r="U17" s="137">
        <f>IFERROR(('B1'!V68/$E$7),0)</f>
        <v>0</v>
      </c>
      <c r="V17" s="137">
        <f>IFERROR(('B1'!W68/$E$7),0)</f>
        <v>0</v>
      </c>
      <c r="W17" s="137">
        <f>IFERROR(('B1'!X68/$E$7),0)</f>
        <v>0</v>
      </c>
      <c r="X17" s="137">
        <f>IFERROR(('B1'!Y68/$E$7),0)</f>
        <v>0</v>
      </c>
      <c r="Y17" s="137">
        <f>IFERROR(('B1'!Z68/$E$7),0)</f>
        <v>0</v>
      </c>
      <c r="Z17" s="137">
        <f>IFERROR(('B1'!AA68/$E$7),0)</f>
        <v>0</v>
      </c>
      <c r="AA17" s="137">
        <f>IFERROR(('B1'!AB68/$E$7),0)</f>
        <v>0</v>
      </c>
      <c r="AB17" s="166">
        <f t="shared" si="7"/>
        <v>0</v>
      </c>
      <c r="AD17" s="181" t="s">
        <v>78</v>
      </c>
      <c r="AE17" s="142"/>
      <c r="AF17" s="137">
        <f>IFERROR(('B2'!S68/$E$7),0)</f>
        <v>0</v>
      </c>
      <c r="AG17" s="137">
        <f>IFERROR(('B2'!T68/$E$7),0)</f>
        <v>0</v>
      </c>
      <c r="AH17" s="137">
        <f>IFERROR(('B2'!U68/$E$7),0)</f>
        <v>0</v>
      </c>
      <c r="AI17" s="137">
        <f>IFERROR(('B2'!V68/$E$7),0)</f>
        <v>0</v>
      </c>
      <c r="AJ17" s="137">
        <f>IFERROR(('B2'!W68/$E$7),0)</f>
        <v>0</v>
      </c>
      <c r="AK17" s="137">
        <f>IFERROR(('B2'!X68/$E$7),0)</f>
        <v>0</v>
      </c>
      <c r="AL17" s="137">
        <f>IFERROR(('B2'!Y68/$E$7),0)</f>
        <v>0</v>
      </c>
      <c r="AM17" s="137">
        <f>IFERROR(('B2'!Z68/$E$7),0)</f>
        <v>0</v>
      </c>
      <c r="AN17" s="137">
        <f>IFERROR(('B2'!AA68/$E$7),0)</f>
        <v>0</v>
      </c>
      <c r="AO17" s="137">
        <f>IFERROR(('B2'!AB68/$E$7),0)</f>
        <v>0</v>
      </c>
      <c r="AP17" s="166">
        <f t="shared" si="8"/>
        <v>0</v>
      </c>
      <c r="AR17" s="181" t="s">
        <v>78</v>
      </c>
      <c r="AS17" s="142"/>
      <c r="AT17" s="137">
        <f>IFERROR(('B3'!S68/$E$7),0)</f>
        <v>0</v>
      </c>
      <c r="AU17" s="137">
        <f>IFERROR(('B3'!T68/$E$7),0)</f>
        <v>0</v>
      </c>
      <c r="AV17" s="137">
        <f>IFERROR(('B3'!U68/$E$7),0)</f>
        <v>0</v>
      </c>
      <c r="AW17" s="137">
        <f>IFERROR(('B3'!V68/$E$7),0)</f>
        <v>0</v>
      </c>
      <c r="AX17" s="137">
        <f>IFERROR(('B3'!W68/$E$7),0)</f>
        <v>0</v>
      </c>
      <c r="AY17" s="137">
        <f>IFERROR(('B3'!X68/$E$7),0)</f>
        <v>0</v>
      </c>
      <c r="AZ17" s="137">
        <f>IFERROR(('B3'!Y68/$E$7),0)</f>
        <v>0</v>
      </c>
      <c r="BA17" s="137">
        <f>IFERROR(('B3'!Z68/$E$7),0)</f>
        <v>0</v>
      </c>
      <c r="BB17" s="137">
        <f>IFERROR(('B3'!AA68/$E$7),0)</f>
        <v>0</v>
      </c>
      <c r="BC17" s="137">
        <f>IFERROR(('B3'!AB68/$E$7),0)</f>
        <v>0</v>
      </c>
      <c r="BD17" s="166">
        <f t="shared" si="9"/>
        <v>0</v>
      </c>
      <c r="BF17" s="181" t="s">
        <v>78</v>
      </c>
      <c r="BG17" s="142"/>
      <c r="BH17" s="137">
        <f>IFERROR(('B4'!S68/$E$7),0)</f>
        <v>0</v>
      </c>
      <c r="BI17" s="137">
        <f>IFERROR(('B4'!T68/$E$7),0)</f>
        <v>0</v>
      </c>
      <c r="BJ17" s="137">
        <f>IFERROR(('B4'!U68/$E$7),0)</f>
        <v>0</v>
      </c>
      <c r="BK17" s="137">
        <f>IFERROR(('B4'!V68/$E$7),0)</f>
        <v>0</v>
      </c>
      <c r="BL17" s="137">
        <f>IFERROR(('B4'!W68/$E$7),0)</f>
        <v>0</v>
      </c>
      <c r="BM17" s="137">
        <f>IFERROR(('B4'!X68/$E$7),0)</f>
        <v>0</v>
      </c>
      <c r="BN17" s="137">
        <f>IFERROR(('B4'!Y68/$E$7),0)</f>
        <v>0</v>
      </c>
      <c r="BO17" s="137">
        <f>IFERROR(('B4'!Z68/$E$7),0)</f>
        <v>0</v>
      </c>
      <c r="BP17" s="137">
        <f>IFERROR(('B4'!AA68/$E$7),0)</f>
        <v>0</v>
      </c>
      <c r="BQ17" s="137">
        <f>IFERROR(('B4'!AB68/$E$7),0)</f>
        <v>0</v>
      </c>
      <c r="BR17" s="166">
        <f t="shared" si="10"/>
        <v>0</v>
      </c>
      <c r="BT17" s="181" t="s">
        <v>78</v>
      </c>
      <c r="BU17" s="142"/>
      <c r="BV17" s="137">
        <f>IFERROR(('B5'!S68/$E$7),0)</f>
        <v>0</v>
      </c>
      <c r="BW17" s="137">
        <f>IFERROR(('B5'!T68/$E$7),0)</f>
        <v>0</v>
      </c>
      <c r="BX17" s="137">
        <f>IFERROR(('B5'!U68/$E$7),0)</f>
        <v>0</v>
      </c>
      <c r="BY17" s="137">
        <f>IFERROR(('B5'!V68/$E$7),0)</f>
        <v>0</v>
      </c>
      <c r="BZ17" s="137">
        <f>IFERROR(('B5'!W68/$E$7),0)</f>
        <v>0</v>
      </c>
      <c r="CA17" s="137">
        <f>IFERROR(('B5'!X68/$E$7),0)</f>
        <v>0</v>
      </c>
      <c r="CB17" s="137">
        <f>IFERROR(('B5'!Y68/$E$7),0)</f>
        <v>0</v>
      </c>
      <c r="CC17" s="137">
        <f>IFERROR(('B5'!Z68/$E$7),0)</f>
        <v>0</v>
      </c>
      <c r="CD17" s="137">
        <f>IFERROR(('B5'!AA68/$E$7),0)</f>
        <v>0</v>
      </c>
      <c r="CE17" s="137">
        <f>IFERROR(('B5'!AB68/$E$7),0)</f>
        <v>0</v>
      </c>
      <c r="CF17" s="166">
        <f t="shared" si="11"/>
        <v>0</v>
      </c>
    </row>
    <row r="18" spans="2:84">
      <c r="B18" s="182" t="s">
        <v>0</v>
      </c>
      <c r="C18" s="110"/>
      <c r="D18" s="21">
        <f>IFERROR(Total!D11/$E$7,0)</f>
        <v>0</v>
      </c>
      <c r="E18" s="21">
        <f>IFERROR(Total!E11/$E$7,0)</f>
        <v>0</v>
      </c>
      <c r="F18" s="21">
        <f>IFERROR(Total!F11/$E$7,0)</f>
        <v>0</v>
      </c>
      <c r="G18" s="21">
        <f>IFERROR(Total!G11/$E$7,0)</f>
        <v>0</v>
      </c>
      <c r="H18" s="21">
        <f>IFERROR(Total!H11/$E$7,0)</f>
        <v>0</v>
      </c>
      <c r="I18" s="21">
        <f>IFERROR(Total!I11/$E$7,0)</f>
        <v>0</v>
      </c>
      <c r="J18" s="21">
        <f>IFERROR(Total!J11/$E$7,0)</f>
        <v>0</v>
      </c>
      <c r="K18" s="21">
        <f>IFERROR(Total!K11/$E$7,0)</f>
        <v>0</v>
      </c>
      <c r="L18" s="21">
        <f>IFERROR(Total!L11/$E$7,0)</f>
        <v>0</v>
      </c>
      <c r="M18" s="21">
        <f>IFERROR(Total!M11/$E$7,0)</f>
        <v>0</v>
      </c>
      <c r="N18" s="166">
        <f t="shared" si="6"/>
        <v>0</v>
      </c>
      <c r="P18" s="182" t="s">
        <v>0</v>
      </c>
      <c r="Q18" s="110"/>
      <c r="R18" s="21">
        <f>IFERROR(('B1'!S69/$E$7),0)</f>
        <v>0</v>
      </c>
      <c r="S18" s="21">
        <f>IFERROR(('B1'!T69/$E$7),0)</f>
        <v>0</v>
      </c>
      <c r="T18" s="21">
        <f>IFERROR(('B1'!U69/$E$7),0)</f>
        <v>0</v>
      </c>
      <c r="U18" s="21">
        <f>IFERROR(('B1'!V69/$E$7),0)</f>
        <v>0</v>
      </c>
      <c r="V18" s="21">
        <f>IFERROR(('B1'!W69/$E$7),0)</f>
        <v>0</v>
      </c>
      <c r="W18" s="21">
        <f>IFERROR(('B1'!X69/$E$7),0)</f>
        <v>0</v>
      </c>
      <c r="X18" s="21">
        <f>IFERROR(('B1'!Y69/$E$7),0)</f>
        <v>0</v>
      </c>
      <c r="Y18" s="21">
        <f>IFERROR(('B1'!Z69/$E$7),0)</f>
        <v>0</v>
      </c>
      <c r="Z18" s="21">
        <f>IFERROR(('B1'!AA69/$E$7),0)</f>
        <v>0</v>
      </c>
      <c r="AA18" s="21">
        <f>IFERROR(('B1'!AB69/$E$7),0)</f>
        <v>0</v>
      </c>
      <c r="AB18" s="166">
        <f t="shared" si="7"/>
        <v>0</v>
      </c>
      <c r="AD18" s="182" t="s">
        <v>0</v>
      </c>
      <c r="AE18" s="110"/>
      <c r="AF18" s="21">
        <f>IFERROR(('B2'!S69/$E$7),0)</f>
        <v>0</v>
      </c>
      <c r="AG18" s="21">
        <f>IFERROR(('B2'!T69/$E$7),0)</f>
        <v>0</v>
      </c>
      <c r="AH18" s="21">
        <f>IFERROR(('B2'!U69/$E$7),0)</f>
        <v>0</v>
      </c>
      <c r="AI18" s="21">
        <f>IFERROR(('B2'!V69/$E$7),0)</f>
        <v>0</v>
      </c>
      <c r="AJ18" s="21">
        <f>IFERROR(('B2'!W69/$E$7),0)</f>
        <v>0</v>
      </c>
      <c r="AK18" s="21">
        <f>IFERROR(('B2'!X69/$E$7),0)</f>
        <v>0</v>
      </c>
      <c r="AL18" s="21">
        <f>IFERROR(('B2'!Y69/$E$7),0)</f>
        <v>0</v>
      </c>
      <c r="AM18" s="21">
        <f>IFERROR(('B2'!Z69/$E$7),0)</f>
        <v>0</v>
      </c>
      <c r="AN18" s="21">
        <f>IFERROR(('B2'!AA69/$E$7),0)</f>
        <v>0</v>
      </c>
      <c r="AO18" s="21">
        <f>IFERROR(('B2'!AB69/$E$7),0)</f>
        <v>0</v>
      </c>
      <c r="AP18" s="166">
        <f t="shared" si="8"/>
        <v>0</v>
      </c>
      <c r="AR18" s="182" t="s">
        <v>0</v>
      </c>
      <c r="AS18" s="110"/>
      <c r="AT18" s="21">
        <f>IFERROR(('B3'!S69/$E$7),0)</f>
        <v>0</v>
      </c>
      <c r="AU18" s="21">
        <f>IFERROR(('B3'!T69/$E$7),0)</f>
        <v>0</v>
      </c>
      <c r="AV18" s="21">
        <f>IFERROR(('B3'!U69/$E$7),0)</f>
        <v>0</v>
      </c>
      <c r="AW18" s="21">
        <f>IFERROR(('B3'!V69/$E$7),0)</f>
        <v>0</v>
      </c>
      <c r="AX18" s="21">
        <f>IFERROR(('B3'!W69/$E$7),0)</f>
        <v>0</v>
      </c>
      <c r="AY18" s="21">
        <f>IFERROR(('B3'!X69/$E$7),0)</f>
        <v>0</v>
      </c>
      <c r="AZ18" s="21">
        <f>IFERROR(('B3'!Y69/$E$7),0)</f>
        <v>0</v>
      </c>
      <c r="BA18" s="21">
        <f>IFERROR(('B3'!Z69/$E$7),0)</f>
        <v>0</v>
      </c>
      <c r="BB18" s="21">
        <f>IFERROR(('B3'!AA69/$E$7),0)</f>
        <v>0</v>
      </c>
      <c r="BC18" s="21">
        <f>IFERROR(('B3'!AB69/$E$7),0)</f>
        <v>0</v>
      </c>
      <c r="BD18" s="166">
        <f t="shared" si="9"/>
        <v>0</v>
      </c>
      <c r="BF18" s="182" t="s">
        <v>0</v>
      </c>
      <c r="BG18" s="110"/>
      <c r="BH18" s="21">
        <f>IFERROR(('B4'!S69/$E$7),0)</f>
        <v>0</v>
      </c>
      <c r="BI18" s="21">
        <f>IFERROR(('B4'!T69/$E$7),0)</f>
        <v>0</v>
      </c>
      <c r="BJ18" s="21">
        <f>IFERROR(('B4'!U69/$E$7),0)</f>
        <v>0</v>
      </c>
      <c r="BK18" s="21">
        <f>IFERROR(('B4'!V69/$E$7),0)</f>
        <v>0</v>
      </c>
      <c r="BL18" s="21">
        <f>IFERROR(('B4'!W69/$E$7),0)</f>
        <v>0</v>
      </c>
      <c r="BM18" s="21">
        <f>IFERROR(('B4'!X69/$E$7),0)</f>
        <v>0</v>
      </c>
      <c r="BN18" s="21">
        <f>IFERROR(('B4'!Y69/$E$7),0)</f>
        <v>0</v>
      </c>
      <c r="BO18" s="21">
        <f>IFERROR(('B4'!Z69/$E$7),0)</f>
        <v>0</v>
      </c>
      <c r="BP18" s="21">
        <f>IFERROR(('B4'!AA69/$E$7),0)</f>
        <v>0</v>
      </c>
      <c r="BQ18" s="21">
        <f>IFERROR(('B4'!AB69/$E$7),0)</f>
        <v>0</v>
      </c>
      <c r="BR18" s="166">
        <f t="shared" si="10"/>
        <v>0</v>
      </c>
      <c r="BT18" s="182" t="s">
        <v>0</v>
      </c>
      <c r="BU18" s="110"/>
      <c r="BV18" s="21">
        <f>IFERROR(('B5'!S69/$E$7),0)</f>
        <v>0</v>
      </c>
      <c r="BW18" s="21">
        <f>IFERROR(('B5'!T69/$E$7),0)</f>
        <v>0</v>
      </c>
      <c r="BX18" s="21">
        <f>IFERROR(('B5'!U69/$E$7),0)</f>
        <v>0</v>
      </c>
      <c r="BY18" s="21">
        <f>IFERROR(('B5'!V69/$E$7),0)</f>
        <v>0</v>
      </c>
      <c r="BZ18" s="21">
        <f>IFERROR(('B5'!W69/$E$7),0)</f>
        <v>0</v>
      </c>
      <c r="CA18" s="21">
        <f>IFERROR(('B5'!X69/$E$7),0)</f>
        <v>0</v>
      </c>
      <c r="CB18" s="21">
        <f>IFERROR(('B5'!Y69/$E$7),0)</f>
        <v>0</v>
      </c>
      <c r="CC18" s="21">
        <f>IFERROR(('B5'!Z69/$E$7),0)</f>
        <v>0</v>
      </c>
      <c r="CD18" s="21">
        <f>IFERROR(('B5'!AA69/$E$7),0)</f>
        <v>0</v>
      </c>
      <c r="CE18" s="21">
        <f>IFERROR(('B5'!AB69/$E$7),0)</f>
        <v>0</v>
      </c>
      <c r="CF18" s="166">
        <f t="shared" si="11"/>
        <v>0</v>
      </c>
    </row>
    <row r="19" spans="2:84">
      <c r="B19" s="183" t="s">
        <v>103</v>
      </c>
      <c r="C19" s="110"/>
      <c r="D19" s="21">
        <f>IFERROR(Total!D12/$E$7,0)</f>
        <v>0</v>
      </c>
      <c r="E19" s="21">
        <f>IFERROR(Total!E12/$E$7,0)</f>
        <v>0</v>
      </c>
      <c r="F19" s="21">
        <f>IFERROR(Total!F12/$E$7,0)</f>
        <v>0</v>
      </c>
      <c r="G19" s="21">
        <f>IFERROR(Total!G12/$E$7,0)</f>
        <v>0</v>
      </c>
      <c r="H19" s="21">
        <f>IFERROR(Total!H12/$E$7,0)</f>
        <v>0</v>
      </c>
      <c r="I19" s="21">
        <f>IFERROR(Total!I12/$E$7,0)</f>
        <v>0</v>
      </c>
      <c r="J19" s="21">
        <f>IFERROR(Total!J12/$E$7,0)</f>
        <v>0</v>
      </c>
      <c r="K19" s="21">
        <f>IFERROR(Total!K12/$E$7,0)</f>
        <v>0</v>
      </c>
      <c r="L19" s="21">
        <f>IFERROR(Total!L12/$E$7,0)</f>
        <v>0</v>
      </c>
      <c r="M19" s="21">
        <f>IFERROR(Total!M12/$E$7,0)</f>
        <v>0</v>
      </c>
      <c r="N19" s="166">
        <f t="shared" si="6"/>
        <v>0</v>
      </c>
      <c r="P19" s="183" t="s">
        <v>96</v>
      </c>
      <c r="Q19" s="110"/>
      <c r="R19" s="21">
        <f>IFERROR(('B1'!S70/$E$7),0)</f>
        <v>0</v>
      </c>
      <c r="S19" s="21">
        <f>IFERROR(('B1'!T70/$E$7),0)</f>
        <v>0</v>
      </c>
      <c r="T19" s="21">
        <f>IFERROR(('B1'!U70/$E$7),0)</f>
        <v>0</v>
      </c>
      <c r="U19" s="21">
        <f>IFERROR(('B1'!V70/$E$7),0)</f>
        <v>0</v>
      </c>
      <c r="V19" s="21">
        <f>IFERROR(('B1'!W70/$E$7),0)</f>
        <v>0</v>
      </c>
      <c r="W19" s="21">
        <f>IFERROR(('B1'!X70/$E$7),0)</f>
        <v>0</v>
      </c>
      <c r="X19" s="21">
        <f>IFERROR(('B1'!Y70/$E$7),0)</f>
        <v>0</v>
      </c>
      <c r="Y19" s="21">
        <f>IFERROR(('B1'!Z70/$E$7),0)</f>
        <v>0</v>
      </c>
      <c r="Z19" s="21">
        <f>IFERROR(('B1'!AA70/$E$7),0)</f>
        <v>0</v>
      </c>
      <c r="AA19" s="21">
        <f>IFERROR(('B1'!AB70/$E$7),0)</f>
        <v>0</v>
      </c>
      <c r="AB19" s="166">
        <f t="shared" si="7"/>
        <v>0</v>
      </c>
      <c r="AD19" s="183" t="s">
        <v>96</v>
      </c>
      <c r="AE19" s="110"/>
      <c r="AF19" s="21">
        <f>IFERROR(('B2'!S70/$E$7),0)</f>
        <v>0</v>
      </c>
      <c r="AG19" s="21">
        <f>IFERROR(('B2'!T70/$E$7),0)</f>
        <v>0</v>
      </c>
      <c r="AH19" s="21">
        <f>IFERROR(('B2'!U70/$E$7),0)</f>
        <v>0</v>
      </c>
      <c r="AI19" s="21">
        <f>IFERROR(('B2'!V70/$E$7),0)</f>
        <v>0</v>
      </c>
      <c r="AJ19" s="21">
        <f>IFERROR(('B2'!W70/$E$7),0)</f>
        <v>0</v>
      </c>
      <c r="AK19" s="21">
        <f>IFERROR(('B2'!X70/$E$7),0)</f>
        <v>0</v>
      </c>
      <c r="AL19" s="21">
        <f>IFERROR(('B2'!Y70/$E$7),0)</f>
        <v>0</v>
      </c>
      <c r="AM19" s="21">
        <f>IFERROR(('B2'!Z70/$E$7),0)</f>
        <v>0</v>
      </c>
      <c r="AN19" s="21">
        <f>IFERROR(('B2'!AA70/$E$7),0)</f>
        <v>0</v>
      </c>
      <c r="AO19" s="21">
        <f>IFERROR(('B2'!AB70/$E$7),0)</f>
        <v>0</v>
      </c>
      <c r="AP19" s="166">
        <f t="shared" si="8"/>
        <v>0</v>
      </c>
      <c r="AR19" s="183" t="s">
        <v>96</v>
      </c>
      <c r="AS19" s="110"/>
      <c r="AT19" s="21">
        <f>IFERROR(('B3'!S70/$E$7),0)</f>
        <v>0</v>
      </c>
      <c r="AU19" s="21">
        <f>IFERROR(('B3'!T70/$E$7),0)</f>
        <v>0</v>
      </c>
      <c r="AV19" s="21">
        <f>IFERROR(('B3'!U70/$E$7),0)</f>
        <v>0</v>
      </c>
      <c r="AW19" s="21">
        <f>IFERROR(('B3'!V70/$E$7),0)</f>
        <v>0</v>
      </c>
      <c r="AX19" s="21">
        <f>IFERROR(('B3'!W70/$E$7),0)</f>
        <v>0</v>
      </c>
      <c r="AY19" s="21">
        <f>IFERROR(('B3'!X70/$E$7),0)</f>
        <v>0</v>
      </c>
      <c r="AZ19" s="21">
        <f>IFERROR(('B3'!Y70/$E$7),0)</f>
        <v>0</v>
      </c>
      <c r="BA19" s="21">
        <f>IFERROR(('B3'!Z70/$E$7),0)</f>
        <v>0</v>
      </c>
      <c r="BB19" s="21">
        <f>IFERROR(('B3'!AA70/$E$7),0)</f>
        <v>0</v>
      </c>
      <c r="BC19" s="21">
        <f>IFERROR(('B3'!AB70/$E$7),0)</f>
        <v>0</v>
      </c>
      <c r="BD19" s="166">
        <f t="shared" si="9"/>
        <v>0</v>
      </c>
      <c r="BF19" s="183" t="s">
        <v>96</v>
      </c>
      <c r="BG19" s="110"/>
      <c r="BH19" s="21">
        <f>IFERROR(('B4'!S70/$E$7),0)</f>
        <v>0</v>
      </c>
      <c r="BI19" s="21">
        <f>IFERROR(('B4'!T70/$E$7),0)</f>
        <v>0</v>
      </c>
      <c r="BJ19" s="21">
        <f>IFERROR(('B4'!U70/$E$7),0)</f>
        <v>0</v>
      </c>
      <c r="BK19" s="21">
        <f>IFERROR(('B4'!V70/$E$7),0)</f>
        <v>0</v>
      </c>
      <c r="BL19" s="21">
        <f>IFERROR(('B4'!W70/$E$7),0)</f>
        <v>0</v>
      </c>
      <c r="BM19" s="21">
        <f>IFERROR(('B4'!X70/$E$7),0)</f>
        <v>0</v>
      </c>
      <c r="BN19" s="21">
        <f>IFERROR(('B4'!Y70/$E$7),0)</f>
        <v>0</v>
      </c>
      <c r="BO19" s="21">
        <f>IFERROR(('B4'!Z70/$E$7),0)</f>
        <v>0</v>
      </c>
      <c r="BP19" s="21">
        <f>IFERROR(('B4'!AA70/$E$7),0)</f>
        <v>0</v>
      </c>
      <c r="BQ19" s="21">
        <f>IFERROR(('B4'!AB70/$E$7),0)</f>
        <v>0</v>
      </c>
      <c r="BR19" s="166">
        <f t="shared" si="10"/>
        <v>0</v>
      </c>
      <c r="BT19" s="183" t="s">
        <v>96</v>
      </c>
      <c r="BU19" s="110"/>
      <c r="BV19" s="21">
        <f>IFERROR(('B5'!S70/$E$7),0)</f>
        <v>0</v>
      </c>
      <c r="BW19" s="21">
        <f>IFERROR(('B5'!T70/$E$7),0)</f>
        <v>0</v>
      </c>
      <c r="BX19" s="21">
        <f>IFERROR(('B5'!U70/$E$7),0)</f>
        <v>0</v>
      </c>
      <c r="BY19" s="21">
        <f>IFERROR(('B5'!V70/$E$7),0)</f>
        <v>0</v>
      </c>
      <c r="BZ19" s="21">
        <f>IFERROR(('B5'!W70/$E$7),0)</f>
        <v>0</v>
      </c>
      <c r="CA19" s="21">
        <f>IFERROR(('B5'!X70/$E$7),0)</f>
        <v>0</v>
      </c>
      <c r="CB19" s="21">
        <f>IFERROR(('B5'!Y70/$E$7),0)</f>
        <v>0</v>
      </c>
      <c r="CC19" s="21">
        <f>IFERROR(('B5'!Z70/$E$7),0)</f>
        <v>0</v>
      </c>
      <c r="CD19" s="21">
        <f>IFERROR(('B5'!AA70/$E$7),0)</f>
        <v>0</v>
      </c>
      <c r="CE19" s="21">
        <f>IFERROR(('B5'!AB70/$E$7),0)</f>
        <v>0</v>
      </c>
      <c r="CF19" s="166">
        <f t="shared" si="11"/>
        <v>0</v>
      </c>
    </row>
    <row r="20" spans="2:84">
      <c r="B20" s="183" t="s">
        <v>108</v>
      </c>
      <c r="C20" s="110"/>
      <c r="D20" s="21">
        <f>IFERROR(Total!D13/$E$7,0)</f>
        <v>0</v>
      </c>
      <c r="E20" s="21">
        <f>IFERROR(Total!E13/$E$7,0)</f>
        <v>0</v>
      </c>
      <c r="F20" s="21">
        <f>IFERROR(Total!F13/$E$7,0)</f>
        <v>0</v>
      </c>
      <c r="G20" s="21">
        <f>IFERROR(Total!G13/$E$7,0)</f>
        <v>0</v>
      </c>
      <c r="H20" s="21">
        <f>IFERROR(Total!H13/$E$7,0)</f>
        <v>0</v>
      </c>
      <c r="I20" s="21">
        <f>IFERROR(Total!I13/$E$7,0)</f>
        <v>0</v>
      </c>
      <c r="J20" s="21">
        <f>IFERROR(Total!J13/$E$7,0)</f>
        <v>0</v>
      </c>
      <c r="K20" s="21">
        <f>IFERROR(Total!K13/$E$7,0)</f>
        <v>0</v>
      </c>
      <c r="L20" s="21">
        <f>IFERROR(Total!L13/$E$7,0)</f>
        <v>0</v>
      </c>
      <c r="M20" s="21">
        <f>IFERROR(Total!M13/$E$7,0)</f>
        <v>0</v>
      </c>
      <c r="N20" s="166">
        <f t="shared" si="6"/>
        <v>0</v>
      </c>
      <c r="P20" s="183" t="s">
        <v>108</v>
      </c>
      <c r="Q20" s="110"/>
      <c r="R20" s="21">
        <f>IFERROR(('B1'!S71/$E$7),0)</f>
        <v>0</v>
      </c>
      <c r="S20" s="21">
        <f>IFERROR(('B1'!T71/$E$7),0)</f>
        <v>0</v>
      </c>
      <c r="T20" s="21">
        <f>IFERROR(('B1'!U71/$E$7),0)</f>
        <v>0</v>
      </c>
      <c r="U20" s="21">
        <f>IFERROR(('B1'!V71/$E$7),0)</f>
        <v>0</v>
      </c>
      <c r="V20" s="21">
        <f>IFERROR(('B1'!W71/$E$7),0)</f>
        <v>0</v>
      </c>
      <c r="W20" s="21">
        <f>IFERROR(('B1'!X71/$E$7),0)</f>
        <v>0</v>
      </c>
      <c r="X20" s="21">
        <f>IFERROR(('B1'!Y71/$E$7),0)</f>
        <v>0</v>
      </c>
      <c r="Y20" s="21">
        <f>IFERROR(('B1'!Z71/$E$7),0)</f>
        <v>0</v>
      </c>
      <c r="Z20" s="21">
        <f>IFERROR(('B1'!AA71/$E$7),0)</f>
        <v>0</v>
      </c>
      <c r="AA20" s="21">
        <f>IFERROR(('B1'!AB71/$E$7),0)</f>
        <v>0</v>
      </c>
      <c r="AB20" s="166">
        <f t="shared" si="7"/>
        <v>0</v>
      </c>
      <c r="AD20" s="183" t="s">
        <v>108</v>
      </c>
      <c r="AE20" s="110"/>
      <c r="AF20" s="21">
        <f>IFERROR(('B2'!S71/$E$7),0)</f>
        <v>0</v>
      </c>
      <c r="AG20" s="21">
        <f>IFERROR(('B2'!T71/$E$7),0)</f>
        <v>0</v>
      </c>
      <c r="AH20" s="21">
        <f>IFERROR(('B2'!U71/$E$7),0)</f>
        <v>0</v>
      </c>
      <c r="AI20" s="21">
        <f>IFERROR(('B2'!V71/$E$7),0)</f>
        <v>0</v>
      </c>
      <c r="AJ20" s="21">
        <f>IFERROR(('B2'!W71/$E$7),0)</f>
        <v>0</v>
      </c>
      <c r="AK20" s="21">
        <f>IFERROR(('B2'!X71/$E$7),0)</f>
        <v>0</v>
      </c>
      <c r="AL20" s="21">
        <f>IFERROR(('B2'!Y71/$E$7),0)</f>
        <v>0</v>
      </c>
      <c r="AM20" s="21">
        <f>IFERROR(('B2'!Z71/$E$7),0)</f>
        <v>0</v>
      </c>
      <c r="AN20" s="21">
        <f>IFERROR(('B2'!AA71/$E$7),0)</f>
        <v>0</v>
      </c>
      <c r="AO20" s="21">
        <f>IFERROR(('B2'!AB71/$E$7),0)</f>
        <v>0</v>
      </c>
      <c r="AP20" s="166">
        <f t="shared" si="8"/>
        <v>0</v>
      </c>
      <c r="AR20" s="183" t="s">
        <v>108</v>
      </c>
      <c r="AS20" s="110"/>
      <c r="AT20" s="21">
        <f>IFERROR(('B3'!S71/$E$7),0)</f>
        <v>0</v>
      </c>
      <c r="AU20" s="21">
        <f>IFERROR(('B3'!T71/$E$7),0)</f>
        <v>0</v>
      </c>
      <c r="AV20" s="21">
        <f>IFERROR(('B3'!U71/$E$7),0)</f>
        <v>0</v>
      </c>
      <c r="AW20" s="21">
        <f>IFERROR(('B3'!V71/$E$7),0)</f>
        <v>0</v>
      </c>
      <c r="AX20" s="21">
        <f>IFERROR(('B3'!W71/$E$7),0)</f>
        <v>0</v>
      </c>
      <c r="AY20" s="21">
        <f>IFERROR(('B3'!X71/$E$7),0)</f>
        <v>0</v>
      </c>
      <c r="AZ20" s="21">
        <f>IFERROR(('B3'!Y71/$E$7),0)</f>
        <v>0</v>
      </c>
      <c r="BA20" s="21">
        <f>IFERROR(('B3'!Z71/$E$7),0)</f>
        <v>0</v>
      </c>
      <c r="BB20" s="21">
        <f>IFERROR(('B3'!AA71/$E$7),0)</f>
        <v>0</v>
      </c>
      <c r="BC20" s="21">
        <f>IFERROR(('B3'!AB71/$E$7),0)</f>
        <v>0</v>
      </c>
      <c r="BD20" s="166">
        <f t="shared" si="9"/>
        <v>0</v>
      </c>
      <c r="BF20" s="183" t="s">
        <v>108</v>
      </c>
      <c r="BG20" s="110"/>
      <c r="BH20" s="21">
        <f>IFERROR(('B4'!S71/$E$7),0)</f>
        <v>0</v>
      </c>
      <c r="BI20" s="21">
        <f>IFERROR(('B4'!T71/$E$7),0)</f>
        <v>0</v>
      </c>
      <c r="BJ20" s="21">
        <f>IFERROR(('B4'!U71/$E$7),0)</f>
        <v>0</v>
      </c>
      <c r="BK20" s="21">
        <f>IFERROR(('B4'!V71/$E$7),0)</f>
        <v>0</v>
      </c>
      <c r="BL20" s="21">
        <f>IFERROR(('B4'!W71/$E$7),0)</f>
        <v>0</v>
      </c>
      <c r="BM20" s="21">
        <f>IFERROR(('B4'!X71/$E$7),0)</f>
        <v>0</v>
      </c>
      <c r="BN20" s="21">
        <f>IFERROR(('B4'!Y71/$E$7),0)</f>
        <v>0</v>
      </c>
      <c r="BO20" s="21">
        <f>IFERROR(('B4'!Z71/$E$7),0)</f>
        <v>0</v>
      </c>
      <c r="BP20" s="21">
        <f>IFERROR(('B4'!AA71/$E$7),0)</f>
        <v>0</v>
      </c>
      <c r="BQ20" s="21">
        <f>IFERROR(('B4'!AB71/$E$7),0)</f>
        <v>0</v>
      </c>
      <c r="BR20" s="166">
        <f t="shared" si="10"/>
        <v>0</v>
      </c>
      <c r="BT20" s="183" t="s">
        <v>108</v>
      </c>
      <c r="BU20" s="110"/>
      <c r="BV20" s="21">
        <f>IFERROR(('B5'!S71/$E$7),0)</f>
        <v>0</v>
      </c>
      <c r="BW20" s="21">
        <f>IFERROR(('B5'!T71/$E$7),0)</f>
        <v>0</v>
      </c>
      <c r="BX20" s="21">
        <f>IFERROR(('B5'!U71/$E$7),0)</f>
        <v>0</v>
      </c>
      <c r="BY20" s="21">
        <f>IFERROR(('B5'!V71/$E$7),0)</f>
        <v>0</v>
      </c>
      <c r="BZ20" s="21">
        <f>IFERROR(('B5'!W71/$E$7),0)</f>
        <v>0</v>
      </c>
      <c r="CA20" s="21">
        <f>IFERROR(('B5'!X71/$E$7),0)</f>
        <v>0</v>
      </c>
      <c r="CB20" s="21">
        <f>IFERROR(('B5'!Y71/$E$7),0)</f>
        <v>0</v>
      </c>
      <c r="CC20" s="21">
        <f>IFERROR(('B5'!Z71/$E$7),0)</f>
        <v>0</v>
      </c>
      <c r="CD20" s="21">
        <f>IFERROR(('B5'!AA71/$E$7),0)</f>
        <v>0</v>
      </c>
      <c r="CE20" s="21">
        <f>IFERROR(('B5'!AB71/$E$7),0)</f>
        <v>0</v>
      </c>
      <c r="CF20" s="166">
        <f t="shared" si="11"/>
        <v>0</v>
      </c>
    </row>
    <row r="21" spans="2:84">
      <c r="B21" s="182" t="s">
        <v>531</v>
      </c>
      <c r="C21" s="110"/>
      <c r="D21" s="21">
        <f>IFERROR(Total!D14/$E$7,0)</f>
        <v>0</v>
      </c>
      <c r="E21" s="21">
        <f>IFERROR(Total!E14/$E$7,0)</f>
        <v>0</v>
      </c>
      <c r="F21" s="21">
        <f>IFERROR(Total!F14/$E$7,0)</f>
        <v>0</v>
      </c>
      <c r="G21" s="21">
        <f>IFERROR(Total!G14/$E$7,0)</f>
        <v>0</v>
      </c>
      <c r="H21" s="21">
        <f>IFERROR(Total!H14/$E$7,0)</f>
        <v>0</v>
      </c>
      <c r="I21" s="21">
        <f>IFERROR(Total!I14/$E$7,0)</f>
        <v>0</v>
      </c>
      <c r="J21" s="21">
        <f>IFERROR(Total!J14/$E$7,0)</f>
        <v>0</v>
      </c>
      <c r="K21" s="21">
        <f>IFERROR(Total!K14/$E$7,0)</f>
        <v>0</v>
      </c>
      <c r="L21" s="21">
        <f>IFERROR(Total!L14/$E$7,0)</f>
        <v>0</v>
      </c>
      <c r="M21" s="21">
        <f>IFERROR(Total!M14/$E$7,0)</f>
        <v>0</v>
      </c>
      <c r="N21" s="166">
        <f t="shared" si="6"/>
        <v>0</v>
      </c>
      <c r="P21" s="182" t="s">
        <v>531</v>
      </c>
      <c r="Q21" s="110"/>
      <c r="R21" s="21">
        <f>IFERROR(('B1'!S72/$E$7),0)</f>
        <v>0</v>
      </c>
      <c r="S21" s="21">
        <f>IFERROR(('B1'!T72/$E$7),0)</f>
        <v>0</v>
      </c>
      <c r="T21" s="21">
        <f>IFERROR(('B1'!U72/$E$7),0)</f>
        <v>0</v>
      </c>
      <c r="U21" s="21">
        <f>IFERROR(('B1'!V72/$E$7),0)</f>
        <v>0</v>
      </c>
      <c r="V21" s="21">
        <f>IFERROR(('B1'!W72/$E$7),0)</f>
        <v>0</v>
      </c>
      <c r="W21" s="21">
        <f>IFERROR(('B1'!X72/$E$7),0)</f>
        <v>0</v>
      </c>
      <c r="X21" s="21">
        <f>IFERROR(('B1'!Y72/$E$7),0)</f>
        <v>0</v>
      </c>
      <c r="Y21" s="21">
        <f>IFERROR(('B1'!Z72/$E$7),0)</f>
        <v>0</v>
      </c>
      <c r="Z21" s="21">
        <f>IFERROR(('B1'!AA72/$E$7),0)</f>
        <v>0</v>
      </c>
      <c r="AA21" s="21">
        <f>IFERROR(('B1'!AB72/$E$7),0)</f>
        <v>0</v>
      </c>
      <c r="AB21" s="166">
        <f t="shared" si="7"/>
        <v>0</v>
      </c>
      <c r="AD21" s="182" t="s">
        <v>531</v>
      </c>
      <c r="AE21" s="110"/>
      <c r="AF21" s="21">
        <f>IFERROR(('B2'!S72/$E$7),0)</f>
        <v>0</v>
      </c>
      <c r="AG21" s="21">
        <f>IFERROR(('B2'!T72/$E$7),0)</f>
        <v>0</v>
      </c>
      <c r="AH21" s="21">
        <f>IFERROR(('B2'!U72/$E$7),0)</f>
        <v>0</v>
      </c>
      <c r="AI21" s="21">
        <f>IFERROR(('B2'!V72/$E$7),0)</f>
        <v>0</v>
      </c>
      <c r="AJ21" s="21">
        <f>IFERROR(('B2'!W72/$E$7),0)</f>
        <v>0</v>
      </c>
      <c r="AK21" s="21">
        <f>IFERROR(('B2'!X72/$E$7),0)</f>
        <v>0</v>
      </c>
      <c r="AL21" s="21">
        <f>IFERROR(('B2'!Y72/$E$7),0)</f>
        <v>0</v>
      </c>
      <c r="AM21" s="21">
        <f>IFERROR(('B2'!Z72/$E$7),0)</f>
        <v>0</v>
      </c>
      <c r="AN21" s="21">
        <f>IFERROR(('B2'!AA72/$E$7),0)</f>
        <v>0</v>
      </c>
      <c r="AO21" s="21">
        <f>IFERROR(('B2'!AB72/$E$7),0)</f>
        <v>0</v>
      </c>
      <c r="AP21" s="166">
        <f t="shared" si="8"/>
        <v>0</v>
      </c>
      <c r="AR21" s="182" t="s">
        <v>531</v>
      </c>
      <c r="AS21" s="110"/>
      <c r="AT21" s="21">
        <f>IFERROR(('B3'!S72/$E$7),0)</f>
        <v>0</v>
      </c>
      <c r="AU21" s="21">
        <f>IFERROR(('B3'!T72/$E$7),0)</f>
        <v>0</v>
      </c>
      <c r="AV21" s="21">
        <f>IFERROR(('B3'!U72/$E$7),0)</f>
        <v>0</v>
      </c>
      <c r="AW21" s="21">
        <f>IFERROR(('B3'!V72/$E$7),0)</f>
        <v>0</v>
      </c>
      <c r="AX21" s="21">
        <f>IFERROR(('B3'!W72/$E$7),0)</f>
        <v>0</v>
      </c>
      <c r="AY21" s="21">
        <f>IFERROR(('B3'!X72/$E$7),0)</f>
        <v>0</v>
      </c>
      <c r="AZ21" s="21">
        <f>IFERROR(('B3'!Y72/$E$7),0)</f>
        <v>0</v>
      </c>
      <c r="BA21" s="21">
        <f>IFERROR(('B3'!Z72/$E$7),0)</f>
        <v>0</v>
      </c>
      <c r="BB21" s="21">
        <f>IFERROR(('B3'!AA72/$E$7),0)</f>
        <v>0</v>
      </c>
      <c r="BC21" s="21">
        <f>IFERROR(('B3'!AB72/$E$7),0)</f>
        <v>0</v>
      </c>
      <c r="BD21" s="166">
        <f t="shared" si="9"/>
        <v>0</v>
      </c>
      <c r="BF21" s="182" t="s">
        <v>531</v>
      </c>
      <c r="BG21" s="110"/>
      <c r="BH21" s="21">
        <f>IFERROR(('B4'!S72/$E$7),0)</f>
        <v>0</v>
      </c>
      <c r="BI21" s="21">
        <f>IFERROR(('B4'!T72/$E$7),0)</f>
        <v>0</v>
      </c>
      <c r="BJ21" s="21">
        <f>IFERROR(('B4'!U72/$E$7),0)</f>
        <v>0</v>
      </c>
      <c r="BK21" s="21">
        <f>IFERROR(('B4'!V72/$E$7),0)</f>
        <v>0</v>
      </c>
      <c r="BL21" s="21">
        <f>IFERROR(('B4'!W72/$E$7),0)</f>
        <v>0</v>
      </c>
      <c r="BM21" s="21">
        <f>IFERROR(('B4'!X72/$E$7),0)</f>
        <v>0</v>
      </c>
      <c r="BN21" s="21">
        <f>IFERROR(('B4'!Y72/$E$7),0)</f>
        <v>0</v>
      </c>
      <c r="BO21" s="21">
        <f>IFERROR(('B4'!Z72/$E$7),0)</f>
        <v>0</v>
      </c>
      <c r="BP21" s="21">
        <f>IFERROR(('B4'!AA72/$E$7),0)</f>
        <v>0</v>
      </c>
      <c r="BQ21" s="21">
        <f>IFERROR(('B4'!AB72/$E$7),0)</f>
        <v>0</v>
      </c>
      <c r="BR21" s="166">
        <f t="shared" si="10"/>
        <v>0</v>
      </c>
      <c r="BT21" s="182" t="s">
        <v>531</v>
      </c>
      <c r="BU21" s="110"/>
      <c r="BV21" s="21">
        <f>IFERROR(('B5'!S72/$E$7),0)</f>
        <v>0</v>
      </c>
      <c r="BW21" s="21">
        <f>IFERROR(('B5'!T72/$E$7),0)</f>
        <v>0</v>
      </c>
      <c r="BX21" s="21">
        <f>IFERROR(('B5'!U72/$E$7),0)</f>
        <v>0</v>
      </c>
      <c r="BY21" s="21">
        <f>IFERROR(('B5'!V72/$E$7),0)</f>
        <v>0</v>
      </c>
      <c r="BZ21" s="21">
        <f>IFERROR(('B5'!W72/$E$7),0)</f>
        <v>0</v>
      </c>
      <c r="CA21" s="21">
        <f>IFERROR(('B5'!X72/$E$7),0)</f>
        <v>0</v>
      </c>
      <c r="CB21" s="21">
        <f>IFERROR(('B5'!Y72/$E$7),0)</f>
        <v>0</v>
      </c>
      <c r="CC21" s="21">
        <f>IFERROR(('B5'!Z72/$E$7),0)</f>
        <v>0</v>
      </c>
      <c r="CD21" s="21">
        <f>IFERROR(('B5'!AA72/$E$7),0)</f>
        <v>0</v>
      </c>
      <c r="CE21" s="21">
        <f>IFERROR(('B5'!AB72/$E$7),0)</f>
        <v>0</v>
      </c>
      <c r="CF21" s="166">
        <f t="shared" si="11"/>
        <v>0</v>
      </c>
    </row>
    <row r="22" spans="2:84" ht="14.5" thickBot="1">
      <c r="B22" s="184" t="s">
        <v>101</v>
      </c>
      <c r="C22" s="185"/>
      <c r="D22" s="143">
        <f>+SUM(D17:D21)</f>
        <v>0</v>
      </c>
      <c r="E22" s="143">
        <f t="shared" ref="E22:K22" si="12">+SUM(E17:E21)</f>
        <v>0</v>
      </c>
      <c r="F22" s="143">
        <f t="shared" si="12"/>
        <v>0</v>
      </c>
      <c r="G22" s="143">
        <f t="shared" si="12"/>
        <v>0</v>
      </c>
      <c r="H22" s="143">
        <f t="shared" si="12"/>
        <v>0</v>
      </c>
      <c r="I22" s="143">
        <f t="shared" si="12"/>
        <v>0</v>
      </c>
      <c r="J22" s="143">
        <f t="shared" si="12"/>
        <v>0</v>
      </c>
      <c r="K22" s="143">
        <f t="shared" si="12"/>
        <v>0</v>
      </c>
      <c r="L22" s="143">
        <f>+SUM(L17:L21)</f>
        <v>0</v>
      </c>
      <c r="M22" s="143">
        <f>+SUM(M17:M21)</f>
        <v>0</v>
      </c>
      <c r="N22" s="167">
        <f t="shared" si="6"/>
        <v>0</v>
      </c>
      <c r="P22" s="184" t="s">
        <v>101</v>
      </c>
      <c r="Q22" s="185"/>
      <c r="R22" s="143">
        <f>+SUM(R17:R21)</f>
        <v>0</v>
      </c>
      <c r="S22" s="143">
        <f t="shared" ref="S22:Y22" si="13">+SUM(S17:S21)</f>
        <v>0</v>
      </c>
      <c r="T22" s="143">
        <f t="shared" si="13"/>
        <v>0</v>
      </c>
      <c r="U22" s="143">
        <f t="shared" si="13"/>
        <v>0</v>
      </c>
      <c r="V22" s="143">
        <f t="shared" si="13"/>
        <v>0</v>
      </c>
      <c r="W22" s="143">
        <f t="shared" si="13"/>
        <v>0</v>
      </c>
      <c r="X22" s="143">
        <f t="shared" si="13"/>
        <v>0</v>
      </c>
      <c r="Y22" s="143">
        <f t="shared" si="13"/>
        <v>0</v>
      </c>
      <c r="Z22" s="143">
        <f>+SUM(Z17:Z21)</f>
        <v>0</v>
      </c>
      <c r="AA22" s="143">
        <f>+SUM(AA17:AA21)</f>
        <v>0</v>
      </c>
      <c r="AB22" s="167">
        <f t="shared" si="7"/>
        <v>0</v>
      </c>
      <c r="AD22" s="184" t="s">
        <v>101</v>
      </c>
      <c r="AE22" s="185"/>
      <c r="AF22" s="143">
        <f>+SUM(AF17:AF21)</f>
        <v>0</v>
      </c>
      <c r="AG22" s="143">
        <f t="shared" ref="AG22:AM22" si="14">+SUM(AG17:AG21)</f>
        <v>0</v>
      </c>
      <c r="AH22" s="143">
        <f t="shared" si="14"/>
        <v>0</v>
      </c>
      <c r="AI22" s="143">
        <f t="shared" si="14"/>
        <v>0</v>
      </c>
      <c r="AJ22" s="143">
        <f t="shared" si="14"/>
        <v>0</v>
      </c>
      <c r="AK22" s="143">
        <f t="shared" si="14"/>
        <v>0</v>
      </c>
      <c r="AL22" s="143">
        <f t="shared" si="14"/>
        <v>0</v>
      </c>
      <c r="AM22" s="143">
        <f t="shared" si="14"/>
        <v>0</v>
      </c>
      <c r="AN22" s="143">
        <f>+SUM(AN17:AN21)</f>
        <v>0</v>
      </c>
      <c r="AO22" s="143">
        <f>+SUM(AO17:AO21)</f>
        <v>0</v>
      </c>
      <c r="AP22" s="167">
        <f t="shared" si="8"/>
        <v>0</v>
      </c>
      <c r="AR22" s="184" t="s">
        <v>101</v>
      </c>
      <c r="AS22" s="185"/>
      <c r="AT22" s="143">
        <f>+SUM(AT17:AT21)</f>
        <v>0</v>
      </c>
      <c r="AU22" s="143">
        <f t="shared" ref="AU22:BA22" si="15">+SUM(AU17:AU21)</f>
        <v>0</v>
      </c>
      <c r="AV22" s="143">
        <f t="shared" si="15"/>
        <v>0</v>
      </c>
      <c r="AW22" s="143">
        <f t="shared" si="15"/>
        <v>0</v>
      </c>
      <c r="AX22" s="143">
        <f t="shared" si="15"/>
        <v>0</v>
      </c>
      <c r="AY22" s="143">
        <f t="shared" si="15"/>
        <v>0</v>
      </c>
      <c r="AZ22" s="143">
        <f t="shared" si="15"/>
        <v>0</v>
      </c>
      <c r="BA22" s="143">
        <f t="shared" si="15"/>
        <v>0</v>
      </c>
      <c r="BB22" s="143">
        <f>+SUM(BB17:BB21)</f>
        <v>0</v>
      </c>
      <c r="BC22" s="143">
        <f>+SUM(BC17:BC21)</f>
        <v>0</v>
      </c>
      <c r="BD22" s="167">
        <f t="shared" si="9"/>
        <v>0</v>
      </c>
      <c r="BF22" s="184" t="s">
        <v>101</v>
      </c>
      <c r="BG22" s="185"/>
      <c r="BH22" s="143">
        <f>+SUM(BH17:BH21)</f>
        <v>0</v>
      </c>
      <c r="BI22" s="143">
        <f t="shared" ref="BI22:BO22" si="16">+SUM(BI17:BI21)</f>
        <v>0</v>
      </c>
      <c r="BJ22" s="143">
        <f t="shared" si="16"/>
        <v>0</v>
      </c>
      <c r="BK22" s="143">
        <f t="shared" si="16"/>
        <v>0</v>
      </c>
      <c r="BL22" s="143">
        <f t="shared" si="16"/>
        <v>0</v>
      </c>
      <c r="BM22" s="143">
        <f t="shared" si="16"/>
        <v>0</v>
      </c>
      <c r="BN22" s="143">
        <f t="shared" si="16"/>
        <v>0</v>
      </c>
      <c r="BO22" s="143">
        <f t="shared" si="16"/>
        <v>0</v>
      </c>
      <c r="BP22" s="143">
        <f>+SUM(BP17:BP21)</f>
        <v>0</v>
      </c>
      <c r="BQ22" s="143">
        <f>+SUM(BQ17:BQ21)</f>
        <v>0</v>
      </c>
      <c r="BR22" s="167">
        <f t="shared" si="10"/>
        <v>0</v>
      </c>
      <c r="BT22" s="184" t="s">
        <v>101</v>
      </c>
      <c r="BU22" s="185"/>
      <c r="BV22" s="143">
        <f>+SUM(BV17:BV21)</f>
        <v>0</v>
      </c>
      <c r="BW22" s="143">
        <f t="shared" ref="BW22:CC22" si="17">+SUM(BW17:BW21)</f>
        <v>0</v>
      </c>
      <c r="BX22" s="143">
        <f t="shared" si="17"/>
        <v>0</v>
      </c>
      <c r="BY22" s="143">
        <f t="shared" si="17"/>
        <v>0</v>
      </c>
      <c r="BZ22" s="143">
        <f t="shared" si="17"/>
        <v>0</v>
      </c>
      <c r="CA22" s="143">
        <f t="shared" si="17"/>
        <v>0</v>
      </c>
      <c r="CB22" s="143">
        <f t="shared" si="17"/>
        <v>0</v>
      </c>
      <c r="CC22" s="143">
        <f t="shared" si="17"/>
        <v>0</v>
      </c>
      <c r="CD22" s="143">
        <f>+SUM(CD17:CD21)</f>
        <v>0</v>
      </c>
      <c r="CE22" s="143">
        <f>+SUM(CE17:CE21)</f>
        <v>0</v>
      </c>
      <c r="CF22" s="167">
        <f t="shared" si="11"/>
        <v>0</v>
      </c>
    </row>
    <row r="23" spans="2:84" ht="14.5" thickBot="1">
      <c r="B23" s="23"/>
      <c r="C23" s="16"/>
      <c r="D23" s="16"/>
      <c r="E23" s="168"/>
      <c r="F23" s="168"/>
      <c r="G23" s="168"/>
      <c r="H23" s="168"/>
      <c r="I23" s="168"/>
      <c r="J23" s="168"/>
      <c r="K23" s="168"/>
      <c r="L23" s="168"/>
      <c r="M23" s="168"/>
      <c r="N23" s="168"/>
      <c r="P23" s="23"/>
      <c r="Q23" s="16"/>
      <c r="R23" s="16"/>
      <c r="S23" s="168"/>
      <c r="T23" s="168"/>
      <c r="U23" s="168"/>
      <c r="V23" s="168"/>
      <c r="W23" s="168"/>
      <c r="X23" s="168"/>
      <c r="Y23" s="168"/>
      <c r="Z23" s="168"/>
      <c r="AA23" s="168"/>
      <c r="AB23" s="168"/>
      <c r="AD23" s="23"/>
      <c r="AE23" s="16"/>
      <c r="AF23" s="16"/>
      <c r="AG23" s="168"/>
      <c r="AH23" s="168"/>
      <c r="AI23" s="168"/>
      <c r="AJ23" s="168"/>
      <c r="AK23" s="168"/>
      <c r="AL23" s="168"/>
      <c r="AM23" s="168"/>
      <c r="AN23" s="168"/>
      <c r="AO23" s="168"/>
      <c r="AP23" s="168"/>
      <c r="AR23" s="23"/>
      <c r="AS23" s="16"/>
      <c r="AT23" s="16"/>
      <c r="AU23" s="168"/>
      <c r="AV23" s="168"/>
      <c r="AW23" s="168"/>
      <c r="AX23" s="168"/>
      <c r="AY23" s="168"/>
      <c r="AZ23" s="168"/>
      <c r="BA23" s="168"/>
      <c r="BB23" s="168"/>
      <c r="BC23" s="168"/>
      <c r="BD23" s="168"/>
      <c r="BF23" s="23"/>
      <c r="BG23" s="16"/>
      <c r="BH23" s="16"/>
      <c r="BI23" s="168"/>
      <c r="BJ23" s="168"/>
      <c r="BK23" s="168"/>
      <c r="BL23" s="168"/>
      <c r="BM23" s="168"/>
      <c r="BN23" s="168"/>
      <c r="BO23" s="168"/>
      <c r="BP23" s="168"/>
      <c r="BQ23" s="168"/>
      <c r="BR23" s="168"/>
      <c r="BT23" s="23"/>
      <c r="BU23" s="16"/>
      <c r="BV23" s="16"/>
      <c r="BW23" s="168"/>
      <c r="BX23" s="168"/>
      <c r="BY23" s="168"/>
      <c r="BZ23" s="168"/>
      <c r="CA23" s="168"/>
      <c r="CB23" s="168"/>
      <c r="CC23" s="168"/>
      <c r="CD23" s="168"/>
      <c r="CE23" s="168"/>
      <c r="CF23" s="168"/>
    </row>
    <row r="24" spans="2:84" ht="18">
      <c r="B24" s="177" t="s">
        <v>587</v>
      </c>
      <c r="C24" s="121"/>
      <c r="D24" s="121"/>
      <c r="E24" s="121"/>
      <c r="F24" s="121"/>
      <c r="G24" s="121"/>
      <c r="H24" s="121"/>
      <c r="I24" s="121"/>
      <c r="J24" s="121"/>
      <c r="K24" s="121"/>
      <c r="L24" s="121"/>
      <c r="M24" s="121"/>
      <c r="N24" s="163"/>
      <c r="P24" s="177" t="s">
        <v>587</v>
      </c>
      <c r="Q24" s="121"/>
      <c r="R24" s="121"/>
      <c r="S24" s="121"/>
      <c r="T24" s="121"/>
      <c r="U24" s="121"/>
      <c r="V24" s="121"/>
      <c r="W24" s="121"/>
      <c r="X24" s="121"/>
      <c r="Y24" s="121"/>
      <c r="Z24" s="121"/>
      <c r="AA24" s="121"/>
      <c r="AB24" s="163"/>
      <c r="AD24" s="177" t="s">
        <v>587</v>
      </c>
      <c r="AE24" s="121"/>
      <c r="AF24" s="121"/>
      <c r="AG24" s="121"/>
      <c r="AH24" s="121"/>
      <c r="AI24" s="121"/>
      <c r="AJ24" s="121"/>
      <c r="AK24" s="121"/>
      <c r="AL24" s="121"/>
      <c r="AM24" s="121"/>
      <c r="AN24" s="121"/>
      <c r="AO24" s="121"/>
      <c r="AP24" s="163"/>
      <c r="AR24" s="177" t="s">
        <v>587</v>
      </c>
      <c r="AS24" s="121"/>
      <c r="AT24" s="121"/>
      <c r="AU24" s="121"/>
      <c r="AV24" s="121"/>
      <c r="AW24" s="121"/>
      <c r="AX24" s="121"/>
      <c r="AY24" s="121"/>
      <c r="AZ24" s="121"/>
      <c r="BA24" s="121"/>
      <c r="BB24" s="121"/>
      <c r="BC24" s="121"/>
      <c r="BD24" s="163"/>
      <c r="BF24" s="177" t="s">
        <v>587</v>
      </c>
      <c r="BG24" s="121"/>
      <c r="BH24" s="121"/>
      <c r="BI24" s="121"/>
      <c r="BJ24" s="121"/>
      <c r="BK24" s="121"/>
      <c r="BL24" s="121"/>
      <c r="BM24" s="121"/>
      <c r="BN24" s="121"/>
      <c r="BO24" s="121"/>
      <c r="BP24" s="121"/>
      <c r="BQ24" s="121"/>
      <c r="BR24" s="163"/>
      <c r="BT24" s="177" t="s">
        <v>587</v>
      </c>
      <c r="BU24" s="121"/>
      <c r="BV24" s="121"/>
      <c r="BW24" s="121"/>
      <c r="BX24" s="121"/>
      <c r="BY24" s="121"/>
      <c r="BZ24" s="121"/>
      <c r="CA24" s="121"/>
      <c r="CB24" s="121"/>
      <c r="CC24" s="121"/>
      <c r="CD24" s="121"/>
      <c r="CE24" s="121"/>
      <c r="CF24" s="163"/>
    </row>
    <row r="25" spans="2:84">
      <c r="B25" s="152"/>
      <c r="C25" s="16"/>
      <c r="D25" s="16"/>
      <c r="E25" s="186"/>
      <c r="F25" s="186"/>
      <c r="G25" s="186"/>
      <c r="H25" s="186"/>
      <c r="I25" s="186"/>
      <c r="J25" s="186"/>
      <c r="K25" s="186"/>
      <c r="L25" s="186"/>
      <c r="M25" s="186"/>
      <c r="N25" s="169"/>
      <c r="P25" s="152"/>
      <c r="Q25" s="16"/>
      <c r="R25" s="16"/>
      <c r="S25" s="186"/>
      <c r="T25" s="186"/>
      <c r="U25" s="186"/>
      <c r="V25" s="186"/>
      <c r="W25" s="186"/>
      <c r="X25" s="186"/>
      <c r="Y25" s="186"/>
      <c r="Z25" s="186"/>
      <c r="AA25" s="186"/>
      <c r="AB25" s="169"/>
      <c r="AD25" s="152"/>
      <c r="AE25" s="16"/>
      <c r="AF25" s="16"/>
      <c r="AG25" s="186"/>
      <c r="AH25" s="186"/>
      <c r="AI25" s="186"/>
      <c r="AJ25" s="186"/>
      <c r="AK25" s="186"/>
      <c r="AL25" s="186"/>
      <c r="AM25" s="186"/>
      <c r="AN25" s="186"/>
      <c r="AO25" s="186"/>
      <c r="AP25" s="169"/>
      <c r="AR25" s="152"/>
      <c r="AS25" s="16"/>
      <c r="AT25" s="16"/>
      <c r="AU25" s="186"/>
      <c r="AV25" s="186"/>
      <c r="AW25" s="186"/>
      <c r="AX25" s="186"/>
      <c r="AY25" s="186"/>
      <c r="AZ25" s="186"/>
      <c r="BA25" s="186"/>
      <c r="BB25" s="186"/>
      <c r="BC25" s="186"/>
      <c r="BD25" s="169"/>
      <c r="BF25" s="152"/>
      <c r="BG25" s="16"/>
      <c r="BH25" s="16"/>
      <c r="BI25" s="186"/>
      <c r="BJ25" s="186"/>
      <c r="BK25" s="186"/>
      <c r="BL25" s="186"/>
      <c r="BM25" s="186"/>
      <c r="BN25" s="186"/>
      <c r="BO25" s="186"/>
      <c r="BP25" s="186"/>
      <c r="BQ25" s="186"/>
      <c r="BR25" s="169"/>
      <c r="BT25" s="152"/>
      <c r="BU25" s="16"/>
      <c r="BV25" s="16"/>
      <c r="BW25" s="186"/>
      <c r="BX25" s="186"/>
      <c r="BY25" s="186"/>
      <c r="BZ25" s="186"/>
      <c r="CA25" s="186"/>
      <c r="CB25" s="186"/>
      <c r="CC25" s="186"/>
      <c r="CD25" s="186"/>
      <c r="CE25" s="186"/>
      <c r="CF25" s="169"/>
    </row>
    <row r="26" spans="2:84">
      <c r="B26" s="152" t="str">
        <f>+$D$7</f>
        <v>EUR</v>
      </c>
      <c r="C26" s="4"/>
      <c r="D26" s="8">
        <f>+D12</f>
        <v>2026</v>
      </c>
      <c r="E26" s="8">
        <f t="shared" ref="E26:M26" si="18">+E12</f>
        <v>2027</v>
      </c>
      <c r="F26" s="8">
        <f t="shared" si="18"/>
        <v>2028</v>
      </c>
      <c r="G26" s="8">
        <f t="shared" si="18"/>
        <v>2029</v>
      </c>
      <c r="H26" s="8">
        <f t="shared" si="18"/>
        <v>2030</v>
      </c>
      <c r="I26" s="8">
        <f t="shared" si="18"/>
        <v>2031</v>
      </c>
      <c r="J26" s="8">
        <f t="shared" si="18"/>
        <v>2032</v>
      </c>
      <c r="K26" s="8">
        <f t="shared" si="18"/>
        <v>2033</v>
      </c>
      <c r="L26" s="8">
        <f t="shared" si="18"/>
        <v>2034</v>
      </c>
      <c r="M26" s="8">
        <f t="shared" si="18"/>
        <v>2035</v>
      </c>
      <c r="N26" s="124" t="s">
        <v>34</v>
      </c>
      <c r="P26" s="152" t="str">
        <f>+$D$7</f>
        <v>EUR</v>
      </c>
      <c r="Q26" s="4"/>
      <c r="R26" s="8">
        <f>+R12</f>
        <v>2026</v>
      </c>
      <c r="S26" s="8">
        <f t="shared" ref="S26:AA26" si="19">+S12</f>
        <v>2027</v>
      </c>
      <c r="T26" s="8">
        <f t="shared" si="19"/>
        <v>2028</v>
      </c>
      <c r="U26" s="8">
        <f t="shared" si="19"/>
        <v>2029</v>
      </c>
      <c r="V26" s="8">
        <f t="shared" si="19"/>
        <v>2030</v>
      </c>
      <c r="W26" s="8">
        <f t="shared" si="19"/>
        <v>2031</v>
      </c>
      <c r="X26" s="8">
        <f t="shared" si="19"/>
        <v>2032</v>
      </c>
      <c r="Y26" s="8">
        <f t="shared" si="19"/>
        <v>2033</v>
      </c>
      <c r="Z26" s="8">
        <f t="shared" si="19"/>
        <v>2034</v>
      </c>
      <c r="AA26" s="8">
        <f t="shared" si="19"/>
        <v>2035</v>
      </c>
      <c r="AB26" s="124" t="s">
        <v>34</v>
      </c>
      <c r="AD26" s="152" t="str">
        <f>+$D$7</f>
        <v>EUR</v>
      </c>
      <c r="AE26" s="4"/>
      <c r="AF26" s="8">
        <f>+AF12</f>
        <v>2026</v>
      </c>
      <c r="AG26" s="8">
        <f t="shared" ref="AG26:AO26" si="20">+AG12</f>
        <v>2027</v>
      </c>
      <c r="AH26" s="8">
        <f t="shared" si="20"/>
        <v>2028</v>
      </c>
      <c r="AI26" s="8">
        <f t="shared" si="20"/>
        <v>2029</v>
      </c>
      <c r="AJ26" s="8">
        <f t="shared" si="20"/>
        <v>2030</v>
      </c>
      <c r="AK26" s="8">
        <f t="shared" si="20"/>
        <v>2031</v>
      </c>
      <c r="AL26" s="8">
        <f t="shared" si="20"/>
        <v>2032</v>
      </c>
      <c r="AM26" s="8">
        <f t="shared" si="20"/>
        <v>2033</v>
      </c>
      <c r="AN26" s="8">
        <f t="shared" si="20"/>
        <v>2034</v>
      </c>
      <c r="AO26" s="8">
        <f t="shared" si="20"/>
        <v>2035</v>
      </c>
      <c r="AP26" s="124" t="s">
        <v>34</v>
      </c>
      <c r="AR26" s="152" t="str">
        <f>+$D$7</f>
        <v>EUR</v>
      </c>
      <c r="AS26" s="4"/>
      <c r="AT26" s="8">
        <f>+AT12</f>
        <v>2026</v>
      </c>
      <c r="AU26" s="8">
        <f t="shared" ref="AU26:BC26" si="21">+AU12</f>
        <v>2027</v>
      </c>
      <c r="AV26" s="8">
        <f t="shared" si="21"/>
        <v>2028</v>
      </c>
      <c r="AW26" s="8">
        <f t="shared" si="21"/>
        <v>2029</v>
      </c>
      <c r="AX26" s="8">
        <f t="shared" si="21"/>
        <v>2030</v>
      </c>
      <c r="AY26" s="8">
        <f t="shared" si="21"/>
        <v>2031</v>
      </c>
      <c r="AZ26" s="8">
        <f t="shared" si="21"/>
        <v>2032</v>
      </c>
      <c r="BA26" s="8">
        <f t="shared" si="21"/>
        <v>2033</v>
      </c>
      <c r="BB26" s="8">
        <f t="shared" si="21"/>
        <v>2034</v>
      </c>
      <c r="BC26" s="8">
        <f t="shared" si="21"/>
        <v>2035</v>
      </c>
      <c r="BD26" s="124" t="s">
        <v>34</v>
      </c>
      <c r="BF26" s="152" t="str">
        <f>+$D$7</f>
        <v>EUR</v>
      </c>
      <c r="BG26" s="4"/>
      <c r="BH26" s="8">
        <f>+BH12</f>
        <v>2026</v>
      </c>
      <c r="BI26" s="8">
        <f t="shared" ref="BI26:BQ26" si="22">+BI12</f>
        <v>2027</v>
      </c>
      <c r="BJ26" s="8">
        <f t="shared" si="22"/>
        <v>2028</v>
      </c>
      <c r="BK26" s="8">
        <f t="shared" si="22"/>
        <v>2029</v>
      </c>
      <c r="BL26" s="8">
        <f t="shared" si="22"/>
        <v>2030</v>
      </c>
      <c r="BM26" s="8">
        <f t="shared" si="22"/>
        <v>2031</v>
      </c>
      <c r="BN26" s="8">
        <f t="shared" si="22"/>
        <v>2032</v>
      </c>
      <c r="BO26" s="8">
        <f t="shared" si="22"/>
        <v>2033</v>
      </c>
      <c r="BP26" s="8">
        <f t="shared" si="22"/>
        <v>2034</v>
      </c>
      <c r="BQ26" s="8">
        <f t="shared" si="22"/>
        <v>2035</v>
      </c>
      <c r="BR26" s="124" t="s">
        <v>34</v>
      </c>
      <c r="BT26" s="152" t="str">
        <f>+$D$7</f>
        <v>EUR</v>
      </c>
      <c r="BU26" s="4"/>
      <c r="BV26" s="8">
        <f>+BV12</f>
        <v>2026</v>
      </c>
      <c r="BW26" s="8">
        <f t="shared" ref="BW26:CE26" si="23">+BW12</f>
        <v>2027</v>
      </c>
      <c r="BX26" s="8">
        <f t="shared" si="23"/>
        <v>2028</v>
      </c>
      <c r="BY26" s="8">
        <f t="shared" si="23"/>
        <v>2029</v>
      </c>
      <c r="BZ26" s="8">
        <f t="shared" si="23"/>
        <v>2030</v>
      </c>
      <c r="CA26" s="8">
        <f t="shared" si="23"/>
        <v>2031</v>
      </c>
      <c r="CB26" s="8">
        <f t="shared" si="23"/>
        <v>2032</v>
      </c>
      <c r="CC26" s="8">
        <f t="shared" si="23"/>
        <v>2033</v>
      </c>
      <c r="CD26" s="8">
        <f t="shared" si="23"/>
        <v>2034</v>
      </c>
      <c r="CE26" s="8">
        <f t="shared" si="23"/>
        <v>2035</v>
      </c>
      <c r="CF26" s="124" t="s">
        <v>34</v>
      </c>
    </row>
    <row r="27" spans="2:84">
      <c r="B27" s="180" t="s">
        <v>74</v>
      </c>
      <c r="C27" s="111"/>
      <c r="D27" s="28">
        <f>IFERROR(Total!D20/$E$7,0)</f>
        <v>0</v>
      </c>
      <c r="E27" s="111">
        <f>IFERROR(Total!E20/$E$7,0)</f>
        <v>0</v>
      </c>
      <c r="F27" s="28">
        <f>IFERROR(Total!F20/$E$7,0)</f>
        <v>0</v>
      </c>
      <c r="G27" s="111">
        <f>IFERROR(Total!G20/$E$7,0)</f>
        <v>0</v>
      </c>
      <c r="H27" s="28">
        <f>IFERROR(Total!H20/$E$7,0)</f>
        <v>0</v>
      </c>
      <c r="I27" s="111">
        <f>IFERROR(Total!I20/$E$7,0)</f>
        <v>0</v>
      </c>
      <c r="J27" s="28">
        <f>IFERROR(Total!J20/$E$7,0)</f>
        <v>0</v>
      </c>
      <c r="K27" s="28">
        <f>IFERROR(Total!K20/$E$7,0)</f>
        <v>0</v>
      </c>
      <c r="L27" s="28">
        <f>IFERROR(Total!L20/$E$7,0)</f>
        <v>0</v>
      </c>
      <c r="M27" s="28">
        <f>IFERROR(Total!M20/$E$7,0)</f>
        <v>0</v>
      </c>
      <c r="N27" s="170">
        <f>SUM(D27:M27)</f>
        <v>0</v>
      </c>
      <c r="P27" s="180" t="s">
        <v>74</v>
      </c>
      <c r="Q27" s="111"/>
      <c r="R27" s="28">
        <f>IFERROR(('B1'!S80/$E$7),0)</f>
        <v>0</v>
      </c>
      <c r="S27" s="111">
        <f>IFERROR(('B1'!T80/$E$7),0)</f>
        <v>0</v>
      </c>
      <c r="T27" s="28">
        <f>IFERROR(('B1'!U80/$E$7),0)</f>
        <v>0</v>
      </c>
      <c r="U27" s="111">
        <f>IFERROR(('B1'!V80/$E$7),0)</f>
        <v>0</v>
      </c>
      <c r="V27" s="28">
        <f>IFERROR(('B1'!W80/$E$7),0)</f>
        <v>0</v>
      </c>
      <c r="W27" s="111">
        <f>IFERROR(('B1'!X80/$E$7),0)</f>
        <v>0</v>
      </c>
      <c r="X27" s="28">
        <f>IFERROR(('B1'!Y80/$E$7),0)</f>
        <v>0</v>
      </c>
      <c r="Y27" s="28">
        <f>IFERROR(('B1'!Z80/$E$7),0)</f>
        <v>0</v>
      </c>
      <c r="Z27" s="28">
        <f>IFERROR(('B1'!AA80/$E$7),0)</f>
        <v>0</v>
      </c>
      <c r="AA27" s="28">
        <f>IFERROR(('B1'!AB80/$E$7),0)</f>
        <v>0</v>
      </c>
      <c r="AB27" s="170">
        <f>SUM(R27:AA27)</f>
        <v>0</v>
      </c>
      <c r="AD27" s="180" t="s">
        <v>74</v>
      </c>
      <c r="AE27" s="111"/>
      <c r="AF27" s="28">
        <f>IFERROR(('B2'!S80/$E$7),0)</f>
        <v>0</v>
      </c>
      <c r="AG27" s="111">
        <f>IFERROR(('B2'!T80/$E$7),0)</f>
        <v>0</v>
      </c>
      <c r="AH27" s="28">
        <f>IFERROR(('B2'!U80/$E$7),0)</f>
        <v>0</v>
      </c>
      <c r="AI27" s="111">
        <f>IFERROR(('B2'!V80/$E$7),0)</f>
        <v>0</v>
      </c>
      <c r="AJ27" s="28">
        <f>IFERROR(('B2'!W80/$E$7),0)</f>
        <v>0</v>
      </c>
      <c r="AK27" s="111">
        <f>IFERROR(('B2'!X80/$E$7),0)</f>
        <v>0</v>
      </c>
      <c r="AL27" s="28">
        <f>IFERROR(('B2'!Y80/$E$7),0)</f>
        <v>0</v>
      </c>
      <c r="AM27" s="28">
        <f>IFERROR(('B2'!Z80/$E$7),0)</f>
        <v>0</v>
      </c>
      <c r="AN27" s="28">
        <f>IFERROR(('B2'!AA80/$E$7),0)</f>
        <v>0</v>
      </c>
      <c r="AO27" s="28">
        <f>IFERROR(('B2'!AB80/$E$7),0)</f>
        <v>0</v>
      </c>
      <c r="AP27" s="170">
        <f>SUM(AF27:AO27)</f>
        <v>0</v>
      </c>
      <c r="AR27" s="180" t="s">
        <v>74</v>
      </c>
      <c r="AS27" s="111"/>
      <c r="AT27" s="28">
        <f>IFERROR(('B3'!S80/$E$7),0)</f>
        <v>0</v>
      </c>
      <c r="AU27" s="111">
        <f>IFERROR(('B3'!T80/$E$7),0)</f>
        <v>0</v>
      </c>
      <c r="AV27" s="28">
        <f>IFERROR(('B3'!U80/$E$7),0)</f>
        <v>0</v>
      </c>
      <c r="AW27" s="111">
        <f>IFERROR(('B3'!V80/$E$7),0)</f>
        <v>0</v>
      </c>
      <c r="AX27" s="28">
        <f>IFERROR(('B3'!W80/$E$7),0)</f>
        <v>0</v>
      </c>
      <c r="AY27" s="111">
        <f>IFERROR(('B3'!X80/$E$7),0)</f>
        <v>0</v>
      </c>
      <c r="AZ27" s="28">
        <f>IFERROR(('B3'!Y80/$E$7),0)</f>
        <v>0</v>
      </c>
      <c r="BA27" s="28">
        <f>IFERROR(('B3'!Z80/$E$7),0)</f>
        <v>0</v>
      </c>
      <c r="BB27" s="28">
        <f>IFERROR(('B3'!AA80/$E$7),0)</f>
        <v>0</v>
      </c>
      <c r="BC27" s="28">
        <f>IFERROR(('B3'!AB80/$E$7),0)</f>
        <v>0</v>
      </c>
      <c r="BD27" s="170">
        <f>SUM(AT27:BC27)</f>
        <v>0</v>
      </c>
      <c r="BF27" s="180" t="s">
        <v>74</v>
      </c>
      <c r="BG27" s="111"/>
      <c r="BH27" s="28">
        <f>IFERROR(('B4'!S80/$E$7),0)</f>
        <v>0</v>
      </c>
      <c r="BI27" s="111">
        <f>IFERROR(('B4'!T80/$E$7),0)</f>
        <v>0</v>
      </c>
      <c r="BJ27" s="28">
        <f>IFERROR(('B4'!U80/$E$7),0)</f>
        <v>0</v>
      </c>
      <c r="BK27" s="111">
        <f>IFERROR(('B4'!V80/$E$7),0)</f>
        <v>0</v>
      </c>
      <c r="BL27" s="28">
        <f>IFERROR(('B4'!W80/$E$7),0)</f>
        <v>0</v>
      </c>
      <c r="BM27" s="111">
        <f>IFERROR(('B4'!X80/$E$7),0)</f>
        <v>0</v>
      </c>
      <c r="BN27" s="28">
        <f>IFERROR(('B4'!Y80/$E$7),0)</f>
        <v>0</v>
      </c>
      <c r="BO27" s="28">
        <f>IFERROR(('B4'!Z80/$E$7),0)</f>
        <v>0</v>
      </c>
      <c r="BP27" s="28">
        <f>IFERROR(('B4'!AA80/$E$7),0)</f>
        <v>0</v>
      </c>
      <c r="BQ27" s="28">
        <f>IFERROR(('B4'!AB80/$E$7),0)</f>
        <v>0</v>
      </c>
      <c r="BR27" s="170">
        <f>SUM(BH27:BQ27)</f>
        <v>0</v>
      </c>
      <c r="BT27" s="180" t="s">
        <v>74</v>
      </c>
      <c r="BU27" s="111"/>
      <c r="BV27" s="28">
        <f>IFERROR(('B5'!S80/$E$7),0)</f>
        <v>0</v>
      </c>
      <c r="BW27" s="111">
        <f>IFERROR(('B5'!T80/$E$7),0)</f>
        <v>0</v>
      </c>
      <c r="BX27" s="28">
        <f>IFERROR(('B5'!U80/$E$7),0)</f>
        <v>0</v>
      </c>
      <c r="BY27" s="111">
        <f>IFERROR(('B5'!V80/$E$7),0)</f>
        <v>0</v>
      </c>
      <c r="BZ27" s="28">
        <f>IFERROR(('B5'!W80/$E$7),0)</f>
        <v>0</v>
      </c>
      <c r="CA27" s="111">
        <f>IFERROR(('B5'!X80/$E$7),0)</f>
        <v>0</v>
      </c>
      <c r="CB27" s="28">
        <f>IFERROR(('B5'!Y80/$E$7),0)</f>
        <v>0</v>
      </c>
      <c r="CC27" s="28">
        <f>IFERROR(('B5'!Z80/$E$7),0)</f>
        <v>0</v>
      </c>
      <c r="CD27" s="28">
        <f>IFERROR(('B5'!AA80/$E$7),0)</f>
        <v>0</v>
      </c>
      <c r="CE27" s="28">
        <f>IFERROR(('B5'!AB80/$E$7),0)</f>
        <v>0</v>
      </c>
      <c r="CF27" s="170">
        <f>SUM(BV27:CE27)</f>
        <v>0</v>
      </c>
    </row>
    <row r="28" spans="2:84">
      <c r="B28" s="152" t="s">
        <v>75</v>
      </c>
      <c r="C28" s="112"/>
      <c r="D28" s="113">
        <f>IFERROR(Total!D21/$E$7,0)</f>
        <v>0</v>
      </c>
      <c r="E28" s="112">
        <f>IFERROR(Total!E21/$E$7,0)</f>
        <v>0</v>
      </c>
      <c r="F28" s="113">
        <f>IFERROR(Total!F21/$E$7,0)</f>
        <v>0</v>
      </c>
      <c r="G28" s="112">
        <f>IFERROR(Total!G21/$E$7,0)</f>
        <v>0</v>
      </c>
      <c r="H28" s="113">
        <f>IFERROR(Total!H21/$E$7,0)</f>
        <v>0</v>
      </c>
      <c r="I28" s="112">
        <f>IFERROR(Total!I21/$E$7,0)</f>
        <v>0</v>
      </c>
      <c r="J28" s="113">
        <f>IFERROR(Total!J21/$E$7,0)</f>
        <v>0</v>
      </c>
      <c r="K28" s="113">
        <f>IFERROR(Total!K21/$E$7,0)</f>
        <v>0</v>
      </c>
      <c r="L28" s="113">
        <f>IFERROR(Total!L21/$E$7,0)</f>
        <v>0</v>
      </c>
      <c r="M28" s="113">
        <f>IFERROR(Total!M21/$E$7,0)</f>
        <v>0</v>
      </c>
      <c r="N28" s="171">
        <f t="shared" ref="N28:N36" si="24">SUM(D28:M28)</f>
        <v>0</v>
      </c>
      <c r="P28" s="152" t="s">
        <v>75</v>
      </c>
      <c r="Q28" s="112"/>
      <c r="R28" s="113">
        <f>IFERROR(('B1'!S81/$E$7),0)</f>
        <v>0</v>
      </c>
      <c r="S28" s="112">
        <f>IFERROR(('B1'!T81/$E$7),0)</f>
        <v>0</v>
      </c>
      <c r="T28" s="113">
        <f>IFERROR(('B1'!U81/$E$7),0)</f>
        <v>0</v>
      </c>
      <c r="U28" s="112">
        <f>IFERROR(('B1'!V81/$E$7),0)</f>
        <v>0</v>
      </c>
      <c r="V28" s="113">
        <f>IFERROR(('B1'!W81/$E$7),0)</f>
        <v>0</v>
      </c>
      <c r="W28" s="112">
        <f>IFERROR(('B1'!X81/$E$7),0)</f>
        <v>0</v>
      </c>
      <c r="X28" s="113">
        <f>IFERROR(('B1'!Y81/$E$7),0)</f>
        <v>0</v>
      </c>
      <c r="Y28" s="113">
        <f>IFERROR(('B1'!Z81/$E$7),0)</f>
        <v>0</v>
      </c>
      <c r="Z28" s="113">
        <f>IFERROR(('B1'!AA81/$E$7),0)</f>
        <v>0</v>
      </c>
      <c r="AA28" s="113">
        <f>IFERROR(('B1'!AB81/$E$7),0)</f>
        <v>0</v>
      </c>
      <c r="AB28" s="171">
        <f t="shared" ref="AB28:AB36" si="25">SUM(R28:AA28)</f>
        <v>0</v>
      </c>
      <c r="AD28" s="152" t="s">
        <v>75</v>
      </c>
      <c r="AE28" s="112"/>
      <c r="AF28" s="113">
        <f>IFERROR(('B2'!S81/$E$7),0)</f>
        <v>0</v>
      </c>
      <c r="AG28" s="112">
        <f>IFERROR(('B2'!T81/$E$7),0)</f>
        <v>0</v>
      </c>
      <c r="AH28" s="113">
        <f>IFERROR(('B2'!U81/$E$7),0)</f>
        <v>0</v>
      </c>
      <c r="AI28" s="112">
        <f>IFERROR(('B2'!V81/$E$7),0)</f>
        <v>0</v>
      </c>
      <c r="AJ28" s="113">
        <f>IFERROR(('B2'!W81/$E$7),0)</f>
        <v>0</v>
      </c>
      <c r="AK28" s="112">
        <f>IFERROR(('B2'!X81/$E$7),0)</f>
        <v>0</v>
      </c>
      <c r="AL28" s="113">
        <f>IFERROR(('B2'!Y81/$E$7),0)</f>
        <v>0</v>
      </c>
      <c r="AM28" s="113">
        <f>IFERROR(('B2'!Z81/$E$7),0)</f>
        <v>0</v>
      </c>
      <c r="AN28" s="113">
        <f>IFERROR(('B2'!AA81/$E$7),0)</f>
        <v>0</v>
      </c>
      <c r="AO28" s="113">
        <f>IFERROR(('B2'!AB81/$E$7),0)</f>
        <v>0</v>
      </c>
      <c r="AP28" s="171">
        <f t="shared" ref="AP28:AP36" si="26">SUM(AF28:AO28)</f>
        <v>0</v>
      </c>
      <c r="AR28" s="152" t="s">
        <v>75</v>
      </c>
      <c r="AS28" s="112"/>
      <c r="AT28" s="113">
        <f>IFERROR(('B3'!S81/$E$7),0)</f>
        <v>0</v>
      </c>
      <c r="AU28" s="112">
        <f>IFERROR(('B3'!T81/$E$7),0)</f>
        <v>0</v>
      </c>
      <c r="AV28" s="113">
        <f>IFERROR(('B3'!U81/$E$7),0)</f>
        <v>0</v>
      </c>
      <c r="AW28" s="112">
        <f>IFERROR(('B3'!V81/$E$7),0)</f>
        <v>0</v>
      </c>
      <c r="AX28" s="113">
        <f>IFERROR(('B3'!W81/$E$7),0)</f>
        <v>0</v>
      </c>
      <c r="AY28" s="112">
        <f>IFERROR(('B3'!X81/$E$7),0)</f>
        <v>0</v>
      </c>
      <c r="AZ28" s="113">
        <f>IFERROR(('B3'!Y81/$E$7),0)</f>
        <v>0</v>
      </c>
      <c r="BA28" s="113">
        <f>IFERROR(('B3'!Z81/$E$7),0)</f>
        <v>0</v>
      </c>
      <c r="BB28" s="113">
        <f>IFERROR(('B3'!AA81/$E$7),0)</f>
        <v>0</v>
      </c>
      <c r="BC28" s="113">
        <f>IFERROR(('B3'!AB81/$E$7),0)</f>
        <v>0</v>
      </c>
      <c r="BD28" s="171">
        <f t="shared" ref="BD28:BD36" si="27">SUM(AT28:BC28)</f>
        <v>0</v>
      </c>
      <c r="BF28" s="152" t="s">
        <v>75</v>
      </c>
      <c r="BG28" s="112"/>
      <c r="BH28" s="113">
        <f>IFERROR(('B4'!S81/$E$7),0)</f>
        <v>0</v>
      </c>
      <c r="BI28" s="112">
        <f>IFERROR(('B4'!T81/$E$7),0)</f>
        <v>0</v>
      </c>
      <c r="BJ28" s="113">
        <f>IFERROR(('B4'!U81/$E$7),0)</f>
        <v>0</v>
      </c>
      <c r="BK28" s="112">
        <f>IFERROR(('B4'!V81/$E$7),0)</f>
        <v>0</v>
      </c>
      <c r="BL28" s="113">
        <f>IFERROR(('B4'!W81/$E$7),0)</f>
        <v>0</v>
      </c>
      <c r="BM28" s="112">
        <f>IFERROR(('B4'!X81/$E$7),0)</f>
        <v>0</v>
      </c>
      <c r="BN28" s="113">
        <f>IFERROR(('B4'!Y81/$E$7),0)</f>
        <v>0</v>
      </c>
      <c r="BO28" s="113">
        <f>IFERROR(('B4'!Z81/$E$7),0)</f>
        <v>0</v>
      </c>
      <c r="BP28" s="113">
        <f>IFERROR(('B4'!AA81/$E$7),0)</f>
        <v>0</v>
      </c>
      <c r="BQ28" s="113">
        <f>IFERROR(('B4'!AB81/$E$7),0)</f>
        <v>0</v>
      </c>
      <c r="BR28" s="171">
        <f t="shared" ref="BR28:BR36" si="28">SUM(BH28:BQ28)</f>
        <v>0</v>
      </c>
      <c r="BT28" s="152" t="s">
        <v>75</v>
      </c>
      <c r="BU28" s="112"/>
      <c r="BV28" s="113">
        <f>IFERROR(('B5'!S81/$E$7),0)</f>
        <v>0</v>
      </c>
      <c r="BW28" s="112">
        <f>IFERROR(('B5'!T81/$E$7),0)</f>
        <v>0</v>
      </c>
      <c r="BX28" s="113">
        <f>IFERROR(('B5'!U81/$E$7),0)</f>
        <v>0</v>
      </c>
      <c r="BY28" s="112">
        <f>IFERROR(('B5'!V81/$E$7),0)</f>
        <v>0</v>
      </c>
      <c r="BZ28" s="113">
        <f>IFERROR(('B5'!W81/$E$7),0)</f>
        <v>0</v>
      </c>
      <c r="CA28" s="112">
        <f>IFERROR(('B5'!X81/$E$7),0)</f>
        <v>0</v>
      </c>
      <c r="CB28" s="113">
        <f>IFERROR(('B5'!Y81/$E$7),0)</f>
        <v>0</v>
      </c>
      <c r="CC28" s="113">
        <f>IFERROR(('B5'!Z81/$E$7),0)</f>
        <v>0</v>
      </c>
      <c r="CD28" s="113">
        <f>IFERROR(('B5'!AA81/$E$7),0)</f>
        <v>0</v>
      </c>
      <c r="CE28" s="113">
        <f>IFERROR(('B5'!AB81/$E$7),0)</f>
        <v>0</v>
      </c>
      <c r="CF28" s="171">
        <f t="shared" ref="CF28:CF36" si="29">SUM(BV28:CE28)</f>
        <v>0</v>
      </c>
    </row>
    <row r="29" spans="2:84">
      <c r="B29" s="181" t="s">
        <v>76</v>
      </c>
      <c r="C29" s="142"/>
      <c r="D29" s="137">
        <f>IFERROR(Total!D22/$E$7,0)</f>
        <v>0</v>
      </c>
      <c r="E29" s="137">
        <f>IFERROR(Total!E22/$E$7,0)</f>
        <v>0</v>
      </c>
      <c r="F29" s="137">
        <f>IFERROR(Total!F22/$E$7,0)</f>
        <v>0</v>
      </c>
      <c r="G29" s="137">
        <f>IFERROR(Total!G22/$E$7,0)</f>
        <v>0</v>
      </c>
      <c r="H29" s="137">
        <f>IFERROR(Total!H22/$E$7,0)</f>
        <v>0</v>
      </c>
      <c r="I29" s="137">
        <f>IFERROR(Total!I22/$E$7,0)</f>
        <v>0</v>
      </c>
      <c r="J29" s="142">
        <f>IFERROR(Total!J22/$E$7,0)</f>
        <v>0</v>
      </c>
      <c r="K29" s="137">
        <f>IFERROR(Total!K22/$E$7,0)</f>
        <v>0</v>
      </c>
      <c r="L29" s="137">
        <f>IFERROR(Total!L22/$E$7,0)</f>
        <v>0</v>
      </c>
      <c r="M29" s="137">
        <f>IFERROR(Total!M22/$E$7,0)</f>
        <v>0</v>
      </c>
      <c r="N29" s="172">
        <f t="shared" si="24"/>
        <v>0</v>
      </c>
      <c r="P29" s="181" t="s">
        <v>76</v>
      </c>
      <c r="Q29" s="142"/>
      <c r="R29" s="137">
        <f>IFERROR(('B1'!S82/$E$7),0)</f>
        <v>0</v>
      </c>
      <c r="S29" s="137">
        <f>IFERROR(('B1'!T82/$E$7),0)</f>
        <v>0</v>
      </c>
      <c r="T29" s="137">
        <f>IFERROR(('B1'!U82/$E$7),0)</f>
        <v>0</v>
      </c>
      <c r="U29" s="137">
        <f>IFERROR(('B1'!V82/$E$7),0)</f>
        <v>0</v>
      </c>
      <c r="V29" s="137">
        <f>IFERROR(('B1'!W82/$E$7),0)</f>
        <v>0</v>
      </c>
      <c r="W29" s="137">
        <f>IFERROR(('B1'!X82/$E$7),0)</f>
        <v>0</v>
      </c>
      <c r="X29" s="142">
        <f>IFERROR(('B1'!Y82/$E$7),0)</f>
        <v>0</v>
      </c>
      <c r="Y29" s="137">
        <f>IFERROR(('B1'!Z82/$E$7),0)</f>
        <v>0</v>
      </c>
      <c r="Z29" s="137">
        <f>IFERROR(('B1'!AA82/$E$7),0)</f>
        <v>0</v>
      </c>
      <c r="AA29" s="137">
        <f>IFERROR(('B1'!AB82/$E$7),0)</f>
        <v>0</v>
      </c>
      <c r="AB29" s="172">
        <f t="shared" si="25"/>
        <v>0</v>
      </c>
      <c r="AD29" s="181" t="s">
        <v>76</v>
      </c>
      <c r="AE29" s="142"/>
      <c r="AF29" s="137">
        <f>IFERROR(('B2'!S82/$E$7),0)</f>
        <v>0</v>
      </c>
      <c r="AG29" s="137">
        <f>IFERROR(('B2'!T82/$E$7),0)</f>
        <v>0</v>
      </c>
      <c r="AH29" s="137">
        <f>IFERROR(('B2'!U82/$E$7),0)</f>
        <v>0</v>
      </c>
      <c r="AI29" s="137">
        <f>IFERROR(('B2'!V82/$E$7),0)</f>
        <v>0</v>
      </c>
      <c r="AJ29" s="137">
        <f>IFERROR(('B2'!W82/$E$7),0)</f>
        <v>0</v>
      </c>
      <c r="AK29" s="137">
        <f>IFERROR(('B2'!X82/$E$7),0)</f>
        <v>0</v>
      </c>
      <c r="AL29" s="142">
        <f>IFERROR(('B2'!Y82/$E$7),0)</f>
        <v>0</v>
      </c>
      <c r="AM29" s="137">
        <f>IFERROR(('B2'!Z82/$E$7),0)</f>
        <v>0</v>
      </c>
      <c r="AN29" s="137">
        <f>IFERROR(('B2'!AA82/$E$7),0)</f>
        <v>0</v>
      </c>
      <c r="AO29" s="137">
        <f>IFERROR(('B2'!AB82/$E$7),0)</f>
        <v>0</v>
      </c>
      <c r="AP29" s="172">
        <f t="shared" si="26"/>
        <v>0</v>
      </c>
      <c r="AR29" s="181" t="s">
        <v>76</v>
      </c>
      <c r="AS29" s="142"/>
      <c r="AT29" s="137">
        <f>IFERROR(('B3'!S82/$E$7),0)</f>
        <v>0</v>
      </c>
      <c r="AU29" s="137">
        <f>IFERROR(('B3'!T82/$E$7),0)</f>
        <v>0</v>
      </c>
      <c r="AV29" s="137">
        <f>IFERROR(('B3'!U82/$E$7),0)</f>
        <v>0</v>
      </c>
      <c r="AW29" s="137">
        <f>IFERROR(('B3'!V82/$E$7),0)</f>
        <v>0</v>
      </c>
      <c r="AX29" s="137">
        <f>IFERROR(('B3'!W82/$E$7),0)</f>
        <v>0</v>
      </c>
      <c r="AY29" s="137">
        <f>IFERROR(('B3'!X82/$E$7),0)</f>
        <v>0</v>
      </c>
      <c r="AZ29" s="142">
        <f>IFERROR(('B3'!Y82/$E$7),0)</f>
        <v>0</v>
      </c>
      <c r="BA29" s="137">
        <f>IFERROR(('B3'!Z82/$E$7),0)</f>
        <v>0</v>
      </c>
      <c r="BB29" s="137">
        <f>IFERROR(('B3'!AA82/$E$7),0)</f>
        <v>0</v>
      </c>
      <c r="BC29" s="137">
        <f>IFERROR(('B3'!AB82/$E$7),0)</f>
        <v>0</v>
      </c>
      <c r="BD29" s="172">
        <f t="shared" si="27"/>
        <v>0</v>
      </c>
      <c r="BF29" s="181" t="s">
        <v>76</v>
      </c>
      <c r="BG29" s="142"/>
      <c r="BH29" s="137">
        <f>IFERROR(('B4'!S82/$E$7),0)</f>
        <v>0</v>
      </c>
      <c r="BI29" s="137">
        <f>IFERROR(('B4'!T82/$E$7),0)</f>
        <v>0</v>
      </c>
      <c r="BJ29" s="137">
        <f>IFERROR(('B4'!U82/$E$7),0)</f>
        <v>0</v>
      </c>
      <c r="BK29" s="137">
        <f>IFERROR(('B4'!V82/$E$7),0)</f>
        <v>0</v>
      </c>
      <c r="BL29" s="137">
        <f>IFERROR(('B4'!W82/$E$7),0)</f>
        <v>0</v>
      </c>
      <c r="BM29" s="137">
        <f>IFERROR(('B4'!X82/$E$7),0)</f>
        <v>0</v>
      </c>
      <c r="BN29" s="142">
        <f>IFERROR(('B4'!Y82/$E$7),0)</f>
        <v>0</v>
      </c>
      <c r="BO29" s="137">
        <f>IFERROR(('B4'!Z82/$E$7),0)</f>
        <v>0</v>
      </c>
      <c r="BP29" s="137">
        <f>IFERROR(('B4'!AA82/$E$7),0)</f>
        <v>0</v>
      </c>
      <c r="BQ29" s="137">
        <f>IFERROR(('B4'!AB82/$E$7),0)</f>
        <v>0</v>
      </c>
      <c r="BR29" s="172">
        <f t="shared" si="28"/>
        <v>0</v>
      </c>
      <c r="BT29" s="181" t="s">
        <v>76</v>
      </c>
      <c r="BU29" s="142"/>
      <c r="BV29" s="137">
        <f>IFERROR(('B5'!S82/$E$7),0)</f>
        <v>0</v>
      </c>
      <c r="BW29" s="137">
        <f>IFERROR(('B5'!T82/$E$7),0)</f>
        <v>0</v>
      </c>
      <c r="BX29" s="137">
        <f>IFERROR(('B5'!U82/$E$7),0)</f>
        <v>0</v>
      </c>
      <c r="BY29" s="137">
        <f>IFERROR(('B5'!V82/$E$7),0)</f>
        <v>0</v>
      </c>
      <c r="BZ29" s="137">
        <f>IFERROR(('B5'!W82/$E$7),0)</f>
        <v>0</v>
      </c>
      <c r="CA29" s="137">
        <f>IFERROR(('B5'!X82/$E$7),0)</f>
        <v>0</v>
      </c>
      <c r="CB29" s="142">
        <f>IFERROR(('B5'!Y82/$E$7),0)</f>
        <v>0</v>
      </c>
      <c r="CC29" s="137">
        <f>IFERROR(('B5'!Z82/$E$7),0)</f>
        <v>0</v>
      </c>
      <c r="CD29" s="137">
        <f>IFERROR(('B5'!AA82/$E$7),0)</f>
        <v>0</v>
      </c>
      <c r="CE29" s="137">
        <f>IFERROR(('B5'!AB82/$E$7),0)</f>
        <v>0</v>
      </c>
      <c r="CF29" s="172">
        <f t="shared" si="29"/>
        <v>0</v>
      </c>
    </row>
    <row r="30" spans="2:84">
      <c r="B30" s="181" t="s">
        <v>77</v>
      </c>
      <c r="C30" s="142"/>
      <c r="D30" s="137">
        <f>IFERROR(Total!D23/$E$7,0)</f>
        <v>0</v>
      </c>
      <c r="E30" s="187">
        <f>IFERROR(Total!E23/$E$7,0)</f>
        <v>0</v>
      </c>
      <c r="F30" s="187">
        <f>IFERROR(Total!F23/$E$7,0)</f>
        <v>0</v>
      </c>
      <c r="G30" s="187">
        <f>IFERROR(Total!G23/$E$7,0)</f>
        <v>0</v>
      </c>
      <c r="H30" s="187">
        <f>IFERROR(Total!H23/$E$7,0)</f>
        <v>0</v>
      </c>
      <c r="I30" s="187">
        <f>IFERROR(Total!I23/$E$7,0)</f>
        <v>0</v>
      </c>
      <c r="J30" s="188">
        <f>IFERROR(Total!J23/$E$7,0)</f>
        <v>0</v>
      </c>
      <c r="K30" s="187">
        <f>IFERROR(Total!K23/$E$7,0)</f>
        <v>0</v>
      </c>
      <c r="L30" s="187">
        <f>IFERROR(Total!L23/$E$7,0)</f>
        <v>0</v>
      </c>
      <c r="M30" s="187">
        <f>IFERROR(Total!M23/$E$7,0)</f>
        <v>0</v>
      </c>
      <c r="N30" s="172">
        <f t="shared" si="24"/>
        <v>0</v>
      </c>
      <c r="P30" s="181" t="s">
        <v>77</v>
      </c>
      <c r="Q30" s="142"/>
      <c r="R30" s="137">
        <f>IFERROR(('B1'!S83/$E$7),0)</f>
        <v>0</v>
      </c>
      <c r="S30" s="187">
        <f>IFERROR(('B1'!T83/$E$7),0)</f>
        <v>0</v>
      </c>
      <c r="T30" s="187">
        <f>IFERROR(('B1'!U83/$E$7),0)</f>
        <v>0</v>
      </c>
      <c r="U30" s="187">
        <f>IFERROR(('B1'!V83/$E$7),0)</f>
        <v>0</v>
      </c>
      <c r="V30" s="187">
        <f>IFERROR(('B1'!W83/$E$7),0)</f>
        <v>0</v>
      </c>
      <c r="W30" s="187">
        <f>IFERROR(('B1'!X83/$E$7),0)</f>
        <v>0</v>
      </c>
      <c r="X30" s="188">
        <f>IFERROR(('B1'!Y83/$E$7),0)</f>
        <v>0</v>
      </c>
      <c r="Y30" s="187">
        <f>IFERROR(('B1'!Z83/$E$7),0)</f>
        <v>0</v>
      </c>
      <c r="Z30" s="187">
        <f>IFERROR(('B1'!AA83/$E$7),0)</f>
        <v>0</v>
      </c>
      <c r="AA30" s="187">
        <f>IFERROR(('B1'!AB83/$E$7),0)</f>
        <v>0</v>
      </c>
      <c r="AB30" s="172">
        <f t="shared" si="25"/>
        <v>0</v>
      </c>
      <c r="AD30" s="181" t="s">
        <v>77</v>
      </c>
      <c r="AE30" s="142"/>
      <c r="AF30" s="137">
        <f>IFERROR(('B2'!S83/$E$7),0)</f>
        <v>0</v>
      </c>
      <c r="AG30" s="187">
        <f>IFERROR(('B2'!T83/$E$7),0)</f>
        <v>0</v>
      </c>
      <c r="AH30" s="187">
        <f>IFERROR(('B2'!U83/$E$7),0)</f>
        <v>0</v>
      </c>
      <c r="AI30" s="187">
        <f>IFERROR(('B2'!V83/$E$7),0)</f>
        <v>0</v>
      </c>
      <c r="AJ30" s="187">
        <f>IFERROR(('B2'!W83/$E$7),0)</f>
        <v>0</v>
      </c>
      <c r="AK30" s="187">
        <f>IFERROR(('B2'!X83/$E$7),0)</f>
        <v>0</v>
      </c>
      <c r="AL30" s="188">
        <f>IFERROR(('B2'!Y83/$E$7),0)</f>
        <v>0</v>
      </c>
      <c r="AM30" s="187">
        <f>IFERROR(('B2'!Z83/$E$7),0)</f>
        <v>0</v>
      </c>
      <c r="AN30" s="187">
        <f>IFERROR(('B2'!AA83/$E$7),0)</f>
        <v>0</v>
      </c>
      <c r="AO30" s="187">
        <f>IFERROR(('B2'!AB83/$E$7),0)</f>
        <v>0</v>
      </c>
      <c r="AP30" s="172">
        <f t="shared" si="26"/>
        <v>0</v>
      </c>
      <c r="AR30" s="181" t="s">
        <v>77</v>
      </c>
      <c r="AS30" s="142"/>
      <c r="AT30" s="137">
        <f>IFERROR(('B3'!S83/$E$7),0)</f>
        <v>0</v>
      </c>
      <c r="AU30" s="187">
        <f>IFERROR(('B3'!T83/$E$7),0)</f>
        <v>0</v>
      </c>
      <c r="AV30" s="187">
        <f>IFERROR(('B3'!U83/$E$7),0)</f>
        <v>0</v>
      </c>
      <c r="AW30" s="187">
        <f>IFERROR(('B3'!V83/$E$7),0)</f>
        <v>0</v>
      </c>
      <c r="AX30" s="187">
        <f>IFERROR(('B3'!W83/$E$7),0)</f>
        <v>0</v>
      </c>
      <c r="AY30" s="187">
        <f>IFERROR(('B3'!X83/$E$7),0)</f>
        <v>0</v>
      </c>
      <c r="AZ30" s="188">
        <f>IFERROR(('B3'!Y83/$E$7),0)</f>
        <v>0</v>
      </c>
      <c r="BA30" s="187">
        <f>IFERROR(('B3'!Z83/$E$7),0)</f>
        <v>0</v>
      </c>
      <c r="BB30" s="187">
        <f>IFERROR(('B3'!AA83/$E$7),0)</f>
        <v>0</v>
      </c>
      <c r="BC30" s="187">
        <f>IFERROR(('B3'!AB83/$E$7),0)</f>
        <v>0</v>
      </c>
      <c r="BD30" s="172">
        <f t="shared" si="27"/>
        <v>0</v>
      </c>
      <c r="BF30" s="181" t="s">
        <v>77</v>
      </c>
      <c r="BG30" s="142"/>
      <c r="BH30" s="137">
        <f>IFERROR(('B4'!S83/$E$7),0)</f>
        <v>0</v>
      </c>
      <c r="BI30" s="187">
        <f>IFERROR(('B4'!T83/$E$7),0)</f>
        <v>0</v>
      </c>
      <c r="BJ30" s="187">
        <f>IFERROR(('B4'!U83/$E$7),0)</f>
        <v>0</v>
      </c>
      <c r="BK30" s="187">
        <f>IFERROR(('B4'!V83/$E$7),0)</f>
        <v>0</v>
      </c>
      <c r="BL30" s="187">
        <f>IFERROR(('B4'!W83/$E$7),0)</f>
        <v>0</v>
      </c>
      <c r="BM30" s="187">
        <f>IFERROR(('B4'!X83/$E$7),0)</f>
        <v>0</v>
      </c>
      <c r="BN30" s="188">
        <f>IFERROR(('B4'!Y83/$E$7),0)</f>
        <v>0</v>
      </c>
      <c r="BO30" s="187">
        <f>IFERROR(('B4'!Z83/$E$7),0)</f>
        <v>0</v>
      </c>
      <c r="BP30" s="187">
        <f>IFERROR(('B4'!AA83/$E$7),0)</f>
        <v>0</v>
      </c>
      <c r="BQ30" s="187">
        <f>IFERROR(('B4'!AB83/$E$7),0)</f>
        <v>0</v>
      </c>
      <c r="BR30" s="172">
        <f t="shared" si="28"/>
        <v>0</v>
      </c>
      <c r="BT30" s="181" t="s">
        <v>77</v>
      </c>
      <c r="BU30" s="142"/>
      <c r="BV30" s="137">
        <f>IFERROR(('B5'!S83/$E$7),0)</f>
        <v>0</v>
      </c>
      <c r="BW30" s="187">
        <f>IFERROR(('B5'!T83/$E$7),0)</f>
        <v>0</v>
      </c>
      <c r="BX30" s="187">
        <f>IFERROR(('B5'!U83/$E$7),0)</f>
        <v>0</v>
      </c>
      <c r="BY30" s="187">
        <f>IFERROR(('B5'!V83/$E$7),0)</f>
        <v>0</v>
      </c>
      <c r="BZ30" s="187">
        <f>IFERROR(('B5'!W83/$E$7),0)</f>
        <v>0</v>
      </c>
      <c r="CA30" s="187">
        <f>IFERROR(('B5'!X83/$E$7),0)</f>
        <v>0</v>
      </c>
      <c r="CB30" s="188">
        <f>IFERROR(('B5'!Y83/$E$7),0)</f>
        <v>0</v>
      </c>
      <c r="CC30" s="187">
        <f>IFERROR(('B5'!Z83/$E$7),0)</f>
        <v>0</v>
      </c>
      <c r="CD30" s="187">
        <f>IFERROR(('B5'!AA83/$E$7),0)</f>
        <v>0</v>
      </c>
      <c r="CE30" s="187">
        <f>IFERROR(('B5'!AB83/$E$7),0)</f>
        <v>0</v>
      </c>
      <c r="CF30" s="172">
        <f t="shared" si="29"/>
        <v>0</v>
      </c>
    </row>
    <row r="31" spans="2:84">
      <c r="B31" s="181" t="s">
        <v>78</v>
      </c>
      <c r="C31" s="142"/>
      <c r="D31" s="137">
        <f>IFERROR(Total!D24/$E$7,0)</f>
        <v>0</v>
      </c>
      <c r="E31" s="187">
        <f>IFERROR(Total!E24/$E$7,0)</f>
        <v>0</v>
      </c>
      <c r="F31" s="187">
        <f>IFERROR(Total!F24/$E$7,0)</f>
        <v>0</v>
      </c>
      <c r="G31" s="187">
        <f>IFERROR(Total!G24/$E$7,0)</f>
        <v>0</v>
      </c>
      <c r="H31" s="187">
        <f>IFERROR(Total!H24/$E$7,0)</f>
        <v>0</v>
      </c>
      <c r="I31" s="187">
        <f>IFERROR(Total!I24/$E$7,0)</f>
        <v>0</v>
      </c>
      <c r="J31" s="188">
        <f>IFERROR(Total!J24/$E$7,0)</f>
        <v>0</v>
      </c>
      <c r="K31" s="187">
        <f>IFERROR(Total!K24/$E$7,0)</f>
        <v>0</v>
      </c>
      <c r="L31" s="187">
        <f>IFERROR(Total!L24/$E$7,0)</f>
        <v>0</v>
      </c>
      <c r="M31" s="187">
        <f>IFERROR(Total!M24/$E$7,0)</f>
        <v>0</v>
      </c>
      <c r="N31" s="172">
        <f t="shared" si="24"/>
        <v>0</v>
      </c>
      <c r="P31" s="181" t="s">
        <v>78</v>
      </c>
      <c r="Q31" s="142"/>
      <c r="R31" s="137">
        <f>IFERROR(('B1'!S84/$E$7),0)</f>
        <v>0</v>
      </c>
      <c r="S31" s="187">
        <f>IFERROR(('B1'!T84/$E$7),0)</f>
        <v>0</v>
      </c>
      <c r="T31" s="187">
        <f>IFERROR(('B1'!U84/$E$7),0)</f>
        <v>0</v>
      </c>
      <c r="U31" s="187">
        <f>IFERROR(('B1'!V84/$E$7),0)</f>
        <v>0</v>
      </c>
      <c r="V31" s="187">
        <f>IFERROR(('B1'!W84/$E$7),0)</f>
        <v>0</v>
      </c>
      <c r="W31" s="187">
        <f>IFERROR(('B1'!X84/$E$7),0)</f>
        <v>0</v>
      </c>
      <c r="X31" s="188">
        <f>IFERROR(('B1'!Y84/$E$7),0)</f>
        <v>0</v>
      </c>
      <c r="Y31" s="187">
        <f>IFERROR(('B1'!Z84/$E$7),0)</f>
        <v>0</v>
      </c>
      <c r="Z31" s="187">
        <f>IFERROR(('B1'!AA84/$E$7),0)</f>
        <v>0</v>
      </c>
      <c r="AA31" s="187">
        <f>IFERROR(('B1'!AB84/$E$7),0)</f>
        <v>0</v>
      </c>
      <c r="AB31" s="172">
        <f t="shared" si="25"/>
        <v>0</v>
      </c>
      <c r="AD31" s="181" t="s">
        <v>78</v>
      </c>
      <c r="AE31" s="142"/>
      <c r="AF31" s="137">
        <f>IFERROR(('B2'!S84/$E$7),0)</f>
        <v>0</v>
      </c>
      <c r="AG31" s="187">
        <f>IFERROR(('B2'!T84/$E$7),0)</f>
        <v>0</v>
      </c>
      <c r="AH31" s="187">
        <f>IFERROR(('B2'!U84/$E$7),0)</f>
        <v>0</v>
      </c>
      <c r="AI31" s="187">
        <f>IFERROR(('B2'!V84/$E$7),0)</f>
        <v>0</v>
      </c>
      <c r="AJ31" s="187">
        <f>IFERROR(('B2'!W84/$E$7),0)</f>
        <v>0</v>
      </c>
      <c r="AK31" s="187">
        <f>IFERROR(('B2'!X84/$E$7),0)</f>
        <v>0</v>
      </c>
      <c r="AL31" s="188">
        <f>IFERROR(('B2'!Y84/$E$7),0)</f>
        <v>0</v>
      </c>
      <c r="AM31" s="187">
        <f>IFERROR(('B2'!Z84/$E$7),0)</f>
        <v>0</v>
      </c>
      <c r="AN31" s="187">
        <f>IFERROR(('B2'!AA84/$E$7),0)</f>
        <v>0</v>
      </c>
      <c r="AO31" s="187">
        <f>IFERROR(('B2'!AB84/$E$7),0)</f>
        <v>0</v>
      </c>
      <c r="AP31" s="172">
        <f t="shared" si="26"/>
        <v>0</v>
      </c>
      <c r="AR31" s="181" t="s">
        <v>78</v>
      </c>
      <c r="AS31" s="142"/>
      <c r="AT31" s="137">
        <f>IFERROR(('B3'!S84/$E$7),0)</f>
        <v>0</v>
      </c>
      <c r="AU31" s="187">
        <f>IFERROR(('B3'!T84/$E$7),0)</f>
        <v>0</v>
      </c>
      <c r="AV31" s="187">
        <f>IFERROR(('B3'!U84/$E$7),0)</f>
        <v>0</v>
      </c>
      <c r="AW31" s="187">
        <f>IFERROR(('B3'!V84/$E$7),0)</f>
        <v>0</v>
      </c>
      <c r="AX31" s="187">
        <f>IFERROR(('B3'!W84/$E$7),0)</f>
        <v>0</v>
      </c>
      <c r="AY31" s="187">
        <f>IFERROR(('B3'!X84/$E$7),0)</f>
        <v>0</v>
      </c>
      <c r="AZ31" s="188">
        <f>IFERROR(('B3'!Y84/$E$7),0)</f>
        <v>0</v>
      </c>
      <c r="BA31" s="187">
        <f>IFERROR(('B3'!Z84/$E$7),0)</f>
        <v>0</v>
      </c>
      <c r="BB31" s="187">
        <f>IFERROR(('B3'!AA84/$E$7),0)</f>
        <v>0</v>
      </c>
      <c r="BC31" s="187">
        <f>IFERROR(('B3'!AB84/$E$7),0)</f>
        <v>0</v>
      </c>
      <c r="BD31" s="172">
        <f t="shared" si="27"/>
        <v>0</v>
      </c>
      <c r="BF31" s="181" t="s">
        <v>78</v>
      </c>
      <c r="BG31" s="142"/>
      <c r="BH31" s="137">
        <f>IFERROR(('B4'!S84/$E$7),0)</f>
        <v>0</v>
      </c>
      <c r="BI31" s="187">
        <f>IFERROR(('B4'!T84/$E$7),0)</f>
        <v>0</v>
      </c>
      <c r="BJ31" s="187">
        <f>IFERROR(('B4'!U84/$E$7),0)</f>
        <v>0</v>
      </c>
      <c r="BK31" s="187">
        <f>IFERROR(('B4'!V84/$E$7),0)</f>
        <v>0</v>
      </c>
      <c r="BL31" s="187">
        <f>IFERROR(('B4'!W84/$E$7),0)</f>
        <v>0</v>
      </c>
      <c r="BM31" s="187">
        <f>IFERROR(('B4'!X84/$E$7),0)</f>
        <v>0</v>
      </c>
      <c r="BN31" s="188">
        <f>IFERROR(('B4'!Y84/$E$7),0)</f>
        <v>0</v>
      </c>
      <c r="BO31" s="187">
        <f>IFERROR(('B4'!Z84/$E$7),0)</f>
        <v>0</v>
      </c>
      <c r="BP31" s="187">
        <f>IFERROR(('B4'!AA84/$E$7),0)</f>
        <v>0</v>
      </c>
      <c r="BQ31" s="187">
        <f>IFERROR(('B4'!AB84/$E$7),0)</f>
        <v>0</v>
      </c>
      <c r="BR31" s="172">
        <f t="shared" si="28"/>
        <v>0</v>
      </c>
      <c r="BT31" s="181" t="s">
        <v>78</v>
      </c>
      <c r="BU31" s="142"/>
      <c r="BV31" s="137">
        <f>IFERROR(('B5'!S84/$E$7),0)</f>
        <v>0</v>
      </c>
      <c r="BW31" s="187">
        <f>IFERROR(('B5'!T84/$E$7),0)</f>
        <v>0</v>
      </c>
      <c r="BX31" s="187">
        <f>IFERROR(('B5'!U84/$E$7),0)</f>
        <v>0</v>
      </c>
      <c r="BY31" s="187">
        <f>IFERROR(('B5'!V84/$E$7),0)</f>
        <v>0</v>
      </c>
      <c r="BZ31" s="187">
        <f>IFERROR(('B5'!W84/$E$7),0)</f>
        <v>0</v>
      </c>
      <c r="CA31" s="187">
        <f>IFERROR(('B5'!X84/$E$7),0)</f>
        <v>0</v>
      </c>
      <c r="CB31" s="188">
        <f>IFERROR(('B5'!Y84/$E$7),0)</f>
        <v>0</v>
      </c>
      <c r="CC31" s="187">
        <f>IFERROR(('B5'!Z84/$E$7),0)</f>
        <v>0</v>
      </c>
      <c r="CD31" s="187">
        <f>IFERROR(('B5'!AA84/$E$7),0)</f>
        <v>0</v>
      </c>
      <c r="CE31" s="187">
        <f>IFERROR(('B5'!AB84/$E$7),0)</f>
        <v>0</v>
      </c>
      <c r="CF31" s="172">
        <f t="shared" si="29"/>
        <v>0</v>
      </c>
    </row>
    <row r="32" spans="2:84">
      <c r="B32" s="182" t="s">
        <v>0</v>
      </c>
      <c r="C32" s="110"/>
      <c r="D32" s="21">
        <f>IFERROR(Total!D25/$E$7,0)</f>
        <v>0</v>
      </c>
      <c r="E32" s="189">
        <f>IFERROR(Total!E25/$E$7,0)</f>
        <v>0</v>
      </c>
      <c r="F32" s="189">
        <f>IFERROR(Total!F25/$E$7,0)</f>
        <v>0</v>
      </c>
      <c r="G32" s="189">
        <f>IFERROR(Total!G25/$E$7,0)</f>
        <v>0</v>
      </c>
      <c r="H32" s="189">
        <f>IFERROR(Total!H25/$E$7,0)</f>
        <v>0</v>
      </c>
      <c r="I32" s="189">
        <f>IFERROR(Total!I25/$E$7,0)</f>
        <v>0</v>
      </c>
      <c r="J32" s="190">
        <f>IFERROR(Total!J25/$E$7,0)</f>
        <v>0</v>
      </c>
      <c r="K32" s="189">
        <f>IFERROR(Total!K25/$E$7,0)</f>
        <v>0</v>
      </c>
      <c r="L32" s="189">
        <f>IFERROR(Total!L25/$E$7,0)</f>
        <v>0</v>
      </c>
      <c r="M32" s="189">
        <f>IFERROR(Total!M25/$E$7,0)</f>
        <v>0</v>
      </c>
      <c r="N32" s="172">
        <f t="shared" si="24"/>
        <v>0</v>
      </c>
      <c r="P32" s="182" t="s">
        <v>0</v>
      </c>
      <c r="Q32" s="110"/>
      <c r="R32" s="21">
        <f>IFERROR(('B1'!S85/$E$7),0)</f>
        <v>0</v>
      </c>
      <c r="S32" s="189">
        <f>IFERROR(('B1'!T85/$E$7),0)</f>
        <v>0</v>
      </c>
      <c r="T32" s="189">
        <f>IFERROR(('B1'!U85/$E$7),0)</f>
        <v>0</v>
      </c>
      <c r="U32" s="189">
        <f>IFERROR(('B1'!V85/$E$7),0)</f>
        <v>0</v>
      </c>
      <c r="V32" s="189">
        <f>IFERROR(('B1'!W85/$E$7),0)</f>
        <v>0</v>
      </c>
      <c r="W32" s="189">
        <f>IFERROR(('B1'!X85/$E$7),0)</f>
        <v>0</v>
      </c>
      <c r="X32" s="190">
        <f>IFERROR(('B1'!Y85/$E$7),0)</f>
        <v>0</v>
      </c>
      <c r="Y32" s="189">
        <f>IFERROR(('B1'!Z85/$E$7),0)</f>
        <v>0</v>
      </c>
      <c r="Z32" s="189">
        <f>IFERROR(('B1'!AA85/$E$7),0)</f>
        <v>0</v>
      </c>
      <c r="AA32" s="189">
        <f>IFERROR(('B1'!AB85/$E$7),0)</f>
        <v>0</v>
      </c>
      <c r="AB32" s="172">
        <f t="shared" si="25"/>
        <v>0</v>
      </c>
      <c r="AD32" s="182" t="s">
        <v>0</v>
      </c>
      <c r="AE32" s="110"/>
      <c r="AF32" s="21">
        <f>IFERROR(('B2'!S85/$E$7),0)</f>
        <v>0</v>
      </c>
      <c r="AG32" s="189">
        <f>IFERROR(('B2'!T85/$E$7),0)</f>
        <v>0</v>
      </c>
      <c r="AH32" s="189">
        <f>IFERROR(('B2'!U85/$E$7),0)</f>
        <v>0</v>
      </c>
      <c r="AI32" s="189">
        <f>IFERROR(('B2'!V85/$E$7),0)</f>
        <v>0</v>
      </c>
      <c r="AJ32" s="189">
        <f>IFERROR(('B2'!W85/$E$7),0)</f>
        <v>0</v>
      </c>
      <c r="AK32" s="189">
        <f>IFERROR(('B2'!X85/$E$7),0)</f>
        <v>0</v>
      </c>
      <c r="AL32" s="190">
        <f>IFERROR(('B2'!Y85/$E$7),0)</f>
        <v>0</v>
      </c>
      <c r="AM32" s="189">
        <f>IFERROR(('B2'!Z85/$E$7),0)</f>
        <v>0</v>
      </c>
      <c r="AN32" s="189">
        <f>IFERROR(('B2'!AA85/$E$7),0)</f>
        <v>0</v>
      </c>
      <c r="AO32" s="189">
        <f>IFERROR(('B2'!AB85/$E$7),0)</f>
        <v>0</v>
      </c>
      <c r="AP32" s="172">
        <f t="shared" si="26"/>
        <v>0</v>
      </c>
      <c r="AR32" s="182" t="s">
        <v>0</v>
      </c>
      <c r="AS32" s="110"/>
      <c r="AT32" s="21">
        <f>IFERROR(('B3'!S85/$E$7),0)</f>
        <v>0</v>
      </c>
      <c r="AU32" s="189">
        <f>IFERROR(('B3'!T85/$E$7),0)</f>
        <v>0</v>
      </c>
      <c r="AV32" s="189">
        <f>IFERROR(('B3'!U85/$E$7),0)</f>
        <v>0</v>
      </c>
      <c r="AW32" s="189">
        <f>IFERROR(('B3'!V85/$E$7),0)</f>
        <v>0</v>
      </c>
      <c r="AX32" s="189">
        <f>IFERROR(('B3'!W85/$E$7),0)</f>
        <v>0</v>
      </c>
      <c r="AY32" s="189">
        <f>IFERROR(('B3'!X85/$E$7),0)</f>
        <v>0</v>
      </c>
      <c r="AZ32" s="190">
        <f>IFERROR(('B3'!Y85/$E$7),0)</f>
        <v>0</v>
      </c>
      <c r="BA32" s="189">
        <f>IFERROR(('B3'!Z85/$E$7),0)</f>
        <v>0</v>
      </c>
      <c r="BB32" s="189">
        <f>IFERROR(('B3'!AA85/$E$7),0)</f>
        <v>0</v>
      </c>
      <c r="BC32" s="189">
        <f>IFERROR(('B3'!AB85/$E$7),0)</f>
        <v>0</v>
      </c>
      <c r="BD32" s="172">
        <f t="shared" si="27"/>
        <v>0</v>
      </c>
      <c r="BF32" s="182" t="s">
        <v>0</v>
      </c>
      <c r="BG32" s="110"/>
      <c r="BH32" s="21">
        <f>IFERROR(('B4'!S85/$E$7),0)</f>
        <v>0</v>
      </c>
      <c r="BI32" s="189">
        <f>IFERROR(('B4'!T85/$E$7),0)</f>
        <v>0</v>
      </c>
      <c r="BJ32" s="189">
        <f>IFERROR(('B4'!U85/$E$7),0)</f>
        <v>0</v>
      </c>
      <c r="BK32" s="189">
        <f>IFERROR(('B4'!V85/$E$7),0)</f>
        <v>0</v>
      </c>
      <c r="BL32" s="189">
        <f>IFERROR(('B4'!W85/$E$7),0)</f>
        <v>0</v>
      </c>
      <c r="BM32" s="189">
        <f>IFERROR(('B4'!X85/$E$7),0)</f>
        <v>0</v>
      </c>
      <c r="BN32" s="190">
        <f>IFERROR(('B4'!Y85/$E$7),0)</f>
        <v>0</v>
      </c>
      <c r="BO32" s="189">
        <f>IFERROR(('B4'!Z85/$E$7),0)</f>
        <v>0</v>
      </c>
      <c r="BP32" s="189">
        <f>IFERROR(('B4'!AA85/$E$7),0)</f>
        <v>0</v>
      </c>
      <c r="BQ32" s="189">
        <f>IFERROR(('B4'!AB85/$E$7),0)</f>
        <v>0</v>
      </c>
      <c r="BR32" s="172">
        <f t="shared" si="28"/>
        <v>0</v>
      </c>
      <c r="BT32" s="182" t="s">
        <v>0</v>
      </c>
      <c r="BU32" s="110"/>
      <c r="BV32" s="21">
        <f>IFERROR(('B5'!S85/$E$7),0)</f>
        <v>0</v>
      </c>
      <c r="BW32" s="189">
        <f>IFERROR(('B5'!T85/$E$7),0)</f>
        <v>0</v>
      </c>
      <c r="BX32" s="189">
        <f>IFERROR(('B5'!U85/$E$7),0)</f>
        <v>0</v>
      </c>
      <c r="BY32" s="189">
        <f>IFERROR(('B5'!V85/$E$7),0)</f>
        <v>0</v>
      </c>
      <c r="BZ32" s="189">
        <f>IFERROR(('B5'!W85/$E$7),0)</f>
        <v>0</v>
      </c>
      <c r="CA32" s="189">
        <f>IFERROR(('B5'!X85/$E$7),0)</f>
        <v>0</v>
      </c>
      <c r="CB32" s="190">
        <f>IFERROR(('B5'!Y85/$E$7),0)</f>
        <v>0</v>
      </c>
      <c r="CC32" s="189">
        <f>IFERROR(('B5'!Z85/$E$7),0)</f>
        <v>0</v>
      </c>
      <c r="CD32" s="189">
        <f>IFERROR(('B5'!AA85/$E$7),0)</f>
        <v>0</v>
      </c>
      <c r="CE32" s="189">
        <f>IFERROR(('B5'!AB85/$E$7),0)</f>
        <v>0</v>
      </c>
      <c r="CF32" s="172">
        <f t="shared" si="29"/>
        <v>0</v>
      </c>
    </row>
    <row r="33" spans="2:84">
      <c r="B33" s="183" t="s">
        <v>103</v>
      </c>
      <c r="C33" s="110"/>
      <c r="D33" s="21">
        <f>IFERROR(Total!D26/$E$7,0)</f>
        <v>0</v>
      </c>
      <c r="E33" s="21">
        <f>IFERROR(Total!E26/$E$7,0)</f>
        <v>0</v>
      </c>
      <c r="F33" s="21">
        <f>IFERROR(Total!F26/$E$7,0)</f>
        <v>0</v>
      </c>
      <c r="G33" s="21">
        <f>IFERROR(Total!G26/$E$7,0)</f>
        <v>0</v>
      </c>
      <c r="H33" s="21">
        <f>IFERROR(Total!H26/$E$7,0)</f>
        <v>0</v>
      </c>
      <c r="I33" s="21">
        <f>IFERROR(Total!I26/$E$7,0)</f>
        <v>0</v>
      </c>
      <c r="J33" s="110">
        <f>IFERROR(Total!J26/$E$7,0)</f>
        <v>0</v>
      </c>
      <c r="K33" s="21">
        <f>IFERROR(Total!K26/$E$7,0)</f>
        <v>0</v>
      </c>
      <c r="L33" s="21">
        <f>IFERROR(Total!L26/$E$7,0)</f>
        <v>0</v>
      </c>
      <c r="M33" s="21">
        <f>IFERROR(Total!M26/$E$7,0)</f>
        <v>0</v>
      </c>
      <c r="N33" s="172">
        <f t="shared" si="24"/>
        <v>0</v>
      </c>
      <c r="P33" s="183" t="s">
        <v>96</v>
      </c>
      <c r="Q33" s="110"/>
      <c r="R33" s="21">
        <f>IFERROR(('B1'!S86/$E$7),0)</f>
        <v>0</v>
      </c>
      <c r="S33" s="21">
        <f>IFERROR(('B1'!T86/$E$7),0)</f>
        <v>0</v>
      </c>
      <c r="T33" s="21">
        <f>IFERROR(('B1'!U86/$E$7),0)</f>
        <v>0</v>
      </c>
      <c r="U33" s="21">
        <f>IFERROR(('B1'!V86/$E$7),0)</f>
        <v>0</v>
      </c>
      <c r="V33" s="21">
        <f>IFERROR(('B1'!W86/$E$7),0)</f>
        <v>0</v>
      </c>
      <c r="W33" s="21">
        <f>IFERROR(('B1'!X86/$E$7),0)</f>
        <v>0</v>
      </c>
      <c r="X33" s="110">
        <f>IFERROR(('B1'!Y86/$E$7),0)</f>
        <v>0</v>
      </c>
      <c r="Y33" s="21">
        <f>IFERROR(('B1'!Z86/$E$7),0)</f>
        <v>0</v>
      </c>
      <c r="Z33" s="21">
        <f>IFERROR(('B1'!AA86/$E$7),0)</f>
        <v>0</v>
      </c>
      <c r="AA33" s="21">
        <f>IFERROR(('B1'!AB86/$E$7),0)</f>
        <v>0</v>
      </c>
      <c r="AB33" s="172">
        <f t="shared" si="25"/>
        <v>0</v>
      </c>
      <c r="AD33" s="183" t="s">
        <v>96</v>
      </c>
      <c r="AE33" s="110"/>
      <c r="AF33" s="21">
        <f>IFERROR(('B2'!S86/$E$7),0)</f>
        <v>0</v>
      </c>
      <c r="AG33" s="21">
        <f>IFERROR(('B2'!T86/$E$7),0)</f>
        <v>0</v>
      </c>
      <c r="AH33" s="21">
        <f>IFERROR(('B2'!U86/$E$7),0)</f>
        <v>0</v>
      </c>
      <c r="AI33" s="21">
        <f>IFERROR(('B2'!V86/$E$7),0)</f>
        <v>0</v>
      </c>
      <c r="AJ33" s="21">
        <f>IFERROR(('B2'!W86/$E$7),0)</f>
        <v>0</v>
      </c>
      <c r="AK33" s="21">
        <f>IFERROR(('B2'!X86/$E$7),0)</f>
        <v>0</v>
      </c>
      <c r="AL33" s="110">
        <f>IFERROR(('B2'!Y86/$E$7),0)</f>
        <v>0</v>
      </c>
      <c r="AM33" s="21">
        <f>IFERROR(('B2'!Z86/$E$7),0)</f>
        <v>0</v>
      </c>
      <c r="AN33" s="21">
        <f>IFERROR(('B2'!AA86/$E$7),0)</f>
        <v>0</v>
      </c>
      <c r="AO33" s="21">
        <f>IFERROR(('B2'!AB86/$E$7),0)</f>
        <v>0</v>
      </c>
      <c r="AP33" s="172">
        <f t="shared" si="26"/>
        <v>0</v>
      </c>
      <c r="AR33" s="183" t="s">
        <v>96</v>
      </c>
      <c r="AS33" s="110"/>
      <c r="AT33" s="21">
        <f>IFERROR(('B3'!S86/$E$7),0)</f>
        <v>0</v>
      </c>
      <c r="AU33" s="21">
        <f>IFERROR(('B3'!T86/$E$7),0)</f>
        <v>0</v>
      </c>
      <c r="AV33" s="21">
        <f>IFERROR(('B3'!U86/$E$7),0)</f>
        <v>0</v>
      </c>
      <c r="AW33" s="21">
        <f>IFERROR(('B3'!V86/$E$7),0)</f>
        <v>0</v>
      </c>
      <c r="AX33" s="21">
        <f>IFERROR(('B3'!W86/$E$7),0)</f>
        <v>0</v>
      </c>
      <c r="AY33" s="21">
        <f>IFERROR(('B3'!X86/$E$7),0)</f>
        <v>0</v>
      </c>
      <c r="AZ33" s="110">
        <f>IFERROR(('B3'!Y86/$E$7),0)</f>
        <v>0</v>
      </c>
      <c r="BA33" s="21">
        <f>IFERROR(('B3'!Z86/$E$7),0)</f>
        <v>0</v>
      </c>
      <c r="BB33" s="21">
        <f>IFERROR(('B3'!AA86/$E$7),0)</f>
        <v>0</v>
      </c>
      <c r="BC33" s="21">
        <f>IFERROR(('B3'!AB86/$E$7),0)</f>
        <v>0</v>
      </c>
      <c r="BD33" s="172">
        <f t="shared" si="27"/>
        <v>0</v>
      </c>
      <c r="BF33" s="183" t="s">
        <v>96</v>
      </c>
      <c r="BG33" s="110"/>
      <c r="BH33" s="21">
        <f>IFERROR(('B4'!S86/$E$7),0)</f>
        <v>0</v>
      </c>
      <c r="BI33" s="21">
        <f>IFERROR(('B4'!T86/$E$7),0)</f>
        <v>0</v>
      </c>
      <c r="BJ33" s="21">
        <f>IFERROR(('B4'!U86/$E$7),0)</f>
        <v>0</v>
      </c>
      <c r="BK33" s="21">
        <f>IFERROR(('B4'!V86/$E$7),0)</f>
        <v>0</v>
      </c>
      <c r="BL33" s="21">
        <f>IFERROR(('B4'!W86/$E$7),0)</f>
        <v>0</v>
      </c>
      <c r="BM33" s="21">
        <f>IFERROR(('B4'!X86/$E$7),0)</f>
        <v>0</v>
      </c>
      <c r="BN33" s="110">
        <f>IFERROR(('B4'!Y86/$E$7),0)</f>
        <v>0</v>
      </c>
      <c r="BO33" s="21">
        <f>IFERROR(('B4'!Z86/$E$7),0)</f>
        <v>0</v>
      </c>
      <c r="BP33" s="21">
        <f>IFERROR(('B4'!AA86/$E$7),0)</f>
        <v>0</v>
      </c>
      <c r="BQ33" s="21">
        <f>IFERROR(('B4'!AB86/$E$7),0)</f>
        <v>0</v>
      </c>
      <c r="BR33" s="172">
        <f t="shared" si="28"/>
        <v>0</v>
      </c>
      <c r="BT33" s="183" t="s">
        <v>96</v>
      </c>
      <c r="BU33" s="110"/>
      <c r="BV33" s="21">
        <f>IFERROR(('B5'!S86/$E$7),0)</f>
        <v>0</v>
      </c>
      <c r="BW33" s="21">
        <f>IFERROR(('B5'!T86/$E$7),0)</f>
        <v>0</v>
      </c>
      <c r="BX33" s="21">
        <f>IFERROR(('B5'!U86/$E$7),0)</f>
        <v>0</v>
      </c>
      <c r="BY33" s="21">
        <f>IFERROR(('B5'!V86/$E$7),0)</f>
        <v>0</v>
      </c>
      <c r="BZ33" s="21">
        <f>IFERROR(('B5'!W86/$E$7),0)</f>
        <v>0</v>
      </c>
      <c r="CA33" s="21">
        <f>IFERROR(('B5'!X86/$E$7),0)</f>
        <v>0</v>
      </c>
      <c r="CB33" s="110">
        <f>IFERROR(('B5'!Y86/$E$7),0)</f>
        <v>0</v>
      </c>
      <c r="CC33" s="21">
        <f>IFERROR(('B5'!Z86/$E$7),0)</f>
        <v>0</v>
      </c>
      <c r="CD33" s="21">
        <f>IFERROR(('B5'!AA86/$E$7),0)</f>
        <v>0</v>
      </c>
      <c r="CE33" s="21">
        <f>IFERROR(('B5'!AB86/$E$7),0)</f>
        <v>0</v>
      </c>
      <c r="CF33" s="172">
        <f t="shared" si="29"/>
        <v>0</v>
      </c>
    </row>
    <row r="34" spans="2:84">
      <c r="B34" s="183" t="s">
        <v>108</v>
      </c>
      <c r="C34" s="110"/>
      <c r="D34" s="21">
        <f>IFERROR(Total!D27/$E$7,0)</f>
        <v>0</v>
      </c>
      <c r="E34" s="21">
        <f>IFERROR(Total!E27/$E$7,0)</f>
        <v>0</v>
      </c>
      <c r="F34" s="21">
        <f>IFERROR(Total!F27/$E$7,0)</f>
        <v>0</v>
      </c>
      <c r="G34" s="21">
        <f>IFERROR(Total!G27/$E$7,0)</f>
        <v>0</v>
      </c>
      <c r="H34" s="21">
        <f>IFERROR(Total!H27/$E$7,0)</f>
        <v>0</v>
      </c>
      <c r="I34" s="21">
        <f>IFERROR(Total!I27/$E$7,0)</f>
        <v>0</v>
      </c>
      <c r="J34" s="21">
        <f>IFERROR(Total!J27/$E$7,0)</f>
        <v>0</v>
      </c>
      <c r="K34" s="21">
        <f>IFERROR(Total!K27/$E$7,0)</f>
        <v>0</v>
      </c>
      <c r="L34" s="21">
        <f>IFERROR(Total!L27/$E$7,0)</f>
        <v>0</v>
      </c>
      <c r="M34" s="21">
        <f>IFERROR(Total!M27/$E$7,0)</f>
        <v>0</v>
      </c>
      <c r="N34" s="172">
        <f t="shared" si="24"/>
        <v>0</v>
      </c>
      <c r="P34" s="183" t="s">
        <v>108</v>
      </c>
      <c r="Q34" s="110"/>
      <c r="R34" s="21">
        <f>IFERROR(('B1'!S87/$E$7),0)</f>
        <v>0</v>
      </c>
      <c r="S34" s="21">
        <f>IFERROR(('B1'!T87/$E$7),0)</f>
        <v>0</v>
      </c>
      <c r="T34" s="21">
        <f>IFERROR(('B1'!U87/$E$7),0)</f>
        <v>0</v>
      </c>
      <c r="U34" s="21">
        <f>IFERROR(('B1'!V87/$E$7),0)</f>
        <v>0</v>
      </c>
      <c r="V34" s="21">
        <f>IFERROR(('B1'!W87/$E$7),0)</f>
        <v>0</v>
      </c>
      <c r="W34" s="21">
        <f>IFERROR(('B1'!X87/$E$7),0)</f>
        <v>0</v>
      </c>
      <c r="X34" s="21">
        <f>IFERROR(('B1'!Y87/$E$7),0)</f>
        <v>0</v>
      </c>
      <c r="Y34" s="21">
        <f>IFERROR(('B1'!Z87/$E$7),0)</f>
        <v>0</v>
      </c>
      <c r="Z34" s="21">
        <f>IFERROR(('B1'!AA87/$E$7),0)</f>
        <v>0</v>
      </c>
      <c r="AA34" s="21">
        <f>IFERROR(('B1'!AB87/$E$7),0)</f>
        <v>0</v>
      </c>
      <c r="AB34" s="172">
        <f t="shared" si="25"/>
        <v>0</v>
      </c>
      <c r="AD34" s="183" t="s">
        <v>108</v>
      </c>
      <c r="AE34" s="110"/>
      <c r="AF34" s="21">
        <f>IFERROR(('B2'!S87/$E$7),0)</f>
        <v>0</v>
      </c>
      <c r="AG34" s="21">
        <f>IFERROR(('B2'!T87/$E$7),0)</f>
        <v>0</v>
      </c>
      <c r="AH34" s="21">
        <f>IFERROR(('B2'!U87/$E$7),0)</f>
        <v>0</v>
      </c>
      <c r="AI34" s="21">
        <f>IFERROR(('B2'!V87/$E$7),0)</f>
        <v>0</v>
      </c>
      <c r="AJ34" s="21">
        <f>IFERROR(('B2'!W87/$E$7),0)</f>
        <v>0</v>
      </c>
      <c r="AK34" s="21">
        <f>IFERROR(('B2'!X87/$E$7),0)</f>
        <v>0</v>
      </c>
      <c r="AL34" s="21">
        <f>IFERROR(('B2'!Y87/$E$7),0)</f>
        <v>0</v>
      </c>
      <c r="AM34" s="21">
        <f>IFERROR(('B2'!Z87/$E$7),0)</f>
        <v>0</v>
      </c>
      <c r="AN34" s="21">
        <f>IFERROR(('B2'!AA87/$E$7),0)</f>
        <v>0</v>
      </c>
      <c r="AO34" s="21">
        <f>IFERROR(('B2'!AB87/$E$7),0)</f>
        <v>0</v>
      </c>
      <c r="AP34" s="172">
        <f t="shared" si="26"/>
        <v>0</v>
      </c>
      <c r="AR34" s="183" t="s">
        <v>108</v>
      </c>
      <c r="AS34" s="110"/>
      <c r="AT34" s="21">
        <f>IFERROR(('B3'!S87/$E$7),0)</f>
        <v>0</v>
      </c>
      <c r="AU34" s="21">
        <f>IFERROR(('B3'!T87/$E$7),0)</f>
        <v>0</v>
      </c>
      <c r="AV34" s="21">
        <f>IFERROR(('B3'!U87/$E$7),0)</f>
        <v>0</v>
      </c>
      <c r="AW34" s="21">
        <f>IFERROR(('B3'!V87/$E$7),0)</f>
        <v>0</v>
      </c>
      <c r="AX34" s="21">
        <f>IFERROR(('B3'!W87/$E$7),0)</f>
        <v>0</v>
      </c>
      <c r="AY34" s="21">
        <f>IFERROR(('B3'!X87/$E$7),0)</f>
        <v>0</v>
      </c>
      <c r="AZ34" s="21">
        <f>IFERROR(('B3'!Y87/$E$7),0)</f>
        <v>0</v>
      </c>
      <c r="BA34" s="21">
        <f>IFERROR(('B3'!Z87/$E$7),0)</f>
        <v>0</v>
      </c>
      <c r="BB34" s="21">
        <f>IFERROR(('B3'!AA87/$E$7),0)</f>
        <v>0</v>
      </c>
      <c r="BC34" s="21">
        <f>IFERROR(('B3'!AB87/$E$7),0)</f>
        <v>0</v>
      </c>
      <c r="BD34" s="172">
        <f t="shared" si="27"/>
        <v>0</v>
      </c>
      <c r="BF34" s="183" t="s">
        <v>108</v>
      </c>
      <c r="BG34" s="110"/>
      <c r="BH34" s="21">
        <f>IFERROR(('B4'!S87/$E$7),0)</f>
        <v>0</v>
      </c>
      <c r="BI34" s="21">
        <f>IFERROR(('B4'!T87/$E$7),0)</f>
        <v>0</v>
      </c>
      <c r="BJ34" s="21">
        <f>IFERROR(('B4'!U87/$E$7),0)</f>
        <v>0</v>
      </c>
      <c r="BK34" s="21">
        <f>IFERROR(('B4'!V87/$E$7),0)</f>
        <v>0</v>
      </c>
      <c r="BL34" s="21">
        <f>IFERROR(('B4'!W87/$E$7),0)</f>
        <v>0</v>
      </c>
      <c r="BM34" s="21">
        <f>IFERROR(('B4'!X87/$E$7),0)</f>
        <v>0</v>
      </c>
      <c r="BN34" s="21">
        <f>IFERROR(('B4'!Y87/$E$7),0)</f>
        <v>0</v>
      </c>
      <c r="BO34" s="21">
        <f>IFERROR(('B4'!Z87/$E$7),0)</f>
        <v>0</v>
      </c>
      <c r="BP34" s="21">
        <f>IFERROR(('B4'!AA87/$E$7),0)</f>
        <v>0</v>
      </c>
      <c r="BQ34" s="21">
        <f>IFERROR(('B4'!AB87/$E$7),0)</f>
        <v>0</v>
      </c>
      <c r="BR34" s="172">
        <f t="shared" si="28"/>
        <v>0</v>
      </c>
      <c r="BT34" s="183" t="s">
        <v>108</v>
      </c>
      <c r="BU34" s="110"/>
      <c r="BV34" s="21">
        <f>IFERROR(('B5'!S87/$E$7),0)</f>
        <v>0</v>
      </c>
      <c r="BW34" s="21">
        <f>IFERROR(('B5'!T87/$E$7),0)</f>
        <v>0</v>
      </c>
      <c r="BX34" s="21">
        <f>IFERROR(('B5'!U87/$E$7),0)</f>
        <v>0</v>
      </c>
      <c r="BY34" s="21">
        <f>IFERROR(('B5'!V87/$E$7),0)</f>
        <v>0</v>
      </c>
      <c r="BZ34" s="21">
        <f>IFERROR(('B5'!W87/$E$7),0)</f>
        <v>0</v>
      </c>
      <c r="CA34" s="21">
        <f>IFERROR(('B5'!X87/$E$7),0)</f>
        <v>0</v>
      </c>
      <c r="CB34" s="21">
        <f>IFERROR(('B5'!Y87/$E$7),0)</f>
        <v>0</v>
      </c>
      <c r="CC34" s="21">
        <f>IFERROR(('B5'!Z87/$E$7),0)</f>
        <v>0</v>
      </c>
      <c r="CD34" s="21">
        <f>IFERROR(('B5'!AA87/$E$7),0)</f>
        <v>0</v>
      </c>
      <c r="CE34" s="21">
        <f>IFERROR(('B5'!AB87/$E$7),0)</f>
        <v>0</v>
      </c>
      <c r="CF34" s="172">
        <f t="shared" si="29"/>
        <v>0</v>
      </c>
    </row>
    <row r="35" spans="2:84">
      <c r="B35" s="182" t="s">
        <v>531</v>
      </c>
      <c r="C35" s="110"/>
      <c r="D35" s="21">
        <f>IFERROR(Total!D28/$E$7,0)</f>
        <v>0</v>
      </c>
      <c r="E35" s="21">
        <f>IFERROR(Total!E28/$E$7,0)</f>
        <v>0</v>
      </c>
      <c r="F35" s="21">
        <f>IFERROR(Total!F28/$E$7,0)</f>
        <v>0</v>
      </c>
      <c r="G35" s="21">
        <f>IFERROR(Total!G28/$E$7,0)</f>
        <v>0</v>
      </c>
      <c r="H35" s="21">
        <f>IFERROR(Total!H28/$E$7,0)</f>
        <v>0</v>
      </c>
      <c r="I35" s="21">
        <f>IFERROR(Total!I28/$E$7,0)</f>
        <v>0</v>
      </c>
      <c r="J35" s="21">
        <f>IFERROR(Total!J28/$E$7,0)</f>
        <v>0</v>
      </c>
      <c r="K35" s="21">
        <f>IFERROR(Total!K28/$E$7,0)</f>
        <v>0</v>
      </c>
      <c r="L35" s="21">
        <f>IFERROR(Total!L28/$E$7,0)</f>
        <v>0</v>
      </c>
      <c r="M35" s="21">
        <f>IFERROR(Total!M28/$E$7,0)</f>
        <v>0</v>
      </c>
      <c r="N35" s="172">
        <f t="shared" si="24"/>
        <v>0</v>
      </c>
      <c r="P35" s="182" t="s">
        <v>531</v>
      </c>
      <c r="Q35" s="110"/>
      <c r="R35" s="21">
        <f>IFERROR(('B1'!S88/$E$7),0)</f>
        <v>0</v>
      </c>
      <c r="S35" s="21">
        <f>IFERROR(('B1'!T88/$E$7),0)</f>
        <v>0</v>
      </c>
      <c r="T35" s="21">
        <f>IFERROR(('B1'!U88/$E$7),0)</f>
        <v>0</v>
      </c>
      <c r="U35" s="21">
        <f>IFERROR(('B1'!V88/$E$7),0)</f>
        <v>0</v>
      </c>
      <c r="V35" s="21">
        <f>IFERROR(('B1'!W88/$E$7),0)</f>
        <v>0</v>
      </c>
      <c r="W35" s="21">
        <f>IFERROR(('B1'!X88/$E$7),0)</f>
        <v>0</v>
      </c>
      <c r="X35" s="21">
        <f>IFERROR(('B1'!Y88/$E$7),0)</f>
        <v>0</v>
      </c>
      <c r="Y35" s="21">
        <f>IFERROR(('B1'!Z88/$E$7),0)</f>
        <v>0</v>
      </c>
      <c r="Z35" s="21">
        <f>IFERROR(('B1'!AA88/$E$7),0)</f>
        <v>0</v>
      </c>
      <c r="AA35" s="21">
        <f>IFERROR(('B1'!AB88/$E$7),0)</f>
        <v>0</v>
      </c>
      <c r="AB35" s="172">
        <f t="shared" si="25"/>
        <v>0</v>
      </c>
      <c r="AD35" s="182" t="s">
        <v>531</v>
      </c>
      <c r="AE35" s="110"/>
      <c r="AF35" s="21">
        <f>IFERROR(('B2'!S88/$E$7),0)</f>
        <v>0</v>
      </c>
      <c r="AG35" s="21">
        <f>IFERROR(('B2'!T88/$E$7),0)</f>
        <v>0</v>
      </c>
      <c r="AH35" s="21">
        <f>IFERROR(('B2'!U88/$E$7),0)</f>
        <v>0</v>
      </c>
      <c r="AI35" s="21">
        <f>IFERROR(('B2'!V88/$E$7),0)</f>
        <v>0</v>
      </c>
      <c r="AJ35" s="21">
        <f>IFERROR(('B2'!W88/$E$7),0)</f>
        <v>0</v>
      </c>
      <c r="AK35" s="21">
        <f>IFERROR(('B2'!X88/$E$7),0)</f>
        <v>0</v>
      </c>
      <c r="AL35" s="21">
        <f>IFERROR(('B2'!Y88/$E$7),0)</f>
        <v>0</v>
      </c>
      <c r="AM35" s="21">
        <f>IFERROR(('B2'!Z88/$E$7),0)</f>
        <v>0</v>
      </c>
      <c r="AN35" s="21">
        <f>IFERROR(('B2'!AA88/$E$7),0)</f>
        <v>0</v>
      </c>
      <c r="AO35" s="21">
        <f>IFERROR(('B2'!AB88/$E$7),0)</f>
        <v>0</v>
      </c>
      <c r="AP35" s="172">
        <f t="shared" si="26"/>
        <v>0</v>
      </c>
      <c r="AR35" s="182" t="s">
        <v>531</v>
      </c>
      <c r="AS35" s="110"/>
      <c r="AT35" s="21">
        <f>IFERROR(('B3'!S88/$E$7),0)</f>
        <v>0</v>
      </c>
      <c r="AU35" s="21">
        <f>IFERROR(('B3'!T88/$E$7),0)</f>
        <v>0</v>
      </c>
      <c r="AV35" s="21">
        <f>IFERROR(('B3'!U88/$E$7),0)</f>
        <v>0</v>
      </c>
      <c r="AW35" s="21">
        <f>IFERROR(('B3'!V88/$E$7),0)</f>
        <v>0</v>
      </c>
      <c r="AX35" s="21">
        <f>IFERROR(('B3'!W88/$E$7),0)</f>
        <v>0</v>
      </c>
      <c r="AY35" s="21">
        <f>IFERROR(('B3'!X88/$E$7),0)</f>
        <v>0</v>
      </c>
      <c r="AZ35" s="21">
        <f>IFERROR(('B3'!Y88/$E$7),0)</f>
        <v>0</v>
      </c>
      <c r="BA35" s="21">
        <f>IFERROR(('B3'!Z88/$E$7),0)</f>
        <v>0</v>
      </c>
      <c r="BB35" s="21">
        <f>IFERROR(('B3'!AA88/$E$7),0)</f>
        <v>0</v>
      </c>
      <c r="BC35" s="21">
        <f>IFERROR(('B3'!AB88/$E$7),0)</f>
        <v>0</v>
      </c>
      <c r="BD35" s="172">
        <f t="shared" si="27"/>
        <v>0</v>
      </c>
      <c r="BF35" s="182" t="s">
        <v>531</v>
      </c>
      <c r="BG35" s="110"/>
      <c r="BH35" s="21">
        <f>IFERROR(('B4'!S88/$E$7),0)</f>
        <v>0</v>
      </c>
      <c r="BI35" s="21">
        <f>IFERROR(('B4'!T88/$E$7),0)</f>
        <v>0</v>
      </c>
      <c r="BJ35" s="21">
        <f>IFERROR(('B4'!U88/$E$7),0)</f>
        <v>0</v>
      </c>
      <c r="BK35" s="21">
        <f>IFERROR(('B4'!V88/$E$7),0)</f>
        <v>0</v>
      </c>
      <c r="BL35" s="21">
        <f>IFERROR(('B4'!W88/$E$7),0)</f>
        <v>0</v>
      </c>
      <c r="BM35" s="21">
        <f>IFERROR(('B4'!X88/$E$7),0)</f>
        <v>0</v>
      </c>
      <c r="BN35" s="21">
        <f>IFERROR(('B4'!Y88/$E$7),0)</f>
        <v>0</v>
      </c>
      <c r="BO35" s="21">
        <f>IFERROR(('B4'!Z88/$E$7),0)</f>
        <v>0</v>
      </c>
      <c r="BP35" s="21">
        <f>IFERROR(('B4'!AA88/$E$7),0)</f>
        <v>0</v>
      </c>
      <c r="BQ35" s="21">
        <f>IFERROR(('B4'!AB88/$E$7),0)</f>
        <v>0</v>
      </c>
      <c r="BR35" s="172">
        <f t="shared" si="28"/>
        <v>0</v>
      </c>
      <c r="BT35" s="182" t="s">
        <v>531</v>
      </c>
      <c r="BU35" s="110"/>
      <c r="BV35" s="21">
        <f>IFERROR(('B5'!S88/$E$7),0)</f>
        <v>0</v>
      </c>
      <c r="BW35" s="21">
        <f>IFERROR(('B5'!T88/$E$7),0)</f>
        <v>0</v>
      </c>
      <c r="BX35" s="21">
        <f>IFERROR(('B5'!U88/$E$7),0)</f>
        <v>0</v>
      </c>
      <c r="BY35" s="21">
        <f>IFERROR(('B5'!V88/$E$7),0)</f>
        <v>0</v>
      </c>
      <c r="BZ35" s="21">
        <f>IFERROR(('B5'!W88/$E$7),0)</f>
        <v>0</v>
      </c>
      <c r="CA35" s="21">
        <f>IFERROR(('B5'!X88/$E$7),0)</f>
        <v>0</v>
      </c>
      <c r="CB35" s="21">
        <f>IFERROR(('B5'!Y88/$E$7),0)</f>
        <v>0</v>
      </c>
      <c r="CC35" s="21">
        <f>IFERROR(('B5'!Z88/$E$7),0)</f>
        <v>0</v>
      </c>
      <c r="CD35" s="21">
        <f>IFERROR(('B5'!AA88/$E$7),0)</f>
        <v>0</v>
      </c>
      <c r="CE35" s="21">
        <f>IFERROR(('B5'!AB88/$E$7),0)</f>
        <v>0</v>
      </c>
      <c r="CF35" s="172">
        <f t="shared" si="29"/>
        <v>0</v>
      </c>
    </row>
    <row r="36" spans="2:84" ht="14.5" thickBot="1">
      <c r="B36" s="184" t="s">
        <v>101</v>
      </c>
      <c r="C36" s="185"/>
      <c r="D36" s="143">
        <f>+SUM(D31:D35)</f>
        <v>0</v>
      </c>
      <c r="E36" s="143">
        <f t="shared" ref="E36:K36" si="30">+SUM(E31:E35)</f>
        <v>0</v>
      </c>
      <c r="F36" s="143">
        <f t="shared" si="30"/>
        <v>0</v>
      </c>
      <c r="G36" s="143">
        <f t="shared" si="30"/>
        <v>0</v>
      </c>
      <c r="H36" s="143">
        <f t="shared" si="30"/>
        <v>0</v>
      </c>
      <c r="I36" s="143">
        <f t="shared" si="30"/>
        <v>0</v>
      </c>
      <c r="J36" s="143">
        <f t="shared" si="30"/>
        <v>0</v>
      </c>
      <c r="K36" s="143">
        <f t="shared" si="30"/>
        <v>0</v>
      </c>
      <c r="L36" s="143">
        <f>+SUM(L31:L35)</f>
        <v>0</v>
      </c>
      <c r="M36" s="143">
        <f>+SUM(M31:M35)</f>
        <v>0</v>
      </c>
      <c r="N36" s="173">
        <f t="shared" si="24"/>
        <v>0</v>
      </c>
      <c r="P36" s="184" t="s">
        <v>101</v>
      </c>
      <c r="Q36" s="185"/>
      <c r="R36" s="143">
        <f>+SUM(R31:R35)</f>
        <v>0</v>
      </c>
      <c r="S36" s="143">
        <f t="shared" ref="S36:Y36" si="31">+SUM(S31:S35)</f>
        <v>0</v>
      </c>
      <c r="T36" s="143">
        <f t="shared" si="31"/>
        <v>0</v>
      </c>
      <c r="U36" s="143">
        <f t="shared" si="31"/>
        <v>0</v>
      </c>
      <c r="V36" s="143">
        <f t="shared" si="31"/>
        <v>0</v>
      </c>
      <c r="W36" s="143">
        <f t="shared" si="31"/>
        <v>0</v>
      </c>
      <c r="X36" s="143">
        <f t="shared" si="31"/>
        <v>0</v>
      </c>
      <c r="Y36" s="143">
        <f t="shared" si="31"/>
        <v>0</v>
      </c>
      <c r="Z36" s="143">
        <f>+SUM(Z31:Z35)</f>
        <v>0</v>
      </c>
      <c r="AA36" s="143">
        <f>+SUM(AA31:AA35)</f>
        <v>0</v>
      </c>
      <c r="AB36" s="173">
        <f t="shared" si="25"/>
        <v>0</v>
      </c>
      <c r="AD36" s="184" t="s">
        <v>101</v>
      </c>
      <c r="AE36" s="185"/>
      <c r="AF36" s="143">
        <f>+SUM(AF31:AF35)</f>
        <v>0</v>
      </c>
      <c r="AG36" s="143">
        <f t="shared" ref="AG36:AM36" si="32">+SUM(AG31:AG35)</f>
        <v>0</v>
      </c>
      <c r="AH36" s="143">
        <f t="shared" si="32"/>
        <v>0</v>
      </c>
      <c r="AI36" s="143">
        <f t="shared" si="32"/>
        <v>0</v>
      </c>
      <c r="AJ36" s="143">
        <f t="shared" si="32"/>
        <v>0</v>
      </c>
      <c r="AK36" s="143">
        <f t="shared" si="32"/>
        <v>0</v>
      </c>
      <c r="AL36" s="143">
        <f t="shared" si="32"/>
        <v>0</v>
      </c>
      <c r="AM36" s="143">
        <f t="shared" si="32"/>
        <v>0</v>
      </c>
      <c r="AN36" s="143">
        <f>+SUM(AN31:AN35)</f>
        <v>0</v>
      </c>
      <c r="AO36" s="143">
        <f>+SUM(AO31:AO35)</f>
        <v>0</v>
      </c>
      <c r="AP36" s="173">
        <f t="shared" si="26"/>
        <v>0</v>
      </c>
      <c r="AR36" s="184" t="s">
        <v>101</v>
      </c>
      <c r="AS36" s="185"/>
      <c r="AT36" s="143">
        <f>+SUM(AT31:AT35)</f>
        <v>0</v>
      </c>
      <c r="AU36" s="143">
        <f t="shared" ref="AU36:BA36" si="33">+SUM(AU31:AU35)</f>
        <v>0</v>
      </c>
      <c r="AV36" s="143">
        <f t="shared" si="33"/>
        <v>0</v>
      </c>
      <c r="AW36" s="143">
        <f t="shared" si="33"/>
        <v>0</v>
      </c>
      <c r="AX36" s="143">
        <f t="shared" si="33"/>
        <v>0</v>
      </c>
      <c r="AY36" s="143">
        <f t="shared" si="33"/>
        <v>0</v>
      </c>
      <c r="AZ36" s="143">
        <f t="shared" si="33"/>
        <v>0</v>
      </c>
      <c r="BA36" s="143">
        <f t="shared" si="33"/>
        <v>0</v>
      </c>
      <c r="BB36" s="143">
        <f>+SUM(BB31:BB35)</f>
        <v>0</v>
      </c>
      <c r="BC36" s="143">
        <f>+SUM(BC31:BC35)</f>
        <v>0</v>
      </c>
      <c r="BD36" s="173">
        <f t="shared" si="27"/>
        <v>0</v>
      </c>
      <c r="BF36" s="184" t="s">
        <v>101</v>
      </c>
      <c r="BG36" s="185"/>
      <c r="BH36" s="143">
        <f>+SUM(BH31:BH35)</f>
        <v>0</v>
      </c>
      <c r="BI36" s="143">
        <f t="shared" ref="BI36:BO36" si="34">+SUM(BI31:BI35)</f>
        <v>0</v>
      </c>
      <c r="BJ36" s="143">
        <f t="shared" si="34"/>
        <v>0</v>
      </c>
      <c r="BK36" s="143">
        <f t="shared" si="34"/>
        <v>0</v>
      </c>
      <c r="BL36" s="143">
        <f t="shared" si="34"/>
        <v>0</v>
      </c>
      <c r="BM36" s="143">
        <f t="shared" si="34"/>
        <v>0</v>
      </c>
      <c r="BN36" s="143">
        <f t="shared" si="34"/>
        <v>0</v>
      </c>
      <c r="BO36" s="143">
        <f t="shared" si="34"/>
        <v>0</v>
      </c>
      <c r="BP36" s="143">
        <f>+SUM(BP31:BP35)</f>
        <v>0</v>
      </c>
      <c r="BQ36" s="143">
        <f>+SUM(BQ31:BQ35)</f>
        <v>0</v>
      </c>
      <c r="BR36" s="173">
        <f t="shared" si="28"/>
        <v>0</v>
      </c>
      <c r="BT36" s="184" t="s">
        <v>101</v>
      </c>
      <c r="BU36" s="185"/>
      <c r="BV36" s="143">
        <f>+SUM(BV31:BV35)</f>
        <v>0</v>
      </c>
      <c r="BW36" s="143">
        <f t="shared" ref="BW36:CC36" si="35">+SUM(BW31:BW35)</f>
        <v>0</v>
      </c>
      <c r="BX36" s="143">
        <f t="shared" si="35"/>
        <v>0</v>
      </c>
      <c r="BY36" s="143">
        <f t="shared" si="35"/>
        <v>0</v>
      </c>
      <c r="BZ36" s="143">
        <f t="shared" si="35"/>
        <v>0</v>
      </c>
      <c r="CA36" s="143">
        <f t="shared" si="35"/>
        <v>0</v>
      </c>
      <c r="CB36" s="143">
        <f t="shared" si="35"/>
        <v>0</v>
      </c>
      <c r="CC36" s="143">
        <f t="shared" si="35"/>
        <v>0</v>
      </c>
      <c r="CD36" s="143">
        <f>+SUM(CD31:CD35)</f>
        <v>0</v>
      </c>
      <c r="CE36" s="143">
        <f>+SUM(CE31:CE35)</f>
        <v>0</v>
      </c>
      <c r="CF36" s="173">
        <f t="shared" si="29"/>
        <v>0</v>
      </c>
    </row>
    <row r="37" spans="2:84" ht="14.5" thickBot="1">
      <c r="B37" s="23"/>
      <c r="C37" s="16"/>
      <c r="D37" s="16"/>
      <c r="E37" s="191"/>
      <c r="F37" s="191"/>
      <c r="G37" s="191"/>
      <c r="H37" s="191"/>
      <c r="I37" s="191"/>
      <c r="J37" s="191"/>
      <c r="K37" s="191"/>
      <c r="L37" s="191"/>
      <c r="M37" s="191"/>
      <c r="N37" s="174"/>
      <c r="P37" s="23"/>
      <c r="Q37" s="16"/>
      <c r="R37" s="16"/>
      <c r="S37" s="191"/>
      <c r="T37" s="191"/>
      <c r="U37" s="191"/>
      <c r="V37" s="191"/>
      <c r="W37" s="191"/>
      <c r="X37" s="191"/>
      <c r="Y37" s="191"/>
      <c r="Z37" s="191"/>
      <c r="AA37" s="191"/>
      <c r="AB37" s="174"/>
      <c r="AD37" s="23"/>
      <c r="AE37" s="16"/>
      <c r="AF37" s="16"/>
      <c r="AG37" s="191"/>
      <c r="AH37" s="191"/>
      <c r="AI37" s="191"/>
      <c r="AJ37" s="191"/>
      <c r="AK37" s="191"/>
      <c r="AL37" s="191"/>
      <c r="AM37" s="191"/>
      <c r="AN37" s="191"/>
      <c r="AO37" s="191"/>
      <c r="AP37" s="174"/>
      <c r="AR37" s="23"/>
      <c r="AS37" s="16"/>
      <c r="AT37" s="16"/>
      <c r="AU37" s="191"/>
      <c r="AV37" s="191"/>
      <c r="AW37" s="191"/>
      <c r="AX37" s="191"/>
      <c r="AY37" s="191"/>
      <c r="AZ37" s="191"/>
      <c r="BA37" s="191"/>
      <c r="BB37" s="191"/>
      <c r="BC37" s="191"/>
      <c r="BD37" s="174"/>
      <c r="BF37" s="23"/>
      <c r="BG37" s="16"/>
      <c r="BH37" s="16"/>
      <c r="BI37" s="191"/>
      <c r="BJ37" s="191"/>
      <c r="BK37" s="191"/>
      <c r="BL37" s="191"/>
      <c r="BM37" s="191"/>
      <c r="BN37" s="191"/>
      <c r="BO37" s="191"/>
      <c r="BP37" s="191"/>
      <c r="BQ37" s="191"/>
      <c r="BR37" s="174"/>
      <c r="BT37" s="23"/>
      <c r="BU37" s="16"/>
      <c r="BV37" s="16"/>
      <c r="BW37" s="191"/>
      <c r="BX37" s="191"/>
      <c r="BY37" s="191"/>
      <c r="BZ37" s="191"/>
      <c r="CA37" s="191"/>
      <c r="CB37" s="191"/>
      <c r="CC37" s="191"/>
      <c r="CD37" s="191"/>
      <c r="CE37" s="191"/>
      <c r="CF37" s="174"/>
    </row>
    <row r="38" spans="2:84" ht="18">
      <c r="B38" s="177" t="s">
        <v>588</v>
      </c>
      <c r="C38" s="192"/>
      <c r="D38" s="192"/>
      <c r="E38" s="192"/>
      <c r="F38" s="192"/>
      <c r="G38" s="192"/>
      <c r="H38" s="192"/>
      <c r="I38" s="192"/>
      <c r="J38" s="192"/>
      <c r="K38" s="192"/>
      <c r="L38" s="192"/>
      <c r="M38" s="192"/>
      <c r="N38" s="175"/>
      <c r="P38" s="177" t="s">
        <v>588</v>
      </c>
      <c r="Q38" s="192"/>
      <c r="R38" s="192"/>
      <c r="S38" s="192"/>
      <c r="T38" s="192"/>
      <c r="U38" s="192"/>
      <c r="V38" s="192"/>
      <c r="W38" s="192"/>
      <c r="X38" s="192"/>
      <c r="Y38" s="192"/>
      <c r="Z38" s="192"/>
      <c r="AA38" s="192"/>
      <c r="AB38" s="175"/>
      <c r="AD38" s="177" t="s">
        <v>588</v>
      </c>
      <c r="AE38" s="192"/>
      <c r="AF38" s="192"/>
      <c r="AG38" s="192"/>
      <c r="AH38" s="192"/>
      <c r="AI38" s="192"/>
      <c r="AJ38" s="192"/>
      <c r="AK38" s="192"/>
      <c r="AL38" s="192"/>
      <c r="AM38" s="192"/>
      <c r="AN38" s="192"/>
      <c r="AO38" s="192"/>
      <c r="AP38" s="175"/>
      <c r="AR38" s="177" t="s">
        <v>588</v>
      </c>
      <c r="AS38" s="192"/>
      <c r="AT38" s="192"/>
      <c r="AU38" s="192"/>
      <c r="AV38" s="192"/>
      <c r="AW38" s="192"/>
      <c r="AX38" s="192"/>
      <c r="AY38" s="192"/>
      <c r="AZ38" s="192"/>
      <c r="BA38" s="192"/>
      <c r="BB38" s="192"/>
      <c r="BC38" s="192"/>
      <c r="BD38" s="175"/>
      <c r="BF38" s="177" t="s">
        <v>588</v>
      </c>
      <c r="BG38" s="192"/>
      <c r="BH38" s="192"/>
      <c r="BI38" s="192"/>
      <c r="BJ38" s="192"/>
      <c r="BK38" s="192"/>
      <c r="BL38" s="192"/>
      <c r="BM38" s="192"/>
      <c r="BN38" s="192"/>
      <c r="BO38" s="192"/>
      <c r="BP38" s="192"/>
      <c r="BQ38" s="192"/>
      <c r="BR38" s="175"/>
      <c r="BT38" s="177" t="s">
        <v>588</v>
      </c>
      <c r="BU38" s="192"/>
      <c r="BV38" s="192"/>
      <c r="BW38" s="192"/>
      <c r="BX38" s="192"/>
      <c r="BY38" s="192"/>
      <c r="BZ38" s="192"/>
      <c r="CA38" s="192"/>
      <c r="CB38" s="192"/>
      <c r="CC38" s="192"/>
      <c r="CD38" s="192"/>
      <c r="CE38" s="192"/>
      <c r="CF38" s="175"/>
    </row>
    <row r="39" spans="2:84" ht="18">
      <c r="B39" s="193"/>
      <c r="C39" s="16"/>
      <c r="D39" s="16"/>
      <c r="E39" s="186"/>
      <c r="F39" s="186"/>
      <c r="G39" s="186"/>
      <c r="H39" s="186"/>
      <c r="I39" s="186"/>
      <c r="J39" s="186"/>
      <c r="K39" s="186"/>
      <c r="L39" s="186"/>
      <c r="M39" s="186"/>
      <c r="N39" s="169"/>
      <c r="P39" s="193"/>
      <c r="Q39" s="16"/>
      <c r="R39" s="16"/>
      <c r="S39" s="186"/>
      <c r="T39" s="186"/>
      <c r="U39" s="186"/>
      <c r="V39" s="186"/>
      <c r="W39" s="186"/>
      <c r="X39" s="186"/>
      <c r="Y39" s="186"/>
      <c r="Z39" s="186"/>
      <c r="AA39" s="186"/>
      <c r="AB39" s="169"/>
      <c r="AD39" s="193"/>
      <c r="AE39" s="16"/>
      <c r="AF39" s="16"/>
      <c r="AG39" s="186"/>
      <c r="AH39" s="186"/>
      <c r="AI39" s="186"/>
      <c r="AJ39" s="186"/>
      <c r="AK39" s="186"/>
      <c r="AL39" s="186"/>
      <c r="AM39" s="186"/>
      <c r="AN39" s="186"/>
      <c r="AO39" s="186"/>
      <c r="AP39" s="169"/>
      <c r="AR39" s="193"/>
      <c r="AS39" s="16"/>
      <c r="AT39" s="16"/>
      <c r="AU39" s="186"/>
      <c r="AV39" s="186"/>
      <c r="AW39" s="186"/>
      <c r="AX39" s="186"/>
      <c r="AY39" s="186"/>
      <c r="AZ39" s="186"/>
      <c r="BA39" s="186"/>
      <c r="BB39" s="186"/>
      <c r="BC39" s="186"/>
      <c r="BD39" s="169"/>
      <c r="BF39" s="193"/>
      <c r="BG39" s="16"/>
      <c r="BH39" s="16"/>
      <c r="BI39" s="186"/>
      <c r="BJ39" s="186"/>
      <c r="BK39" s="186"/>
      <c r="BL39" s="186"/>
      <c r="BM39" s="186"/>
      <c r="BN39" s="186"/>
      <c r="BO39" s="186"/>
      <c r="BP39" s="186"/>
      <c r="BQ39" s="186"/>
      <c r="BR39" s="169"/>
      <c r="BT39" s="193"/>
      <c r="BU39" s="16"/>
      <c r="BV39" s="16"/>
      <c r="BW39" s="186"/>
      <c r="BX39" s="186"/>
      <c r="BY39" s="186"/>
      <c r="BZ39" s="186"/>
      <c r="CA39" s="186"/>
      <c r="CB39" s="186"/>
      <c r="CC39" s="186"/>
      <c r="CD39" s="186"/>
      <c r="CE39" s="186"/>
      <c r="CF39" s="169"/>
    </row>
    <row r="40" spans="2:84">
      <c r="B40" s="152" t="str">
        <f>+$D$7</f>
        <v>EUR</v>
      </c>
      <c r="C40" s="4"/>
      <c r="D40" s="8">
        <f>+D26</f>
        <v>2026</v>
      </c>
      <c r="E40" s="8">
        <f t="shared" ref="E40:M40" si="36">+E26</f>
        <v>2027</v>
      </c>
      <c r="F40" s="8">
        <f t="shared" si="36"/>
        <v>2028</v>
      </c>
      <c r="G40" s="8">
        <f t="shared" si="36"/>
        <v>2029</v>
      </c>
      <c r="H40" s="8">
        <f t="shared" si="36"/>
        <v>2030</v>
      </c>
      <c r="I40" s="8">
        <f t="shared" si="36"/>
        <v>2031</v>
      </c>
      <c r="J40" s="8">
        <f t="shared" si="36"/>
        <v>2032</v>
      </c>
      <c r="K40" s="8">
        <f t="shared" si="36"/>
        <v>2033</v>
      </c>
      <c r="L40" s="8">
        <f t="shared" si="36"/>
        <v>2034</v>
      </c>
      <c r="M40" s="8">
        <f t="shared" si="36"/>
        <v>2035</v>
      </c>
      <c r="N40" s="124" t="s">
        <v>34</v>
      </c>
      <c r="P40" s="152" t="str">
        <f>+$D$7</f>
        <v>EUR</v>
      </c>
      <c r="Q40" s="4"/>
      <c r="R40" s="8">
        <f>+R26</f>
        <v>2026</v>
      </c>
      <c r="S40" s="8">
        <f t="shared" ref="S40:AA40" si="37">+S26</f>
        <v>2027</v>
      </c>
      <c r="T40" s="8">
        <f t="shared" si="37"/>
        <v>2028</v>
      </c>
      <c r="U40" s="8">
        <f t="shared" si="37"/>
        <v>2029</v>
      </c>
      <c r="V40" s="8">
        <f t="shared" si="37"/>
        <v>2030</v>
      </c>
      <c r="W40" s="8">
        <f t="shared" si="37"/>
        <v>2031</v>
      </c>
      <c r="X40" s="8">
        <f t="shared" si="37"/>
        <v>2032</v>
      </c>
      <c r="Y40" s="8">
        <f t="shared" si="37"/>
        <v>2033</v>
      </c>
      <c r="Z40" s="8">
        <f t="shared" si="37"/>
        <v>2034</v>
      </c>
      <c r="AA40" s="8">
        <f t="shared" si="37"/>
        <v>2035</v>
      </c>
      <c r="AB40" s="124" t="s">
        <v>34</v>
      </c>
      <c r="AD40" s="152" t="str">
        <f>+$D$7</f>
        <v>EUR</v>
      </c>
      <c r="AE40" s="4"/>
      <c r="AF40" s="8">
        <f>+AF26</f>
        <v>2026</v>
      </c>
      <c r="AG40" s="8">
        <f t="shared" ref="AG40:AO40" si="38">+AG26</f>
        <v>2027</v>
      </c>
      <c r="AH40" s="8">
        <f t="shared" si="38"/>
        <v>2028</v>
      </c>
      <c r="AI40" s="8">
        <f t="shared" si="38"/>
        <v>2029</v>
      </c>
      <c r="AJ40" s="8">
        <f t="shared" si="38"/>
        <v>2030</v>
      </c>
      <c r="AK40" s="8">
        <f t="shared" si="38"/>
        <v>2031</v>
      </c>
      <c r="AL40" s="8">
        <f t="shared" si="38"/>
        <v>2032</v>
      </c>
      <c r="AM40" s="8">
        <f t="shared" si="38"/>
        <v>2033</v>
      </c>
      <c r="AN40" s="8">
        <f t="shared" si="38"/>
        <v>2034</v>
      </c>
      <c r="AO40" s="8">
        <f t="shared" si="38"/>
        <v>2035</v>
      </c>
      <c r="AP40" s="124" t="s">
        <v>34</v>
      </c>
      <c r="AR40" s="152" t="str">
        <f>+$D$7</f>
        <v>EUR</v>
      </c>
      <c r="AS40" s="4"/>
      <c r="AT40" s="8">
        <f>+AT26</f>
        <v>2026</v>
      </c>
      <c r="AU40" s="8">
        <f t="shared" ref="AU40:BC40" si="39">+AU26</f>
        <v>2027</v>
      </c>
      <c r="AV40" s="8">
        <f t="shared" si="39"/>
        <v>2028</v>
      </c>
      <c r="AW40" s="8">
        <f t="shared" si="39"/>
        <v>2029</v>
      </c>
      <c r="AX40" s="8">
        <f t="shared" si="39"/>
        <v>2030</v>
      </c>
      <c r="AY40" s="8">
        <f t="shared" si="39"/>
        <v>2031</v>
      </c>
      <c r="AZ40" s="8">
        <f t="shared" si="39"/>
        <v>2032</v>
      </c>
      <c r="BA40" s="8">
        <f t="shared" si="39"/>
        <v>2033</v>
      </c>
      <c r="BB40" s="8">
        <f t="shared" si="39"/>
        <v>2034</v>
      </c>
      <c r="BC40" s="8">
        <f t="shared" si="39"/>
        <v>2035</v>
      </c>
      <c r="BD40" s="124" t="s">
        <v>34</v>
      </c>
      <c r="BF40" s="152" t="str">
        <f>+$D$7</f>
        <v>EUR</v>
      </c>
      <c r="BG40" s="4"/>
      <c r="BH40" s="8">
        <f>+BH26</f>
        <v>2026</v>
      </c>
      <c r="BI40" s="8">
        <f t="shared" ref="BI40:BQ40" si="40">+BI26</f>
        <v>2027</v>
      </c>
      <c r="BJ40" s="8">
        <f t="shared" si="40"/>
        <v>2028</v>
      </c>
      <c r="BK40" s="8">
        <f t="shared" si="40"/>
        <v>2029</v>
      </c>
      <c r="BL40" s="8">
        <f t="shared" si="40"/>
        <v>2030</v>
      </c>
      <c r="BM40" s="8">
        <f t="shared" si="40"/>
        <v>2031</v>
      </c>
      <c r="BN40" s="8">
        <f t="shared" si="40"/>
        <v>2032</v>
      </c>
      <c r="BO40" s="8">
        <f t="shared" si="40"/>
        <v>2033</v>
      </c>
      <c r="BP40" s="8">
        <f t="shared" si="40"/>
        <v>2034</v>
      </c>
      <c r="BQ40" s="8">
        <f t="shared" si="40"/>
        <v>2035</v>
      </c>
      <c r="BR40" s="124" t="s">
        <v>34</v>
      </c>
      <c r="BT40" s="152" t="str">
        <f>+$D$7</f>
        <v>EUR</v>
      </c>
      <c r="BU40" s="4"/>
      <c r="BV40" s="8">
        <f>+BV26</f>
        <v>2026</v>
      </c>
      <c r="BW40" s="8">
        <f t="shared" ref="BW40:CE40" si="41">+BW26</f>
        <v>2027</v>
      </c>
      <c r="BX40" s="8">
        <f t="shared" si="41"/>
        <v>2028</v>
      </c>
      <c r="BY40" s="8">
        <f t="shared" si="41"/>
        <v>2029</v>
      </c>
      <c r="BZ40" s="8">
        <f t="shared" si="41"/>
        <v>2030</v>
      </c>
      <c r="CA40" s="8">
        <f t="shared" si="41"/>
        <v>2031</v>
      </c>
      <c r="CB40" s="8">
        <f t="shared" si="41"/>
        <v>2032</v>
      </c>
      <c r="CC40" s="8">
        <f t="shared" si="41"/>
        <v>2033</v>
      </c>
      <c r="CD40" s="8">
        <f t="shared" si="41"/>
        <v>2034</v>
      </c>
      <c r="CE40" s="8">
        <f t="shared" si="41"/>
        <v>2035</v>
      </c>
      <c r="CF40" s="124" t="s">
        <v>34</v>
      </c>
    </row>
    <row r="41" spans="2:84">
      <c r="B41" s="180" t="s">
        <v>74</v>
      </c>
      <c r="C41" s="111"/>
      <c r="D41" s="28">
        <f>IFERROR(Total!D34/$E$7,0)</f>
        <v>0</v>
      </c>
      <c r="E41" s="111">
        <f>IFERROR(Total!E34/$E$7,0)</f>
        <v>0</v>
      </c>
      <c r="F41" s="28">
        <f>IFERROR(Total!F34/$E$7,0)</f>
        <v>0</v>
      </c>
      <c r="G41" s="111">
        <f>IFERROR(Total!G34/$E$7,0)</f>
        <v>0</v>
      </c>
      <c r="H41" s="28">
        <f>IFERROR(Total!H34/$E$7,0)</f>
        <v>0</v>
      </c>
      <c r="I41" s="111">
        <f>IFERROR(Total!I34/$E$7,0)</f>
        <v>0</v>
      </c>
      <c r="J41" s="28">
        <f>IFERROR(Total!J34/$E$7,0)</f>
        <v>0</v>
      </c>
      <c r="K41" s="28">
        <f>IFERROR(Total!K34/$E$7,0)</f>
        <v>0</v>
      </c>
      <c r="L41" s="111">
        <f>IFERROR(Total!L34/$E$7,0)</f>
        <v>0</v>
      </c>
      <c r="M41" s="111">
        <f>IFERROR(Total!M34/$E$7,0)</f>
        <v>0</v>
      </c>
      <c r="N41" s="170">
        <f t="shared" ref="N41:N50" si="42">SUM(D41:M41)</f>
        <v>0</v>
      </c>
      <c r="P41" s="180" t="s">
        <v>74</v>
      </c>
      <c r="Q41" s="111"/>
      <c r="R41" s="28">
        <f>IFERROR(('B1'!S94/$E$7),0)</f>
        <v>0</v>
      </c>
      <c r="S41" s="111">
        <f>IFERROR(('B1'!T94/$E$7),0)</f>
        <v>0</v>
      </c>
      <c r="T41" s="28">
        <f>IFERROR(('B1'!U94/$E$7),0)</f>
        <v>0</v>
      </c>
      <c r="U41" s="111">
        <f>IFERROR(('B1'!V94/$E$7),0)</f>
        <v>0</v>
      </c>
      <c r="V41" s="28">
        <f>IFERROR(('B1'!W94/$E$7),0)</f>
        <v>0</v>
      </c>
      <c r="W41" s="111">
        <f>IFERROR(('B1'!X94/$E$7),0)</f>
        <v>0</v>
      </c>
      <c r="X41" s="28">
        <f>IFERROR(('B1'!Y94/$E$7),0)</f>
        <v>0</v>
      </c>
      <c r="Y41" s="28">
        <f>IFERROR(('B1'!Z94/$E$7),0)</f>
        <v>0</v>
      </c>
      <c r="Z41" s="111">
        <f>IFERROR(('B1'!AA94/$E$7),0)</f>
        <v>0</v>
      </c>
      <c r="AA41" s="111">
        <f>IFERROR(('B1'!AB94/$E$7),0)</f>
        <v>0</v>
      </c>
      <c r="AB41" s="170">
        <f>SUM(R41:AA41)</f>
        <v>0</v>
      </c>
      <c r="AD41" s="180" t="s">
        <v>74</v>
      </c>
      <c r="AE41" s="111"/>
      <c r="AF41" s="28">
        <f>IFERROR(('B2'!S94/$E$7),0)</f>
        <v>0</v>
      </c>
      <c r="AG41" s="111">
        <f>IFERROR(('B2'!T94/$E$7),0)</f>
        <v>0</v>
      </c>
      <c r="AH41" s="28">
        <f>IFERROR(('B2'!U94/$E$7),0)</f>
        <v>0</v>
      </c>
      <c r="AI41" s="111">
        <f>IFERROR(('B2'!V94/$E$7),0)</f>
        <v>0</v>
      </c>
      <c r="AJ41" s="28">
        <f>IFERROR(('B2'!W94/$E$7),0)</f>
        <v>0</v>
      </c>
      <c r="AK41" s="111">
        <f>IFERROR(('B2'!X94/$E$7),0)</f>
        <v>0</v>
      </c>
      <c r="AL41" s="28">
        <f>IFERROR(('B2'!Y94/$E$7),0)</f>
        <v>0</v>
      </c>
      <c r="AM41" s="28">
        <f>IFERROR(('B2'!Z94/$E$7),0)</f>
        <v>0</v>
      </c>
      <c r="AN41" s="111">
        <f>IFERROR(('B2'!AA94/$E$7),0)</f>
        <v>0</v>
      </c>
      <c r="AO41" s="111">
        <f>IFERROR(('B2'!AB94/$E$7),0)</f>
        <v>0</v>
      </c>
      <c r="AP41" s="170">
        <f>SUM(AF41:AO41)</f>
        <v>0</v>
      </c>
      <c r="AR41" s="180" t="s">
        <v>74</v>
      </c>
      <c r="AS41" s="111"/>
      <c r="AT41" s="28">
        <f>IFERROR(('B3'!S94/$E$7),0)</f>
        <v>0</v>
      </c>
      <c r="AU41" s="111">
        <f>IFERROR(('B3'!T94/$E$7),0)</f>
        <v>0</v>
      </c>
      <c r="AV41" s="28">
        <f>IFERROR(('B3'!U94/$E$7),0)</f>
        <v>0</v>
      </c>
      <c r="AW41" s="111">
        <f>IFERROR(('B3'!V94/$E$7),0)</f>
        <v>0</v>
      </c>
      <c r="AX41" s="28">
        <f>IFERROR(('B3'!W94/$E$7),0)</f>
        <v>0</v>
      </c>
      <c r="AY41" s="111">
        <f>IFERROR(('B3'!X94/$E$7),0)</f>
        <v>0</v>
      </c>
      <c r="AZ41" s="28">
        <f>IFERROR(('B3'!Y94/$E$7),0)</f>
        <v>0</v>
      </c>
      <c r="BA41" s="28">
        <f>IFERROR(('B3'!Z94/$E$7),0)</f>
        <v>0</v>
      </c>
      <c r="BB41" s="28">
        <f>IFERROR(('B3'!AA94/$E$7),0)</f>
        <v>0</v>
      </c>
      <c r="BC41" s="28">
        <f>IFERROR(('B3'!AB94/$E$7),0)</f>
        <v>0</v>
      </c>
      <c r="BD41" s="170">
        <f>SUM(AT41:BC41)</f>
        <v>0</v>
      </c>
      <c r="BF41" s="180" t="s">
        <v>74</v>
      </c>
      <c r="BG41" s="111"/>
      <c r="BH41" s="28">
        <f>IFERROR(('B4'!S94/$E$7),0)</f>
        <v>0</v>
      </c>
      <c r="BI41" s="111">
        <f>IFERROR(('B4'!T94/$E$7),0)</f>
        <v>0</v>
      </c>
      <c r="BJ41" s="28">
        <f>IFERROR(('B4'!U94/$E$7),0)</f>
        <v>0</v>
      </c>
      <c r="BK41" s="111">
        <f>IFERROR(('B4'!V94/$E$7),0)</f>
        <v>0</v>
      </c>
      <c r="BL41" s="28">
        <f>IFERROR(('B4'!W94/$E$7),0)</f>
        <v>0</v>
      </c>
      <c r="BM41" s="111">
        <f>IFERROR(('B4'!X94/$E$7),0)</f>
        <v>0</v>
      </c>
      <c r="BN41" s="28">
        <f>IFERROR(('B4'!Y94/$E$7),0)</f>
        <v>0</v>
      </c>
      <c r="BO41" s="28">
        <f>IFERROR(('B4'!Z94/$E$7),0)</f>
        <v>0</v>
      </c>
      <c r="BP41" s="111">
        <f>IFERROR(('B4'!AA94/$E$7),0)</f>
        <v>0</v>
      </c>
      <c r="BQ41" s="111">
        <f>IFERROR(('B4'!AB94/$E$7),0)</f>
        <v>0</v>
      </c>
      <c r="BR41" s="170">
        <f>SUM(BH41:BQ41)</f>
        <v>0</v>
      </c>
      <c r="BT41" s="180" t="s">
        <v>74</v>
      </c>
      <c r="BU41" s="111"/>
      <c r="BV41" s="28">
        <f>IFERROR(('B5'!S94/$E$7),0)</f>
        <v>0</v>
      </c>
      <c r="BW41" s="111">
        <f>IFERROR(('B5'!T94/$E$7),0)</f>
        <v>0</v>
      </c>
      <c r="BX41" s="28">
        <f>IFERROR(('B5'!U94/$E$7),0)</f>
        <v>0</v>
      </c>
      <c r="BY41" s="111">
        <f>IFERROR(('B5'!V94/$E$7),0)</f>
        <v>0</v>
      </c>
      <c r="BZ41" s="28">
        <f>IFERROR(('B5'!W94/$E$7),0)</f>
        <v>0</v>
      </c>
      <c r="CA41" s="111">
        <f>IFERROR(('B5'!X94/$E$7),0)</f>
        <v>0</v>
      </c>
      <c r="CB41" s="28">
        <f>IFERROR(('B5'!Y94/$E$7),0)</f>
        <v>0</v>
      </c>
      <c r="CC41" s="28">
        <f>IFERROR(('B5'!Z94/$E$7),0)</f>
        <v>0</v>
      </c>
      <c r="CD41" s="111">
        <f>IFERROR(('B5'!AA94/$E$7),0)</f>
        <v>0</v>
      </c>
      <c r="CE41" s="111">
        <f>IFERROR(('B5'!AB94/$E$7),0)</f>
        <v>0</v>
      </c>
      <c r="CF41" s="170">
        <f>SUM(BV41:CE41)</f>
        <v>0</v>
      </c>
    </row>
    <row r="42" spans="2:84">
      <c r="B42" s="152" t="s">
        <v>75</v>
      </c>
      <c r="C42" s="112"/>
      <c r="D42" s="113">
        <f>IFERROR(Total!D35/$E$7,0)</f>
        <v>0</v>
      </c>
      <c r="E42" s="112">
        <f>IFERROR(Total!E35/$E$7,0)</f>
        <v>0</v>
      </c>
      <c r="F42" s="113">
        <f>IFERROR(Total!F35/$E$7,0)</f>
        <v>0</v>
      </c>
      <c r="G42" s="112">
        <f>IFERROR(Total!G35/$E$7,0)</f>
        <v>0</v>
      </c>
      <c r="H42" s="113">
        <f>IFERROR(Total!H35/$E$7,0)</f>
        <v>0</v>
      </c>
      <c r="I42" s="112">
        <f>IFERROR(Total!I35/$E$7,0)</f>
        <v>0</v>
      </c>
      <c r="J42" s="113">
        <f>IFERROR(Total!J35/$E$7,0)</f>
        <v>0</v>
      </c>
      <c r="K42" s="113">
        <f>IFERROR(Total!K35/$E$7,0)</f>
        <v>0</v>
      </c>
      <c r="L42" s="112">
        <f>IFERROR(Total!L35/$E$7,0)</f>
        <v>0</v>
      </c>
      <c r="M42" s="112">
        <f>IFERROR(Total!M35/$E$7,0)</f>
        <v>0</v>
      </c>
      <c r="N42" s="171">
        <f t="shared" si="42"/>
        <v>0</v>
      </c>
      <c r="P42" s="152" t="s">
        <v>75</v>
      </c>
      <c r="Q42" s="112"/>
      <c r="R42" s="113">
        <f>IFERROR(('B1'!S95/$E$7),0)</f>
        <v>0</v>
      </c>
      <c r="S42" s="112">
        <f>IFERROR(('B1'!T95/$E$7),0)</f>
        <v>0</v>
      </c>
      <c r="T42" s="113">
        <f>IFERROR(('B1'!U95/$E$7),0)</f>
        <v>0</v>
      </c>
      <c r="U42" s="112">
        <f>IFERROR(('B1'!V95/$E$7),0)</f>
        <v>0</v>
      </c>
      <c r="V42" s="113">
        <f>IFERROR(('B1'!W95/$E$7),0)</f>
        <v>0</v>
      </c>
      <c r="W42" s="112">
        <f>IFERROR(('B1'!X95/$E$7),0)</f>
        <v>0</v>
      </c>
      <c r="X42" s="113">
        <f>IFERROR(('B1'!Y95/$E$7),0)</f>
        <v>0</v>
      </c>
      <c r="Y42" s="113">
        <f>IFERROR(('B1'!Z95/$E$7),0)</f>
        <v>0</v>
      </c>
      <c r="Z42" s="112">
        <f>IFERROR(('B1'!AA95/$E$7),0)</f>
        <v>0</v>
      </c>
      <c r="AA42" s="112">
        <f>IFERROR(('B1'!AB95/$E$7),0)</f>
        <v>0</v>
      </c>
      <c r="AB42" s="171">
        <f t="shared" ref="AB42:AB50" si="43">SUM(R42:AA42)</f>
        <v>0</v>
      </c>
      <c r="AD42" s="152" t="s">
        <v>75</v>
      </c>
      <c r="AE42" s="112"/>
      <c r="AF42" s="113">
        <f>IFERROR(('B2'!S95/$E$7),0)</f>
        <v>0</v>
      </c>
      <c r="AG42" s="112">
        <f>IFERROR(('B2'!T95/$E$7),0)</f>
        <v>0</v>
      </c>
      <c r="AH42" s="113">
        <f>IFERROR(('B2'!U95/$E$7),0)</f>
        <v>0</v>
      </c>
      <c r="AI42" s="112">
        <f>IFERROR(('B2'!V95/$E$7),0)</f>
        <v>0</v>
      </c>
      <c r="AJ42" s="113">
        <f>IFERROR(('B2'!W95/$E$7),0)</f>
        <v>0</v>
      </c>
      <c r="AK42" s="112">
        <f>IFERROR(('B2'!X95/$E$7),0)</f>
        <v>0</v>
      </c>
      <c r="AL42" s="113">
        <f>IFERROR(('B2'!Y95/$E$7),0)</f>
        <v>0</v>
      </c>
      <c r="AM42" s="113">
        <f>IFERROR(('B2'!Z95/$E$7),0)</f>
        <v>0</v>
      </c>
      <c r="AN42" s="112">
        <f>IFERROR(('B2'!AA95/$E$7),0)</f>
        <v>0</v>
      </c>
      <c r="AO42" s="112">
        <f>IFERROR(('B2'!AB95/$E$7),0)</f>
        <v>0</v>
      </c>
      <c r="AP42" s="171">
        <f t="shared" ref="AP42:AP50" si="44">SUM(AF42:AO42)</f>
        <v>0</v>
      </c>
      <c r="AR42" s="152" t="s">
        <v>75</v>
      </c>
      <c r="AS42" s="112"/>
      <c r="AT42" s="113">
        <f>IFERROR(('B3'!S95/$E$7),0)</f>
        <v>0</v>
      </c>
      <c r="AU42" s="112">
        <f>IFERROR(('B3'!T95/$E$7),0)</f>
        <v>0</v>
      </c>
      <c r="AV42" s="113">
        <f>IFERROR(('B3'!U95/$E$7),0)</f>
        <v>0</v>
      </c>
      <c r="AW42" s="112">
        <f>IFERROR(('B3'!V95/$E$7),0)</f>
        <v>0</v>
      </c>
      <c r="AX42" s="113">
        <f>IFERROR(('B3'!W95/$E$7),0)</f>
        <v>0</v>
      </c>
      <c r="AY42" s="112">
        <f>IFERROR(('B3'!X95/$E$7),0)</f>
        <v>0</v>
      </c>
      <c r="AZ42" s="113">
        <f>IFERROR(('B3'!Y95/$E$7),0)</f>
        <v>0</v>
      </c>
      <c r="BA42" s="113">
        <f>IFERROR(('B3'!Z95/$E$7),0)</f>
        <v>0</v>
      </c>
      <c r="BB42" s="113">
        <f>IFERROR(('B3'!AA95/$E$7),0)</f>
        <v>0</v>
      </c>
      <c r="BC42" s="113">
        <f>IFERROR(('B3'!AB95/$E$7),0)</f>
        <v>0</v>
      </c>
      <c r="BD42" s="171">
        <f t="shared" ref="BD42:BD50" si="45">SUM(AT42:BC42)</f>
        <v>0</v>
      </c>
      <c r="BF42" s="152" t="s">
        <v>75</v>
      </c>
      <c r="BG42" s="112"/>
      <c r="BH42" s="113">
        <f>IFERROR(('B4'!S95/$E$7),0)</f>
        <v>0</v>
      </c>
      <c r="BI42" s="112">
        <f>IFERROR(('B4'!T95/$E$7),0)</f>
        <v>0</v>
      </c>
      <c r="BJ42" s="113">
        <f>IFERROR(('B4'!U95/$E$7),0)</f>
        <v>0</v>
      </c>
      <c r="BK42" s="112">
        <f>IFERROR(('B4'!V95/$E$7),0)</f>
        <v>0</v>
      </c>
      <c r="BL42" s="113">
        <f>IFERROR(('B4'!W95/$E$7),0)</f>
        <v>0</v>
      </c>
      <c r="BM42" s="112">
        <f>IFERROR(('B4'!X95/$E$7),0)</f>
        <v>0</v>
      </c>
      <c r="BN42" s="113">
        <f>IFERROR(('B4'!Y95/$E$7),0)</f>
        <v>0</v>
      </c>
      <c r="BO42" s="113">
        <f>IFERROR(('B4'!Z95/$E$7),0)</f>
        <v>0</v>
      </c>
      <c r="BP42" s="112">
        <f>IFERROR(('B4'!AA95/$E$7),0)</f>
        <v>0</v>
      </c>
      <c r="BQ42" s="112">
        <f>IFERROR(('B4'!AB95/$E$7),0)</f>
        <v>0</v>
      </c>
      <c r="BR42" s="171">
        <f t="shared" ref="BR42:BR50" si="46">SUM(BH42:BQ42)</f>
        <v>0</v>
      </c>
      <c r="BT42" s="152" t="s">
        <v>75</v>
      </c>
      <c r="BU42" s="112"/>
      <c r="BV42" s="113">
        <f>IFERROR(('B5'!S95/$E$7),0)</f>
        <v>0</v>
      </c>
      <c r="BW42" s="112">
        <f>IFERROR(('B5'!T95/$E$7),0)</f>
        <v>0</v>
      </c>
      <c r="BX42" s="113">
        <f>IFERROR(('B5'!U95/$E$7),0)</f>
        <v>0</v>
      </c>
      <c r="BY42" s="112">
        <f>IFERROR(('B5'!V95/$E$7),0)</f>
        <v>0</v>
      </c>
      <c r="BZ42" s="113">
        <f>IFERROR(('B5'!W95/$E$7),0)</f>
        <v>0</v>
      </c>
      <c r="CA42" s="112">
        <f>IFERROR(('B5'!X95/$E$7),0)</f>
        <v>0</v>
      </c>
      <c r="CB42" s="113">
        <f>IFERROR(('B5'!Y95/$E$7),0)</f>
        <v>0</v>
      </c>
      <c r="CC42" s="113">
        <f>IFERROR(('B5'!Z95/$E$7),0)</f>
        <v>0</v>
      </c>
      <c r="CD42" s="112">
        <f>IFERROR(('B5'!AA95/$E$7),0)</f>
        <v>0</v>
      </c>
      <c r="CE42" s="112">
        <f>IFERROR(('B5'!AB95/$E$7),0)</f>
        <v>0</v>
      </c>
      <c r="CF42" s="171">
        <f t="shared" ref="CF42:CF50" si="47">SUM(BV42:CE42)</f>
        <v>0</v>
      </c>
    </row>
    <row r="43" spans="2:84">
      <c r="B43" s="181" t="s">
        <v>76</v>
      </c>
      <c r="C43" s="142"/>
      <c r="D43" s="137">
        <f>IFERROR(Total!D36/$E$7,0)</f>
        <v>0</v>
      </c>
      <c r="E43" s="137">
        <f>IFERROR(Total!E36/$E$7,0)</f>
        <v>0</v>
      </c>
      <c r="F43" s="137">
        <f>IFERROR(Total!F36/$E$7,0)</f>
        <v>0</v>
      </c>
      <c r="G43" s="137">
        <f>IFERROR(Total!G36/$E$7,0)</f>
        <v>0</v>
      </c>
      <c r="H43" s="137">
        <f>IFERROR(Total!H36/$E$7,0)</f>
        <v>0</v>
      </c>
      <c r="I43" s="137">
        <f>IFERROR(Total!I36/$E$7,0)</f>
        <v>0</v>
      </c>
      <c r="J43" s="142">
        <f>IFERROR(Total!J36/$E$7,0)</f>
        <v>0</v>
      </c>
      <c r="K43" s="137">
        <f>IFERROR(Total!K36/$E$7,0)</f>
        <v>0</v>
      </c>
      <c r="L43" s="142">
        <f>IFERROR(Total!L36/$E$7,0)</f>
        <v>0</v>
      </c>
      <c r="M43" s="142">
        <f>IFERROR(Total!M36/$E$7,0)</f>
        <v>0</v>
      </c>
      <c r="N43" s="172">
        <f t="shared" si="42"/>
        <v>0</v>
      </c>
      <c r="P43" s="181" t="s">
        <v>76</v>
      </c>
      <c r="Q43" s="142"/>
      <c r="R43" s="137">
        <f>IFERROR(('B1'!S96/$E$7),0)</f>
        <v>0</v>
      </c>
      <c r="S43" s="137">
        <f>IFERROR(('B1'!T96/$E$7),0)</f>
        <v>0</v>
      </c>
      <c r="T43" s="137">
        <f>IFERROR(('B1'!U96/$E$7),0)</f>
        <v>0</v>
      </c>
      <c r="U43" s="137">
        <f>IFERROR(('B1'!V96/$E$7),0)</f>
        <v>0</v>
      </c>
      <c r="V43" s="137">
        <f>IFERROR(('B1'!W96/$E$7),0)</f>
        <v>0</v>
      </c>
      <c r="W43" s="137">
        <f>IFERROR(('B1'!X96/$E$7),0)</f>
        <v>0</v>
      </c>
      <c r="X43" s="142">
        <f>IFERROR(('B1'!Y96/$E$7),0)</f>
        <v>0</v>
      </c>
      <c r="Y43" s="137">
        <f>IFERROR(('B1'!Z96/$E$7),0)</f>
        <v>0</v>
      </c>
      <c r="Z43" s="142">
        <f>IFERROR(('B1'!AA96/$E$7),0)</f>
        <v>0</v>
      </c>
      <c r="AA43" s="142">
        <f>IFERROR(('B1'!AB96/$E$7),0)</f>
        <v>0</v>
      </c>
      <c r="AB43" s="172">
        <f t="shared" si="43"/>
        <v>0</v>
      </c>
      <c r="AD43" s="181" t="s">
        <v>76</v>
      </c>
      <c r="AE43" s="142"/>
      <c r="AF43" s="137">
        <f>IFERROR(('B2'!S96/$E$7),0)</f>
        <v>0</v>
      </c>
      <c r="AG43" s="137">
        <f>IFERROR(('B2'!T96/$E$7),0)</f>
        <v>0</v>
      </c>
      <c r="AH43" s="137">
        <f>IFERROR(('B2'!U96/$E$7),0)</f>
        <v>0</v>
      </c>
      <c r="AI43" s="137">
        <f>IFERROR(('B2'!V96/$E$7),0)</f>
        <v>0</v>
      </c>
      <c r="AJ43" s="137">
        <f>IFERROR(('B2'!W96/$E$7),0)</f>
        <v>0</v>
      </c>
      <c r="AK43" s="137">
        <f>IFERROR(('B2'!X96/$E$7),0)</f>
        <v>0</v>
      </c>
      <c r="AL43" s="142">
        <f>IFERROR(('B2'!Y96/$E$7),0)</f>
        <v>0</v>
      </c>
      <c r="AM43" s="137">
        <f>IFERROR(('B2'!Z96/$E$7),0)</f>
        <v>0</v>
      </c>
      <c r="AN43" s="142">
        <f>IFERROR(('B2'!AA96/$E$7),0)</f>
        <v>0</v>
      </c>
      <c r="AO43" s="142">
        <f>IFERROR(('B2'!AB96/$E$7),0)</f>
        <v>0</v>
      </c>
      <c r="AP43" s="172">
        <f t="shared" si="44"/>
        <v>0</v>
      </c>
      <c r="AR43" s="181" t="s">
        <v>76</v>
      </c>
      <c r="AS43" s="142"/>
      <c r="AT43" s="137">
        <f>IFERROR(('B3'!S96/$E$7),0)</f>
        <v>0</v>
      </c>
      <c r="AU43" s="137">
        <f>IFERROR(('B3'!T96/$E$7),0)</f>
        <v>0</v>
      </c>
      <c r="AV43" s="137">
        <f>IFERROR(('B3'!U96/$E$7),0)</f>
        <v>0</v>
      </c>
      <c r="AW43" s="137">
        <f>IFERROR(('B3'!V96/$E$7),0)</f>
        <v>0</v>
      </c>
      <c r="AX43" s="137">
        <f>IFERROR(('B3'!W96/$E$7),0)</f>
        <v>0</v>
      </c>
      <c r="AY43" s="137">
        <f>IFERROR(('B3'!X96/$E$7),0)</f>
        <v>0</v>
      </c>
      <c r="AZ43" s="142">
        <f>IFERROR(('B3'!Y96/$E$7),0)</f>
        <v>0</v>
      </c>
      <c r="BA43" s="137">
        <f>IFERROR(('B3'!Z96/$E$7),0)</f>
        <v>0</v>
      </c>
      <c r="BB43" s="137">
        <f>IFERROR(('B3'!AA96/$E$7),0)</f>
        <v>0</v>
      </c>
      <c r="BC43" s="137">
        <f>IFERROR(('B3'!AB96/$E$7),0)</f>
        <v>0</v>
      </c>
      <c r="BD43" s="172">
        <f t="shared" si="45"/>
        <v>0</v>
      </c>
      <c r="BF43" s="181" t="s">
        <v>76</v>
      </c>
      <c r="BG43" s="142"/>
      <c r="BH43" s="137">
        <f>IFERROR(('B4'!S96/$E$7),0)</f>
        <v>0</v>
      </c>
      <c r="BI43" s="137">
        <f>IFERROR(('B4'!T96/$E$7),0)</f>
        <v>0</v>
      </c>
      <c r="BJ43" s="137">
        <f>IFERROR(('B4'!U96/$E$7),0)</f>
        <v>0</v>
      </c>
      <c r="BK43" s="137">
        <f>IFERROR(('B4'!V96/$E$7),0)</f>
        <v>0</v>
      </c>
      <c r="BL43" s="137">
        <f>IFERROR(('B4'!W96/$E$7),0)</f>
        <v>0</v>
      </c>
      <c r="BM43" s="137">
        <f>IFERROR(('B4'!X96/$E$7),0)</f>
        <v>0</v>
      </c>
      <c r="BN43" s="142">
        <f>IFERROR(('B4'!Y96/$E$7),0)</f>
        <v>0</v>
      </c>
      <c r="BO43" s="137">
        <f>IFERROR(('B4'!Z96/$E$7),0)</f>
        <v>0</v>
      </c>
      <c r="BP43" s="142">
        <f>IFERROR(('B4'!AA96/$E$7),0)</f>
        <v>0</v>
      </c>
      <c r="BQ43" s="142">
        <f>IFERROR(('B4'!AB96/$E$7),0)</f>
        <v>0</v>
      </c>
      <c r="BR43" s="172">
        <f t="shared" si="46"/>
        <v>0</v>
      </c>
      <c r="BT43" s="181" t="s">
        <v>76</v>
      </c>
      <c r="BU43" s="142"/>
      <c r="BV43" s="137">
        <f>IFERROR(('B5'!S96/$E$7),0)</f>
        <v>0</v>
      </c>
      <c r="BW43" s="137">
        <f>IFERROR(('B5'!T96/$E$7),0)</f>
        <v>0</v>
      </c>
      <c r="BX43" s="137">
        <f>IFERROR(('B5'!U96/$E$7),0)</f>
        <v>0</v>
      </c>
      <c r="BY43" s="137">
        <f>IFERROR(('B5'!V96/$E$7),0)</f>
        <v>0</v>
      </c>
      <c r="BZ43" s="137">
        <f>IFERROR(('B5'!W96/$E$7),0)</f>
        <v>0</v>
      </c>
      <c r="CA43" s="137">
        <f>IFERROR(('B5'!X96/$E$7),0)</f>
        <v>0</v>
      </c>
      <c r="CB43" s="142">
        <f>IFERROR(('B5'!Y96/$E$7),0)</f>
        <v>0</v>
      </c>
      <c r="CC43" s="137">
        <f>IFERROR(('B5'!Z96/$E$7),0)</f>
        <v>0</v>
      </c>
      <c r="CD43" s="142">
        <f>IFERROR(('B5'!AA96/$E$7),0)</f>
        <v>0</v>
      </c>
      <c r="CE43" s="142">
        <f>IFERROR(('B5'!AB96/$E$7),0)</f>
        <v>0</v>
      </c>
      <c r="CF43" s="172">
        <f t="shared" si="47"/>
        <v>0</v>
      </c>
    </row>
    <row r="44" spans="2:84">
      <c r="B44" s="181" t="s">
        <v>77</v>
      </c>
      <c r="C44" s="142"/>
      <c r="D44" s="137">
        <f>IFERROR(Total!D37/$E$7,0)</f>
        <v>0</v>
      </c>
      <c r="E44" s="187">
        <f>IFERROR(Total!E37/$E$7,0)</f>
        <v>0</v>
      </c>
      <c r="F44" s="187">
        <f>IFERROR(Total!F37/$E$7,0)</f>
        <v>0</v>
      </c>
      <c r="G44" s="187">
        <f>IFERROR(Total!G37/$E$7,0)</f>
        <v>0</v>
      </c>
      <c r="H44" s="187">
        <f>IFERROR(Total!H37/$E$7,0)</f>
        <v>0</v>
      </c>
      <c r="I44" s="187">
        <f>IFERROR(Total!I37/$E$7,0)</f>
        <v>0</v>
      </c>
      <c r="J44" s="188">
        <f>IFERROR(Total!J37/$E$7,0)</f>
        <v>0</v>
      </c>
      <c r="K44" s="187">
        <f>IFERROR(Total!K37/$E$7,0)</f>
        <v>0</v>
      </c>
      <c r="L44" s="188">
        <f>IFERROR(Total!L37/$E$7,0)</f>
        <v>0</v>
      </c>
      <c r="M44" s="188">
        <f>IFERROR(Total!M37/$E$7,0)</f>
        <v>0</v>
      </c>
      <c r="N44" s="172">
        <f t="shared" si="42"/>
        <v>0</v>
      </c>
      <c r="P44" s="181" t="s">
        <v>77</v>
      </c>
      <c r="Q44" s="142"/>
      <c r="R44" s="137">
        <f>IFERROR(('B1'!S97/$E$7),0)</f>
        <v>0</v>
      </c>
      <c r="S44" s="187">
        <f>IFERROR(('B1'!T97/$E$7),0)</f>
        <v>0</v>
      </c>
      <c r="T44" s="187">
        <f>IFERROR(('B1'!U97/$E$7),0)</f>
        <v>0</v>
      </c>
      <c r="U44" s="187">
        <f>IFERROR(('B1'!V97/$E$7),0)</f>
        <v>0</v>
      </c>
      <c r="V44" s="187">
        <f>IFERROR(('B1'!W97/$E$7),0)</f>
        <v>0</v>
      </c>
      <c r="W44" s="187">
        <f>IFERROR(('B1'!X97/$E$7),0)</f>
        <v>0</v>
      </c>
      <c r="X44" s="188">
        <f>IFERROR(('B1'!Y97/$E$7),0)</f>
        <v>0</v>
      </c>
      <c r="Y44" s="187">
        <f>IFERROR(('B1'!Z97/$E$7),0)</f>
        <v>0</v>
      </c>
      <c r="Z44" s="188">
        <f>IFERROR(('B1'!AA97/$E$7),0)</f>
        <v>0</v>
      </c>
      <c r="AA44" s="188">
        <f>IFERROR(('B1'!AB97/$E$7),0)</f>
        <v>0</v>
      </c>
      <c r="AB44" s="172">
        <f t="shared" si="43"/>
        <v>0</v>
      </c>
      <c r="AD44" s="181" t="s">
        <v>77</v>
      </c>
      <c r="AE44" s="142"/>
      <c r="AF44" s="137">
        <f>IFERROR(('B2'!S97/$E$7),0)</f>
        <v>0</v>
      </c>
      <c r="AG44" s="187">
        <f>IFERROR(('B2'!T97/$E$7),0)</f>
        <v>0</v>
      </c>
      <c r="AH44" s="187">
        <f>IFERROR(('B2'!U97/$E$7),0)</f>
        <v>0</v>
      </c>
      <c r="AI44" s="187">
        <f>IFERROR(('B2'!V97/$E$7),0)</f>
        <v>0</v>
      </c>
      <c r="AJ44" s="187">
        <f>IFERROR(('B2'!W97/$E$7),0)</f>
        <v>0</v>
      </c>
      <c r="AK44" s="187">
        <f>IFERROR(('B2'!X97/$E$7),0)</f>
        <v>0</v>
      </c>
      <c r="AL44" s="188">
        <f>IFERROR(('B2'!Y97/$E$7),0)</f>
        <v>0</v>
      </c>
      <c r="AM44" s="187">
        <f>IFERROR(('B2'!Z97/$E$7),0)</f>
        <v>0</v>
      </c>
      <c r="AN44" s="188">
        <f>IFERROR(('B2'!AA97/$E$7),0)</f>
        <v>0</v>
      </c>
      <c r="AO44" s="188">
        <f>IFERROR(('B2'!AB97/$E$7),0)</f>
        <v>0</v>
      </c>
      <c r="AP44" s="172">
        <f t="shared" si="44"/>
        <v>0</v>
      </c>
      <c r="AR44" s="181" t="s">
        <v>77</v>
      </c>
      <c r="AS44" s="142"/>
      <c r="AT44" s="137">
        <f>IFERROR(('B3'!S97/$E$7),0)</f>
        <v>0</v>
      </c>
      <c r="AU44" s="187">
        <f>IFERROR(('B3'!T97/$E$7),0)</f>
        <v>0</v>
      </c>
      <c r="AV44" s="187">
        <f>IFERROR(('B3'!U97/$E$7),0)</f>
        <v>0</v>
      </c>
      <c r="AW44" s="187">
        <f>IFERROR(('B3'!V97/$E$7),0)</f>
        <v>0</v>
      </c>
      <c r="AX44" s="187">
        <f>IFERROR(('B3'!W97/$E$7),0)</f>
        <v>0</v>
      </c>
      <c r="AY44" s="187">
        <f>IFERROR(('B3'!X97/$E$7),0)</f>
        <v>0</v>
      </c>
      <c r="AZ44" s="188">
        <f>IFERROR(('B3'!Y97/$E$7),0)</f>
        <v>0</v>
      </c>
      <c r="BA44" s="187">
        <f>IFERROR(('B3'!Z97/$E$7),0)</f>
        <v>0</v>
      </c>
      <c r="BB44" s="187">
        <f>IFERROR(('B3'!AA97/$E$7),0)</f>
        <v>0</v>
      </c>
      <c r="BC44" s="187">
        <f>IFERROR(('B3'!AB97/$E$7),0)</f>
        <v>0</v>
      </c>
      <c r="BD44" s="172">
        <f t="shared" si="45"/>
        <v>0</v>
      </c>
      <c r="BF44" s="181" t="s">
        <v>77</v>
      </c>
      <c r="BG44" s="142"/>
      <c r="BH44" s="137">
        <f>IFERROR(('B4'!S97/$E$7),0)</f>
        <v>0</v>
      </c>
      <c r="BI44" s="187">
        <f>IFERROR(('B4'!T97/$E$7),0)</f>
        <v>0</v>
      </c>
      <c r="BJ44" s="187">
        <f>IFERROR(('B4'!U97/$E$7),0)</f>
        <v>0</v>
      </c>
      <c r="BK44" s="187">
        <f>IFERROR(('B4'!V97/$E$7),0)</f>
        <v>0</v>
      </c>
      <c r="BL44" s="187">
        <f>IFERROR(('B4'!W97/$E$7),0)</f>
        <v>0</v>
      </c>
      <c r="BM44" s="187">
        <f>IFERROR(('B4'!X97/$E$7),0)</f>
        <v>0</v>
      </c>
      <c r="BN44" s="188">
        <f>IFERROR(('B4'!Y97/$E$7),0)</f>
        <v>0</v>
      </c>
      <c r="BO44" s="187">
        <f>IFERROR(('B4'!Z97/$E$7),0)</f>
        <v>0</v>
      </c>
      <c r="BP44" s="188">
        <f>IFERROR(('B4'!AA97/$E$7),0)</f>
        <v>0</v>
      </c>
      <c r="BQ44" s="188">
        <f>IFERROR(('B4'!AB97/$E$7),0)</f>
        <v>0</v>
      </c>
      <c r="BR44" s="172">
        <f t="shared" si="46"/>
        <v>0</v>
      </c>
      <c r="BT44" s="181" t="s">
        <v>77</v>
      </c>
      <c r="BU44" s="142"/>
      <c r="BV44" s="137">
        <f>IFERROR(('B5'!S97/$E$7),0)</f>
        <v>0</v>
      </c>
      <c r="BW44" s="187">
        <f>IFERROR(('B5'!T97/$E$7),0)</f>
        <v>0</v>
      </c>
      <c r="BX44" s="187">
        <f>IFERROR(('B5'!U97/$E$7),0)</f>
        <v>0</v>
      </c>
      <c r="BY44" s="187">
        <f>IFERROR(('B5'!V97/$E$7),0)</f>
        <v>0</v>
      </c>
      <c r="BZ44" s="187">
        <f>IFERROR(('B5'!W97/$E$7),0)</f>
        <v>0</v>
      </c>
      <c r="CA44" s="187">
        <f>IFERROR(('B5'!X97/$E$7),0)</f>
        <v>0</v>
      </c>
      <c r="CB44" s="188">
        <f>IFERROR(('B5'!Y97/$E$7),0)</f>
        <v>0</v>
      </c>
      <c r="CC44" s="187">
        <f>IFERROR(('B5'!Z97/$E$7),0)</f>
        <v>0</v>
      </c>
      <c r="CD44" s="188">
        <f>IFERROR(('B5'!AA97/$E$7),0)</f>
        <v>0</v>
      </c>
      <c r="CE44" s="188">
        <f>IFERROR(('B5'!AB97/$E$7),0)</f>
        <v>0</v>
      </c>
      <c r="CF44" s="172">
        <f t="shared" si="47"/>
        <v>0</v>
      </c>
    </row>
    <row r="45" spans="2:84">
      <c r="B45" s="181" t="s">
        <v>78</v>
      </c>
      <c r="C45" s="142"/>
      <c r="D45" s="137">
        <f>IFERROR(Total!D38/$E$7,0)</f>
        <v>0</v>
      </c>
      <c r="E45" s="194">
        <f>IFERROR(Total!E38/$E$7,0)</f>
        <v>0</v>
      </c>
      <c r="F45" s="194">
        <f>IFERROR(Total!F38/$E$7,0)</f>
        <v>0</v>
      </c>
      <c r="G45" s="194">
        <f>IFERROR(Total!G38/$E$7,0)</f>
        <v>0</v>
      </c>
      <c r="H45" s="194">
        <f>IFERROR(Total!H38/$E$7,0)</f>
        <v>0</v>
      </c>
      <c r="I45" s="194">
        <f>IFERROR(Total!I38/$E$7,0)</f>
        <v>0</v>
      </c>
      <c r="J45" s="195">
        <f>IFERROR(Total!J38/$E$7,0)</f>
        <v>0</v>
      </c>
      <c r="K45" s="194">
        <f>IFERROR(Total!K38/$E$7,0)</f>
        <v>0</v>
      </c>
      <c r="L45" s="195">
        <f>IFERROR(Total!L38/$E$7,0)</f>
        <v>0</v>
      </c>
      <c r="M45" s="195">
        <f>IFERROR(Total!M38/$E$7,0)</f>
        <v>0</v>
      </c>
      <c r="N45" s="172">
        <f t="shared" si="42"/>
        <v>0</v>
      </c>
      <c r="P45" s="181" t="s">
        <v>78</v>
      </c>
      <c r="Q45" s="142"/>
      <c r="R45" s="137">
        <f>IFERROR(('B1'!S98/$E$7),0)</f>
        <v>0</v>
      </c>
      <c r="S45" s="194">
        <f>IFERROR(('B1'!T98/$E$7),0)</f>
        <v>0</v>
      </c>
      <c r="T45" s="194">
        <f>IFERROR(('B1'!U98/$E$7),0)</f>
        <v>0</v>
      </c>
      <c r="U45" s="194">
        <f>IFERROR(('B1'!V98/$E$7),0)</f>
        <v>0</v>
      </c>
      <c r="V45" s="194">
        <f>IFERROR(('B1'!W98/$E$7),0)</f>
        <v>0</v>
      </c>
      <c r="W45" s="194">
        <f>IFERROR(('B1'!X98/$E$7),0)</f>
        <v>0</v>
      </c>
      <c r="X45" s="195">
        <f>IFERROR(('B1'!Y98/$E$7),0)</f>
        <v>0</v>
      </c>
      <c r="Y45" s="194">
        <f>IFERROR(('B1'!Z98/$E$7),0)</f>
        <v>0</v>
      </c>
      <c r="Z45" s="195">
        <f>IFERROR(('B1'!AA98/$E$7),0)</f>
        <v>0</v>
      </c>
      <c r="AA45" s="195">
        <f>IFERROR(('B1'!AB98/$E$7),0)</f>
        <v>0</v>
      </c>
      <c r="AB45" s="172">
        <f t="shared" si="43"/>
        <v>0</v>
      </c>
      <c r="AD45" s="181" t="s">
        <v>78</v>
      </c>
      <c r="AE45" s="142"/>
      <c r="AF45" s="137">
        <f>IFERROR(('B2'!S98/$E$7),0)</f>
        <v>0</v>
      </c>
      <c r="AG45" s="194">
        <f>IFERROR(('B2'!T98/$E$7),0)</f>
        <v>0</v>
      </c>
      <c r="AH45" s="194">
        <f>IFERROR(('B2'!U98/$E$7),0)</f>
        <v>0</v>
      </c>
      <c r="AI45" s="194">
        <f>IFERROR(('B2'!V98/$E$7),0)</f>
        <v>0</v>
      </c>
      <c r="AJ45" s="194">
        <f>IFERROR(('B2'!W98/$E$7),0)</f>
        <v>0</v>
      </c>
      <c r="AK45" s="194">
        <f>IFERROR(('B2'!X98/$E$7),0)</f>
        <v>0</v>
      </c>
      <c r="AL45" s="195">
        <f>IFERROR(('B2'!Y98/$E$7),0)</f>
        <v>0</v>
      </c>
      <c r="AM45" s="194">
        <f>IFERROR(('B2'!Z98/$E$7),0)</f>
        <v>0</v>
      </c>
      <c r="AN45" s="195">
        <f>IFERROR(('B2'!AA98/$E$7),0)</f>
        <v>0</v>
      </c>
      <c r="AO45" s="195">
        <f>IFERROR(('B2'!AB98/$E$7),0)</f>
        <v>0</v>
      </c>
      <c r="AP45" s="172">
        <f t="shared" si="44"/>
        <v>0</v>
      </c>
      <c r="AR45" s="181" t="s">
        <v>78</v>
      </c>
      <c r="AS45" s="142"/>
      <c r="AT45" s="137">
        <f>IFERROR(('B3'!S98/$E$7),0)</f>
        <v>0</v>
      </c>
      <c r="AU45" s="187">
        <f>IFERROR(('B3'!T98/$E$7),0)</f>
        <v>0</v>
      </c>
      <c r="AV45" s="187">
        <f>IFERROR(('B3'!U98/$E$7),0)</f>
        <v>0</v>
      </c>
      <c r="AW45" s="187">
        <f>IFERROR(('B3'!V98/$E$7),0)</f>
        <v>0</v>
      </c>
      <c r="AX45" s="187">
        <f>IFERROR(('B3'!W98/$E$7),0)</f>
        <v>0</v>
      </c>
      <c r="AY45" s="187">
        <f>IFERROR(('B3'!X98/$E$7),0)</f>
        <v>0</v>
      </c>
      <c r="AZ45" s="188">
        <f>IFERROR(('B3'!Y98/$E$7),0)</f>
        <v>0</v>
      </c>
      <c r="BA45" s="187">
        <f>IFERROR(('B3'!Z98/$E$7),0)</f>
        <v>0</v>
      </c>
      <c r="BB45" s="187">
        <f>IFERROR(('B3'!AA98/$E$7),0)</f>
        <v>0</v>
      </c>
      <c r="BC45" s="187">
        <f>IFERROR(('B3'!AB98/$E$7),0)</f>
        <v>0</v>
      </c>
      <c r="BD45" s="172">
        <f t="shared" si="45"/>
        <v>0</v>
      </c>
      <c r="BF45" s="181" t="s">
        <v>78</v>
      </c>
      <c r="BG45" s="142"/>
      <c r="BH45" s="137">
        <f>IFERROR(('B4'!S98/$E$7),0)</f>
        <v>0</v>
      </c>
      <c r="BI45" s="194">
        <f>IFERROR(('B4'!T98/$E$7),0)</f>
        <v>0</v>
      </c>
      <c r="BJ45" s="194">
        <f>IFERROR(('B4'!U98/$E$7),0)</f>
        <v>0</v>
      </c>
      <c r="BK45" s="194">
        <f>IFERROR(('B4'!V98/$E$7),0)</f>
        <v>0</v>
      </c>
      <c r="BL45" s="194">
        <f>IFERROR(('B4'!W98/$E$7),0)</f>
        <v>0</v>
      </c>
      <c r="BM45" s="194">
        <f>IFERROR(('B4'!X98/$E$7),0)</f>
        <v>0</v>
      </c>
      <c r="BN45" s="195">
        <f>IFERROR(('B4'!Y98/$E$7),0)</f>
        <v>0</v>
      </c>
      <c r="BO45" s="194">
        <f>IFERROR(('B4'!Z98/$E$7),0)</f>
        <v>0</v>
      </c>
      <c r="BP45" s="195">
        <f>IFERROR(('B4'!AA98/$E$7),0)</f>
        <v>0</v>
      </c>
      <c r="BQ45" s="195">
        <f>IFERROR(('B4'!AB98/$E$7),0)</f>
        <v>0</v>
      </c>
      <c r="BR45" s="172">
        <f t="shared" si="46"/>
        <v>0</v>
      </c>
      <c r="BT45" s="181" t="s">
        <v>78</v>
      </c>
      <c r="BU45" s="142"/>
      <c r="BV45" s="137">
        <f>IFERROR(('B5'!S98/$E$7),0)</f>
        <v>0</v>
      </c>
      <c r="BW45" s="194">
        <f>IFERROR(('B5'!T98/$E$7),0)</f>
        <v>0</v>
      </c>
      <c r="BX45" s="194">
        <f>IFERROR(('B5'!U98/$E$7),0)</f>
        <v>0</v>
      </c>
      <c r="BY45" s="194">
        <f>IFERROR(('B5'!V98/$E$7),0)</f>
        <v>0</v>
      </c>
      <c r="BZ45" s="194">
        <f>IFERROR(('B5'!W98/$E$7),0)</f>
        <v>0</v>
      </c>
      <c r="CA45" s="194">
        <f>IFERROR(('B5'!X98/$E$7),0)</f>
        <v>0</v>
      </c>
      <c r="CB45" s="195">
        <f>IFERROR(('B5'!Y98/$E$7),0)</f>
        <v>0</v>
      </c>
      <c r="CC45" s="194">
        <f>IFERROR(('B5'!Z98/$E$7),0)</f>
        <v>0</v>
      </c>
      <c r="CD45" s="195">
        <f>IFERROR(('B5'!AA98/$E$7),0)</f>
        <v>0</v>
      </c>
      <c r="CE45" s="195">
        <f>IFERROR(('B5'!AB98/$E$7),0)</f>
        <v>0</v>
      </c>
      <c r="CF45" s="172">
        <f t="shared" si="47"/>
        <v>0</v>
      </c>
    </row>
    <row r="46" spans="2:84">
      <c r="B46" s="182" t="s">
        <v>0</v>
      </c>
      <c r="C46" s="110"/>
      <c r="D46" s="21">
        <f>IFERROR(Total!D39/$E$7,0)</f>
        <v>0</v>
      </c>
      <c r="E46" s="189">
        <f>IFERROR(Total!E39/$E$7,0)</f>
        <v>0</v>
      </c>
      <c r="F46" s="189">
        <f>IFERROR(Total!F39/$E$7,0)</f>
        <v>0</v>
      </c>
      <c r="G46" s="189">
        <f>IFERROR(Total!G39/$E$7,0)</f>
        <v>0</v>
      </c>
      <c r="H46" s="189">
        <f>IFERROR(Total!H39/$E$7,0)</f>
        <v>0</v>
      </c>
      <c r="I46" s="189">
        <f>IFERROR(Total!I39/$E$7,0)</f>
        <v>0</v>
      </c>
      <c r="J46" s="190">
        <f>IFERROR(Total!J39/$E$7,0)</f>
        <v>0</v>
      </c>
      <c r="K46" s="189">
        <f>IFERROR(Total!K39/$E$7,0)</f>
        <v>0</v>
      </c>
      <c r="L46" s="190">
        <f>IFERROR(Total!L39/$E$7,0)</f>
        <v>0</v>
      </c>
      <c r="M46" s="190">
        <f>IFERROR(Total!M39/$E$7,0)</f>
        <v>0</v>
      </c>
      <c r="N46" s="172">
        <f t="shared" si="42"/>
        <v>0</v>
      </c>
      <c r="P46" s="182" t="s">
        <v>0</v>
      </c>
      <c r="Q46" s="110"/>
      <c r="R46" s="21">
        <f>IFERROR(('B1'!S99/$E$7),0)</f>
        <v>0</v>
      </c>
      <c r="S46" s="189">
        <f>IFERROR(('B1'!T99/$E$7),0)</f>
        <v>0</v>
      </c>
      <c r="T46" s="189">
        <f>IFERROR(('B1'!U99/$E$7),0)</f>
        <v>0</v>
      </c>
      <c r="U46" s="189">
        <f>IFERROR(('B1'!V99/$E$7),0)</f>
        <v>0</v>
      </c>
      <c r="V46" s="189">
        <f>IFERROR(('B1'!W99/$E$7),0)</f>
        <v>0</v>
      </c>
      <c r="W46" s="189">
        <f>IFERROR(('B1'!X99/$E$7),0)</f>
        <v>0</v>
      </c>
      <c r="X46" s="190">
        <f>IFERROR(('B1'!Y99/$E$7),0)</f>
        <v>0</v>
      </c>
      <c r="Y46" s="189">
        <f>IFERROR(('B1'!Z99/$E$7),0)</f>
        <v>0</v>
      </c>
      <c r="Z46" s="190">
        <f>IFERROR(('B1'!AA99/$E$7),0)</f>
        <v>0</v>
      </c>
      <c r="AA46" s="190">
        <f>IFERROR(('B1'!AB99/$E$7),0)</f>
        <v>0</v>
      </c>
      <c r="AB46" s="172">
        <f t="shared" si="43"/>
        <v>0</v>
      </c>
      <c r="AD46" s="182" t="s">
        <v>0</v>
      </c>
      <c r="AE46" s="110"/>
      <c r="AF46" s="21">
        <f>IFERROR(('B2'!S99/$E$7),0)</f>
        <v>0</v>
      </c>
      <c r="AG46" s="189">
        <f>IFERROR(('B2'!T99/$E$7),0)</f>
        <v>0</v>
      </c>
      <c r="AH46" s="189">
        <f>IFERROR(('B2'!U99/$E$7),0)</f>
        <v>0</v>
      </c>
      <c r="AI46" s="189">
        <f>IFERROR(('B2'!V99/$E$7),0)</f>
        <v>0</v>
      </c>
      <c r="AJ46" s="189">
        <f>IFERROR(('B2'!W99/$E$7),0)</f>
        <v>0</v>
      </c>
      <c r="AK46" s="189">
        <f>IFERROR(('B2'!X99/$E$7),0)</f>
        <v>0</v>
      </c>
      <c r="AL46" s="190">
        <f>IFERROR(('B2'!Y99/$E$7),0)</f>
        <v>0</v>
      </c>
      <c r="AM46" s="189">
        <f>IFERROR(('B2'!Z99/$E$7),0)</f>
        <v>0</v>
      </c>
      <c r="AN46" s="190">
        <f>IFERROR(('B2'!AA99/$E$7),0)</f>
        <v>0</v>
      </c>
      <c r="AO46" s="190">
        <f>IFERROR(('B2'!AB99/$E$7),0)</f>
        <v>0</v>
      </c>
      <c r="AP46" s="172">
        <f t="shared" si="44"/>
        <v>0</v>
      </c>
      <c r="AR46" s="182" t="s">
        <v>0</v>
      </c>
      <c r="AS46" s="110"/>
      <c r="AT46" s="21">
        <f>IFERROR(('B3'!S99/$E$7),0)</f>
        <v>0</v>
      </c>
      <c r="AU46" s="189">
        <f>IFERROR(('B3'!T99/$E$7),0)</f>
        <v>0</v>
      </c>
      <c r="AV46" s="189">
        <f>IFERROR(('B3'!U99/$E$7),0)</f>
        <v>0</v>
      </c>
      <c r="AW46" s="189">
        <f>IFERROR(('B3'!V99/$E$7),0)</f>
        <v>0</v>
      </c>
      <c r="AX46" s="189">
        <f>IFERROR(('B3'!W99/$E$7),0)</f>
        <v>0</v>
      </c>
      <c r="AY46" s="189">
        <f>IFERROR(('B3'!X99/$E$7),0)</f>
        <v>0</v>
      </c>
      <c r="AZ46" s="190">
        <f>IFERROR(('B3'!Y99/$E$7),0)</f>
        <v>0</v>
      </c>
      <c r="BA46" s="189">
        <f>IFERROR(('B3'!Z99/$E$7),0)</f>
        <v>0</v>
      </c>
      <c r="BB46" s="189">
        <f>IFERROR(('B3'!AA99/$E$7),0)</f>
        <v>0</v>
      </c>
      <c r="BC46" s="189">
        <f>IFERROR(('B3'!AB99/$E$7),0)</f>
        <v>0</v>
      </c>
      <c r="BD46" s="172">
        <f t="shared" si="45"/>
        <v>0</v>
      </c>
      <c r="BF46" s="182" t="s">
        <v>0</v>
      </c>
      <c r="BG46" s="110"/>
      <c r="BH46" s="21">
        <f>IFERROR(('B4'!S99/$E$7),0)</f>
        <v>0</v>
      </c>
      <c r="BI46" s="189">
        <f>IFERROR(('B4'!T99/$E$7),0)</f>
        <v>0</v>
      </c>
      <c r="BJ46" s="189">
        <f>IFERROR(('B4'!U99/$E$7),0)</f>
        <v>0</v>
      </c>
      <c r="BK46" s="189">
        <f>IFERROR(('B4'!V99/$E$7),0)</f>
        <v>0</v>
      </c>
      <c r="BL46" s="189">
        <f>IFERROR(('B4'!W99/$E$7),0)</f>
        <v>0</v>
      </c>
      <c r="BM46" s="189">
        <f>IFERROR(('B4'!X99/$E$7),0)</f>
        <v>0</v>
      </c>
      <c r="BN46" s="190">
        <f>IFERROR(('B4'!Y99/$E$7),0)</f>
        <v>0</v>
      </c>
      <c r="BO46" s="189">
        <f>IFERROR(('B4'!Z99/$E$7),0)</f>
        <v>0</v>
      </c>
      <c r="BP46" s="190">
        <f>IFERROR(('B4'!AA99/$E$7),0)</f>
        <v>0</v>
      </c>
      <c r="BQ46" s="190">
        <f>IFERROR(('B4'!AB99/$E$7),0)</f>
        <v>0</v>
      </c>
      <c r="BR46" s="172">
        <f t="shared" si="46"/>
        <v>0</v>
      </c>
      <c r="BT46" s="182" t="s">
        <v>0</v>
      </c>
      <c r="BU46" s="110"/>
      <c r="BV46" s="21">
        <f>IFERROR(('B5'!S99/$E$7),0)</f>
        <v>0</v>
      </c>
      <c r="BW46" s="189">
        <f>IFERROR(('B5'!T99/$E$7),0)</f>
        <v>0</v>
      </c>
      <c r="BX46" s="189">
        <f>IFERROR(('B5'!U99/$E$7),0)</f>
        <v>0</v>
      </c>
      <c r="BY46" s="189">
        <f>IFERROR(('B5'!V99/$E$7),0)</f>
        <v>0</v>
      </c>
      <c r="BZ46" s="189">
        <f>IFERROR(('B5'!W99/$E$7),0)</f>
        <v>0</v>
      </c>
      <c r="CA46" s="189">
        <f>IFERROR(('B5'!X99/$E$7),0)</f>
        <v>0</v>
      </c>
      <c r="CB46" s="190">
        <f>IFERROR(('B5'!Y99/$E$7),0)</f>
        <v>0</v>
      </c>
      <c r="CC46" s="189">
        <f>IFERROR(('B5'!Z99/$E$7),0)</f>
        <v>0</v>
      </c>
      <c r="CD46" s="190">
        <f>IFERROR(('B5'!AA99/$E$7),0)</f>
        <v>0</v>
      </c>
      <c r="CE46" s="190">
        <f>IFERROR(('B5'!AB99/$E$7),0)</f>
        <v>0</v>
      </c>
      <c r="CF46" s="172">
        <f t="shared" si="47"/>
        <v>0</v>
      </c>
    </row>
    <row r="47" spans="2:84">
      <c r="B47" s="183" t="s">
        <v>96</v>
      </c>
      <c r="C47" s="110"/>
      <c r="D47" s="21">
        <f>IFERROR(Total!D40/$E$7,0)</f>
        <v>0</v>
      </c>
      <c r="E47" s="21">
        <f>IFERROR(Total!E40/$E$7,0)</f>
        <v>0</v>
      </c>
      <c r="F47" s="21">
        <f>IFERROR(Total!F40/$E$7,0)</f>
        <v>0</v>
      </c>
      <c r="G47" s="21">
        <f>IFERROR(Total!G40/$E$7,0)</f>
        <v>0</v>
      </c>
      <c r="H47" s="21">
        <f>IFERROR(Total!H40/$E$7,0)</f>
        <v>0</v>
      </c>
      <c r="I47" s="21">
        <f>IFERROR(Total!I40/$E$7,0)</f>
        <v>0</v>
      </c>
      <c r="J47" s="110">
        <f>IFERROR(Total!J40/$E$7,0)</f>
        <v>0</v>
      </c>
      <c r="K47" s="21">
        <f>IFERROR(Total!K40/$E$7,0)</f>
        <v>0</v>
      </c>
      <c r="L47" s="110">
        <f>IFERROR(Total!L40/$E$7,0)</f>
        <v>0</v>
      </c>
      <c r="M47" s="110">
        <f>IFERROR(Total!M40/$E$7,0)</f>
        <v>0</v>
      </c>
      <c r="N47" s="172">
        <f t="shared" si="42"/>
        <v>0</v>
      </c>
      <c r="P47" s="183" t="s">
        <v>96</v>
      </c>
      <c r="Q47" s="110"/>
      <c r="R47" s="21">
        <f>IFERROR(('B1'!S100/$E$7),0)</f>
        <v>0</v>
      </c>
      <c r="S47" s="21">
        <f>IFERROR(('B1'!T100/$E$7),0)</f>
        <v>0</v>
      </c>
      <c r="T47" s="21">
        <f>IFERROR(('B1'!U100/$E$7),0)</f>
        <v>0</v>
      </c>
      <c r="U47" s="21">
        <f>IFERROR(('B1'!V100/$E$7),0)</f>
        <v>0</v>
      </c>
      <c r="V47" s="21">
        <f>IFERROR(('B1'!W100/$E$7),0)</f>
        <v>0</v>
      </c>
      <c r="W47" s="21">
        <f>IFERROR(('B1'!X100/$E$7),0)</f>
        <v>0</v>
      </c>
      <c r="X47" s="110">
        <f>IFERROR(('B1'!Y100/$E$7),0)</f>
        <v>0</v>
      </c>
      <c r="Y47" s="21">
        <f>IFERROR(('B1'!Z100/$E$7),0)</f>
        <v>0</v>
      </c>
      <c r="Z47" s="110">
        <f>IFERROR(('B1'!AA100/$E$7),0)</f>
        <v>0</v>
      </c>
      <c r="AA47" s="110">
        <f>IFERROR(('B1'!AB100/$E$7),0)</f>
        <v>0</v>
      </c>
      <c r="AB47" s="172">
        <f t="shared" si="43"/>
        <v>0</v>
      </c>
      <c r="AD47" s="183" t="s">
        <v>96</v>
      </c>
      <c r="AE47" s="110"/>
      <c r="AF47" s="21">
        <f>IFERROR(('B2'!S100/$E$7),0)</f>
        <v>0</v>
      </c>
      <c r="AG47" s="21">
        <f>IFERROR(('B2'!T100/$E$7),0)</f>
        <v>0</v>
      </c>
      <c r="AH47" s="21">
        <f>IFERROR(('B2'!U100/$E$7),0)</f>
        <v>0</v>
      </c>
      <c r="AI47" s="21">
        <f>IFERROR(('B2'!V100/$E$7),0)</f>
        <v>0</v>
      </c>
      <c r="AJ47" s="21">
        <f>IFERROR(('B2'!W100/$E$7),0)</f>
        <v>0</v>
      </c>
      <c r="AK47" s="21">
        <f>IFERROR(('B2'!X100/$E$7),0)</f>
        <v>0</v>
      </c>
      <c r="AL47" s="110">
        <f>IFERROR(('B2'!Y100/$E$7),0)</f>
        <v>0</v>
      </c>
      <c r="AM47" s="21">
        <f>IFERROR(('B2'!Z100/$E$7),0)</f>
        <v>0</v>
      </c>
      <c r="AN47" s="110">
        <f>IFERROR(('B2'!AA100/$E$7),0)</f>
        <v>0</v>
      </c>
      <c r="AO47" s="110">
        <f>IFERROR(('B2'!AB100/$E$7),0)</f>
        <v>0</v>
      </c>
      <c r="AP47" s="172">
        <f t="shared" si="44"/>
        <v>0</v>
      </c>
      <c r="AR47" s="183" t="s">
        <v>96</v>
      </c>
      <c r="AS47" s="110"/>
      <c r="AT47" s="21">
        <f>IFERROR(('B3'!S100/$E$7),0)</f>
        <v>0</v>
      </c>
      <c r="AU47" s="21">
        <f>IFERROR(('B3'!T100/$E$7),0)</f>
        <v>0</v>
      </c>
      <c r="AV47" s="21">
        <f>IFERROR(('B3'!U100/$E$7),0)</f>
        <v>0</v>
      </c>
      <c r="AW47" s="21">
        <f>IFERROR(('B3'!V100/$E$7),0)</f>
        <v>0</v>
      </c>
      <c r="AX47" s="21">
        <f>IFERROR(('B3'!W100/$E$7),0)</f>
        <v>0</v>
      </c>
      <c r="AY47" s="21">
        <f>IFERROR(('B3'!X100/$E$7),0)</f>
        <v>0</v>
      </c>
      <c r="AZ47" s="110">
        <f>IFERROR(('B3'!Y100/$E$7),0)</f>
        <v>0</v>
      </c>
      <c r="BA47" s="21">
        <f>IFERROR(('B3'!Z100/$E$7),0)</f>
        <v>0</v>
      </c>
      <c r="BB47" s="21">
        <f>IFERROR(('B3'!AA100/$E$7),0)</f>
        <v>0</v>
      </c>
      <c r="BC47" s="21">
        <f>IFERROR(('B3'!AB100/$E$7),0)</f>
        <v>0</v>
      </c>
      <c r="BD47" s="172">
        <f t="shared" si="45"/>
        <v>0</v>
      </c>
      <c r="BF47" s="183" t="s">
        <v>96</v>
      </c>
      <c r="BG47" s="110"/>
      <c r="BH47" s="21">
        <f>IFERROR(('B4'!S100/$E$7),0)</f>
        <v>0</v>
      </c>
      <c r="BI47" s="21">
        <f>IFERROR(('B4'!T100/$E$7),0)</f>
        <v>0</v>
      </c>
      <c r="BJ47" s="21">
        <f>IFERROR(('B4'!U100/$E$7),0)</f>
        <v>0</v>
      </c>
      <c r="BK47" s="21">
        <f>IFERROR(('B4'!V100/$E$7),0)</f>
        <v>0</v>
      </c>
      <c r="BL47" s="21">
        <f>IFERROR(('B4'!W100/$E$7),0)</f>
        <v>0</v>
      </c>
      <c r="BM47" s="21">
        <f>IFERROR(('B4'!X100/$E$7),0)</f>
        <v>0</v>
      </c>
      <c r="BN47" s="110">
        <f>IFERROR(('B4'!Y100/$E$7),0)</f>
        <v>0</v>
      </c>
      <c r="BO47" s="21">
        <f>IFERROR(('B4'!Z100/$E$7),0)</f>
        <v>0</v>
      </c>
      <c r="BP47" s="110">
        <f>IFERROR(('B4'!AA100/$E$7),0)</f>
        <v>0</v>
      </c>
      <c r="BQ47" s="110">
        <f>IFERROR(('B4'!AB100/$E$7),0)</f>
        <v>0</v>
      </c>
      <c r="BR47" s="172">
        <f t="shared" si="46"/>
        <v>0</v>
      </c>
      <c r="BT47" s="183" t="s">
        <v>96</v>
      </c>
      <c r="BU47" s="110"/>
      <c r="BV47" s="21">
        <f>IFERROR(('B5'!S100/$E$7),0)</f>
        <v>0</v>
      </c>
      <c r="BW47" s="21">
        <f>IFERROR(('B5'!T100/$E$7),0)</f>
        <v>0</v>
      </c>
      <c r="BX47" s="21">
        <f>IFERROR(('B5'!U100/$E$7),0)</f>
        <v>0</v>
      </c>
      <c r="BY47" s="21">
        <f>IFERROR(('B5'!V100/$E$7),0)</f>
        <v>0</v>
      </c>
      <c r="BZ47" s="21">
        <f>IFERROR(('B5'!W100/$E$7),0)</f>
        <v>0</v>
      </c>
      <c r="CA47" s="21">
        <f>IFERROR(('B5'!X100/$E$7),0)</f>
        <v>0</v>
      </c>
      <c r="CB47" s="110">
        <f>IFERROR(('B5'!Y100/$E$7),0)</f>
        <v>0</v>
      </c>
      <c r="CC47" s="21">
        <f>IFERROR(('B5'!Z100/$E$7),0)</f>
        <v>0</v>
      </c>
      <c r="CD47" s="110">
        <f>IFERROR(('B5'!AA100/$E$7),0)</f>
        <v>0</v>
      </c>
      <c r="CE47" s="110">
        <f>IFERROR(('B5'!AB100/$E$7),0)</f>
        <v>0</v>
      </c>
      <c r="CF47" s="172">
        <f t="shared" si="47"/>
        <v>0</v>
      </c>
    </row>
    <row r="48" spans="2:84">
      <c r="B48" s="183" t="s">
        <v>108</v>
      </c>
      <c r="C48" s="110"/>
      <c r="D48" s="21">
        <f>IFERROR(Total!D41/$E$7,0)</f>
        <v>0</v>
      </c>
      <c r="E48" s="21">
        <f>IFERROR(Total!E41/$E$7,0)</f>
        <v>0</v>
      </c>
      <c r="F48" s="21">
        <f>IFERROR(Total!F41/$E$7,0)</f>
        <v>0</v>
      </c>
      <c r="G48" s="21">
        <f>IFERROR(Total!G41/$E$7,0)</f>
        <v>0</v>
      </c>
      <c r="H48" s="21">
        <f>IFERROR(Total!H41/$E$7,0)</f>
        <v>0</v>
      </c>
      <c r="I48" s="21">
        <f>IFERROR(Total!I41/$E$7,0)</f>
        <v>0</v>
      </c>
      <c r="J48" s="21">
        <f>IFERROR(Total!J41/$E$7,0)</f>
        <v>0</v>
      </c>
      <c r="K48" s="21">
        <f>IFERROR(Total!K41/$E$7,0)</f>
        <v>0</v>
      </c>
      <c r="L48" s="110">
        <f>IFERROR(Total!L41/$E$7,0)</f>
        <v>0</v>
      </c>
      <c r="M48" s="110">
        <f>IFERROR(Total!M41/$E$7,0)</f>
        <v>0</v>
      </c>
      <c r="N48" s="172">
        <f t="shared" si="42"/>
        <v>0</v>
      </c>
      <c r="P48" s="183" t="s">
        <v>108</v>
      </c>
      <c r="Q48" s="110"/>
      <c r="R48" s="21">
        <f>IFERROR(('B1'!S101/$E$7),0)</f>
        <v>0</v>
      </c>
      <c r="S48" s="21">
        <f>IFERROR(('B1'!T101/$E$7),0)</f>
        <v>0</v>
      </c>
      <c r="T48" s="21">
        <f>IFERROR(('B1'!U101/$E$7),0)</f>
        <v>0</v>
      </c>
      <c r="U48" s="21">
        <f>IFERROR(('B1'!V101/$E$7),0)</f>
        <v>0</v>
      </c>
      <c r="V48" s="21">
        <f>IFERROR(('B1'!W101/$E$7),0)</f>
        <v>0</v>
      </c>
      <c r="W48" s="21">
        <f>IFERROR(('B1'!X101/$E$7),0)</f>
        <v>0</v>
      </c>
      <c r="X48" s="21">
        <f>IFERROR(('B1'!Y101/$E$7),0)</f>
        <v>0</v>
      </c>
      <c r="Y48" s="21">
        <f>IFERROR(('B1'!Z101/$E$7),0)</f>
        <v>0</v>
      </c>
      <c r="Z48" s="110">
        <f>IFERROR(('B1'!AA101/$E$7),0)</f>
        <v>0</v>
      </c>
      <c r="AA48" s="110">
        <f>IFERROR(('B1'!AB101/$E$7),0)</f>
        <v>0</v>
      </c>
      <c r="AB48" s="172">
        <f t="shared" si="43"/>
        <v>0</v>
      </c>
      <c r="AD48" s="183" t="s">
        <v>108</v>
      </c>
      <c r="AE48" s="110"/>
      <c r="AF48" s="21">
        <f>IFERROR(('B2'!S101/$E$7),0)</f>
        <v>0</v>
      </c>
      <c r="AG48" s="21">
        <f>IFERROR(('B2'!T101/$E$7),0)</f>
        <v>0</v>
      </c>
      <c r="AH48" s="21">
        <f>IFERROR(('B2'!U101/$E$7),0)</f>
        <v>0</v>
      </c>
      <c r="AI48" s="21">
        <f>IFERROR(('B2'!V101/$E$7),0)</f>
        <v>0</v>
      </c>
      <c r="AJ48" s="21">
        <f>IFERROR(('B2'!W101/$E$7),0)</f>
        <v>0</v>
      </c>
      <c r="AK48" s="21">
        <f>IFERROR(('B2'!X101/$E$7),0)</f>
        <v>0</v>
      </c>
      <c r="AL48" s="21">
        <f>IFERROR(('B2'!Y101/$E$7),0)</f>
        <v>0</v>
      </c>
      <c r="AM48" s="21">
        <f>IFERROR(('B2'!Z101/$E$7),0)</f>
        <v>0</v>
      </c>
      <c r="AN48" s="110">
        <f>IFERROR(('B2'!AA101/$E$7),0)</f>
        <v>0</v>
      </c>
      <c r="AO48" s="110">
        <f>IFERROR(('B2'!AB101/$E$7),0)</f>
        <v>0</v>
      </c>
      <c r="AP48" s="172">
        <f t="shared" si="44"/>
        <v>0</v>
      </c>
      <c r="AR48" s="183" t="s">
        <v>108</v>
      </c>
      <c r="AS48" s="110"/>
      <c r="AT48" s="21">
        <f>IFERROR(('B3'!S101/$E$7),0)</f>
        <v>0</v>
      </c>
      <c r="AU48" s="21">
        <f>IFERROR(('B3'!T101/$E$7),0)</f>
        <v>0</v>
      </c>
      <c r="AV48" s="21">
        <f>IFERROR(('B3'!U101/$E$7),0)</f>
        <v>0</v>
      </c>
      <c r="AW48" s="21">
        <f>IFERROR(('B3'!V101/$E$7),0)</f>
        <v>0</v>
      </c>
      <c r="AX48" s="21">
        <f>IFERROR(('B3'!W101/$E$7),0)</f>
        <v>0</v>
      </c>
      <c r="AY48" s="21">
        <f>IFERROR(('B3'!X101/$E$7),0)</f>
        <v>0</v>
      </c>
      <c r="AZ48" s="21">
        <f>IFERROR(('B3'!Y101/$E$7),0)</f>
        <v>0</v>
      </c>
      <c r="BA48" s="21">
        <f>IFERROR(('B3'!Z101/$E$7),0)</f>
        <v>0</v>
      </c>
      <c r="BB48" s="21">
        <f>IFERROR(('B3'!AA101/$E$7),0)</f>
        <v>0</v>
      </c>
      <c r="BC48" s="21">
        <f>IFERROR(('B3'!AB101/$E$7),0)</f>
        <v>0</v>
      </c>
      <c r="BD48" s="172">
        <f t="shared" si="45"/>
        <v>0</v>
      </c>
      <c r="BF48" s="183" t="s">
        <v>108</v>
      </c>
      <c r="BG48" s="110"/>
      <c r="BH48" s="21">
        <f>IFERROR(('B4'!S101/$E$7),0)</f>
        <v>0</v>
      </c>
      <c r="BI48" s="21">
        <f>IFERROR(('B4'!T101/$E$7),0)</f>
        <v>0</v>
      </c>
      <c r="BJ48" s="21">
        <f>IFERROR(('B4'!U101/$E$7),0)</f>
        <v>0</v>
      </c>
      <c r="BK48" s="21">
        <f>IFERROR(('B4'!V101/$E$7),0)</f>
        <v>0</v>
      </c>
      <c r="BL48" s="21">
        <f>IFERROR(('B4'!W101/$E$7),0)</f>
        <v>0</v>
      </c>
      <c r="BM48" s="21">
        <f>IFERROR(('B4'!X101/$E$7),0)</f>
        <v>0</v>
      </c>
      <c r="BN48" s="21">
        <f>IFERROR(('B4'!Y101/$E$7),0)</f>
        <v>0</v>
      </c>
      <c r="BO48" s="21">
        <f>IFERROR(('B4'!Z101/$E$7),0)</f>
        <v>0</v>
      </c>
      <c r="BP48" s="110">
        <f>IFERROR(('B4'!AA101/$E$7),0)</f>
        <v>0</v>
      </c>
      <c r="BQ48" s="110">
        <f>IFERROR(('B4'!AB101/$E$7),0)</f>
        <v>0</v>
      </c>
      <c r="BR48" s="172">
        <f t="shared" si="46"/>
        <v>0</v>
      </c>
      <c r="BT48" s="183" t="s">
        <v>108</v>
      </c>
      <c r="BU48" s="110"/>
      <c r="BV48" s="21">
        <f>IFERROR(('B5'!S101/$E$7),0)</f>
        <v>0</v>
      </c>
      <c r="BW48" s="21">
        <f>IFERROR(('B5'!T101/$E$7),0)</f>
        <v>0</v>
      </c>
      <c r="BX48" s="21">
        <f>IFERROR(('B5'!U101/$E$7),0)</f>
        <v>0</v>
      </c>
      <c r="BY48" s="21">
        <f>IFERROR(('B5'!V101/$E$7),0)</f>
        <v>0</v>
      </c>
      <c r="BZ48" s="21">
        <f>IFERROR(('B5'!W101/$E$7),0)</f>
        <v>0</v>
      </c>
      <c r="CA48" s="21">
        <f>IFERROR(('B5'!X101/$E$7),0)</f>
        <v>0</v>
      </c>
      <c r="CB48" s="21">
        <f>IFERROR(('B5'!Y101/$E$7),0)</f>
        <v>0</v>
      </c>
      <c r="CC48" s="21">
        <f>IFERROR(('B5'!Z101/$E$7),0)</f>
        <v>0</v>
      </c>
      <c r="CD48" s="110">
        <f>IFERROR(('B5'!AA101/$E$7),0)</f>
        <v>0</v>
      </c>
      <c r="CE48" s="110">
        <f>IFERROR(('B5'!AB101/$E$7),0)</f>
        <v>0</v>
      </c>
      <c r="CF48" s="172">
        <f t="shared" si="47"/>
        <v>0</v>
      </c>
    </row>
    <row r="49" spans="2:84">
      <c r="B49" s="182" t="s">
        <v>531</v>
      </c>
      <c r="C49" s="110"/>
      <c r="D49" s="21">
        <f>IFERROR(Total!D42/$E$7,0)</f>
        <v>0</v>
      </c>
      <c r="E49" s="21">
        <f>IFERROR(Total!E42/$E$7,0)</f>
        <v>0</v>
      </c>
      <c r="F49" s="21">
        <f>IFERROR(Total!F42/$E$7,0)</f>
        <v>0</v>
      </c>
      <c r="G49" s="21">
        <f>IFERROR(Total!G42/$E$7,0)</f>
        <v>0</v>
      </c>
      <c r="H49" s="21">
        <f>IFERROR(Total!H42/$E$7,0)</f>
        <v>0</v>
      </c>
      <c r="I49" s="21">
        <f>IFERROR(Total!I42/$E$7,0)</f>
        <v>0</v>
      </c>
      <c r="J49" s="21">
        <f>IFERROR(Total!J42/$E$7,0)</f>
        <v>0</v>
      </c>
      <c r="K49" s="21">
        <f>IFERROR(Total!K42/$E$7,0)</f>
        <v>0</v>
      </c>
      <c r="L49" s="110">
        <f>IFERROR(Total!L42/$E$7,0)</f>
        <v>0</v>
      </c>
      <c r="M49" s="110">
        <f>IFERROR(Total!M42/$E$7,0)</f>
        <v>0</v>
      </c>
      <c r="N49" s="172">
        <f t="shared" si="42"/>
        <v>0</v>
      </c>
      <c r="P49" s="182" t="s">
        <v>531</v>
      </c>
      <c r="Q49" s="110"/>
      <c r="R49" s="21">
        <f>IFERROR(('B1'!S102/$E$7),0)</f>
        <v>0</v>
      </c>
      <c r="S49" s="21">
        <f>IFERROR(('B1'!T102/$E$7),0)</f>
        <v>0</v>
      </c>
      <c r="T49" s="21">
        <f>IFERROR(('B1'!U102/$E$7),0)</f>
        <v>0</v>
      </c>
      <c r="U49" s="21">
        <f>IFERROR(('B1'!V102/$E$7),0)</f>
        <v>0</v>
      </c>
      <c r="V49" s="21">
        <f>IFERROR(('B1'!W102/$E$7),0)</f>
        <v>0</v>
      </c>
      <c r="W49" s="21">
        <f>IFERROR(('B1'!X102/$E$7),0)</f>
        <v>0</v>
      </c>
      <c r="X49" s="21">
        <f>IFERROR(('B1'!Y102/$E$7),0)</f>
        <v>0</v>
      </c>
      <c r="Y49" s="21">
        <f>IFERROR(('B1'!Z102/$E$7),0)</f>
        <v>0</v>
      </c>
      <c r="Z49" s="110">
        <f>IFERROR(('B1'!AA102/$E$7),0)</f>
        <v>0</v>
      </c>
      <c r="AA49" s="110">
        <f>IFERROR(('B1'!AB102/$E$7),0)</f>
        <v>0</v>
      </c>
      <c r="AB49" s="172">
        <f t="shared" si="43"/>
        <v>0</v>
      </c>
      <c r="AD49" s="182" t="s">
        <v>531</v>
      </c>
      <c r="AE49" s="110"/>
      <c r="AF49" s="21">
        <f>IFERROR(('B2'!S102/$E$7),0)</f>
        <v>0</v>
      </c>
      <c r="AG49" s="21">
        <f>IFERROR(('B2'!T102/$E$7),0)</f>
        <v>0</v>
      </c>
      <c r="AH49" s="21">
        <f>IFERROR(('B2'!U102/$E$7),0)</f>
        <v>0</v>
      </c>
      <c r="AI49" s="21">
        <f>IFERROR(('B2'!V102/$E$7),0)</f>
        <v>0</v>
      </c>
      <c r="AJ49" s="21">
        <f>IFERROR(('B2'!W102/$E$7),0)</f>
        <v>0</v>
      </c>
      <c r="AK49" s="21">
        <f>IFERROR(('B2'!X102/$E$7),0)</f>
        <v>0</v>
      </c>
      <c r="AL49" s="21">
        <f>IFERROR(('B2'!Y102/$E$7),0)</f>
        <v>0</v>
      </c>
      <c r="AM49" s="21">
        <f>IFERROR(('B2'!Z102/$E$7),0)</f>
        <v>0</v>
      </c>
      <c r="AN49" s="110">
        <f>IFERROR(('B2'!AA102/$E$7),0)</f>
        <v>0</v>
      </c>
      <c r="AO49" s="110">
        <f>IFERROR(('B2'!AB102/$E$7),0)</f>
        <v>0</v>
      </c>
      <c r="AP49" s="172">
        <f t="shared" si="44"/>
        <v>0</v>
      </c>
      <c r="AR49" s="182" t="s">
        <v>531</v>
      </c>
      <c r="AS49" s="110"/>
      <c r="AT49" s="21">
        <f>IFERROR(('B3'!S102/$E$7),0)</f>
        <v>0</v>
      </c>
      <c r="AU49" s="21">
        <f>IFERROR(('B3'!T102/$E$7),0)</f>
        <v>0</v>
      </c>
      <c r="AV49" s="21">
        <f>IFERROR(('B3'!U102/$E$7),0)</f>
        <v>0</v>
      </c>
      <c r="AW49" s="21">
        <f>IFERROR(('B3'!V102/$E$7),0)</f>
        <v>0</v>
      </c>
      <c r="AX49" s="21">
        <f>IFERROR(('B3'!W102/$E$7),0)</f>
        <v>0</v>
      </c>
      <c r="AY49" s="21">
        <f>IFERROR(('B3'!X102/$E$7),0)</f>
        <v>0</v>
      </c>
      <c r="AZ49" s="21">
        <f>IFERROR(('B3'!Y102/$E$7),0)</f>
        <v>0</v>
      </c>
      <c r="BA49" s="21">
        <f>IFERROR(('B3'!Z102/$E$7),0)</f>
        <v>0</v>
      </c>
      <c r="BB49" s="21">
        <f>IFERROR(('B3'!AA102/$E$7),0)</f>
        <v>0</v>
      </c>
      <c r="BC49" s="21">
        <f>IFERROR(('B3'!AB102/$E$7),0)</f>
        <v>0</v>
      </c>
      <c r="BD49" s="172">
        <f t="shared" si="45"/>
        <v>0</v>
      </c>
      <c r="BF49" s="182" t="s">
        <v>531</v>
      </c>
      <c r="BG49" s="110"/>
      <c r="BH49" s="21">
        <f>IFERROR(('B4'!S102/$E$7),0)</f>
        <v>0</v>
      </c>
      <c r="BI49" s="21">
        <f>IFERROR(('B4'!T102/$E$7),0)</f>
        <v>0</v>
      </c>
      <c r="BJ49" s="21">
        <f>IFERROR(('B4'!U102/$E$7),0)</f>
        <v>0</v>
      </c>
      <c r="BK49" s="21">
        <f>IFERROR(('B4'!V102/$E$7),0)</f>
        <v>0</v>
      </c>
      <c r="BL49" s="21">
        <f>IFERROR(('B4'!W102/$E$7),0)</f>
        <v>0</v>
      </c>
      <c r="BM49" s="21">
        <f>IFERROR(('B4'!X102/$E$7),0)</f>
        <v>0</v>
      </c>
      <c r="BN49" s="21">
        <f>IFERROR(('B4'!Y102/$E$7),0)</f>
        <v>0</v>
      </c>
      <c r="BO49" s="21">
        <f>IFERROR(('B4'!Z102/$E$7),0)</f>
        <v>0</v>
      </c>
      <c r="BP49" s="110">
        <f>IFERROR(('B4'!AA102/$E$7),0)</f>
        <v>0</v>
      </c>
      <c r="BQ49" s="110">
        <f>IFERROR(('B4'!AB102/$E$7),0)</f>
        <v>0</v>
      </c>
      <c r="BR49" s="172">
        <f t="shared" si="46"/>
        <v>0</v>
      </c>
      <c r="BT49" s="182" t="s">
        <v>531</v>
      </c>
      <c r="BU49" s="110"/>
      <c r="BV49" s="21">
        <f>IFERROR(('B5'!S102/$E$7),0)</f>
        <v>0</v>
      </c>
      <c r="BW49" s="21">
        <f>IFERROR(('B5'!T102/$E$7),0)</f>
        <v>0</v>
      </c>
      <c r="BX49" s="21">
        <f>IFERROR(('B5'!U102/$E$7),0)</f>
        <v>0</v>
      </c>
      <c r="BY49" s="21">
        <f>IFERROR(('B5'!V102/$E$7),0)</f>
        <v>0</v>
      </c>
      <c r="BZ49" s="21">
        <f>IFERROR(('B5'!W102/$E$7),0)</f>
        <v>0</v>
      </c>
      <c r="CA49" s="21">
        <f>IFERROR(('B5'!X102/$E$7),0)</f>
        <v>0</v>
      </c>
      <c r="CB49" s="21">
        <f>IFERROR(('B5'!Y102/$E$7),0)</f>
        <v>0</v>
      </c>
      <c r="CC49" s="21">
        <f>IFERROR(('B5'!Z102/$E$7),0)</f>
        <v>0</v>
      </c>
      <c r="CD49" s="110">
        <f>IFERROR(('B5'!AA102/$E$7),0)</f>
        <v>0</v>
      </c>
      <c r="CE49" s="110">
        <f>IFERROR(('B5'!AB102/$E$7),0)</f>
        <v>0</v>
      </c>
      <c r="CF49" s="172">
        <f t="shared" si="47"/>
        <v>0</v>
      </c>
    </row>
    <row r="50" spans="2:84" ht="14.5" thickBot="1">
      <c r="B50" s="184" t="s">
        <v>101</v>
      </c>
      <c r="C50" s="185"/>
      <c r="D50" s="143">
        <f>+SUM(D45:D49)</f>
        <v>0</v>
      </c>
      <c r="E50" s="143">
        <f t="shared" ref="E50:K50" si="48">+SUM(E45:E49)</f>
        <v>0</v>
      </c>
      <c r="F50" s="143">
        <f t="shared" si="48"/>
        <v>0</v>
      </c>
      <c r="G50" s="143">
        <f t="shared" si="48"/>
        <v>0</v>
      </c>
      <c r="H50" s="143">
        <f t="shared" si="48"/>
        <v>0</v>
      </c>
      <c r="I50" s="143">
        <f t="shared" si="48"/>
        <v>0</v>
      </c>
      <c r="J50" s="143">
        <f t="shared" si="48"/>
        <v>0</v>
      </c>
      <c r="K50" s="143">
        <f t="shared" si="48"/>
        <v>0</v>
      </c>
      <c r="L50" s="185">
        <f>+SUM(L45:L49)</f>
        <v>0</v>
      </c>
      <c r="M50" s="185">
        <f>+SUM(M45:M49)</f>
        <v>0</v>
      </c>
      <c r="N50" s="173">
        <f t="shared" si="42"/>
        <v>0</v>
      </c>
      <c r="P50" s="184" t="s">
        <v>101</v>
      </c>
      <c r="Q50" s="185"/>
      <c r="R50" s="143">
        <f>+SUM(R45:R49)</f>
        <v>0</v>
      </c>
      <c r="S50" s="143">
        <f t="shared" ref="S50:Y50" si="49">+SUM(S45:S49)</f>
        <v>0</v>
      </c>
      <c r="T50" s="143">
        <f t="shared" si="49"/>
        <v>0</v>
      </c>
      <c r="U50" s="143">
        <f t="shared" si="49"/>
        <v>0</v>
      </c>
      <c r="V50" s="143">
        <f t="shared" si="49"/>
        <v>0</v>
      </c>
      <c r="W50" s="143">
        <f t="shared" si="49"/>
        <v>0</v>
      </c>
      <c r="X50" s="143">
        <f t="shared" si="49"/>
        <v>0</v>
      </c>
      <c r="Y50" s="143">
        <f t="shared" si="49"/>
        <v>0</v>
      </c>
      <c r="Z50" s="185">
        <f>+SUM(Z45:Z49)</f>
        <v>0</v>
      </c>
      <c r="AA50" s="185">
        <f>+SUM(AA45:AA49)</f>
        <v>0</v>
      </c>
      <c r="AB50" s="173">
        <f t="shared" si="43"/>
        <v>0</v>
      </c>
      <c r="AD50" s="184" t="s">
        <v>101</v>
      </c>
      <c r="AE50" s="185"/>
      <c r="AF50" s="143">
        <f>+SUM(AF45:AF49)</f>
        <v>0</v>
      </c>
      <c r="AG50" s="143">
        <f t="shared" ref="AG50:AM50" si="50">+SUM(AG45:AG49)</f>
        <v>0</v>
      </c>
      <c r="AH50" s="143">
        <f t="shared" si="50"/>
        <v>0</v>
      </c>
      <c r="AI50" s="143">
        <f t="shared" si="50"/>
        <v>0</v>
      </c>
      <c r="AJ50" s="143">
        <f t="shared" si="50"/>
        <v>0</v>
      </c>
      <c r="AK50" s="143">
        <f t="shared" si="50"/>
        <v>0</v>
      </c>
      <c r="AL50" s="143">
        <f t="shared" si="50"/>
        <v>0</v>
      </c>
      <c r="AM50" s="143">
        <f t="shared" si="50"/>
        <v>0</v>
      </c>
      <c r="AN50" s="185">
        <f>+SUM(AN45:AN49)</f>
        <v>0</v>
      </c>
      <c r="AO50" s="185">
        <f>+SUM(AO45:AO49)</f>
        <v>0</v>
      </c>
      <c r="AP50" s="173">
        <f t="shared" si="44"/>
        <v>0</v>
      </c>
      <c r="AR50" s="184" t="s">
        <v>101</v>
      </c>
      <c r="AS50" s="185"/>
      <c r="AT50" s="143">
        <f>+SUM(AT45:AT49)</f>
        <v>0</v>
      </c>
      <c r="AU50" s="143">
        <f t="shared" ref="AU50:BA50" si="51">+SUM(AU45:AU49)</f>
        <v>0</v>
      </c>
      <c r="AV50" s="143">
        <f t="shared" si="51"/>
        <v>0</v>
      </c>
      <c r="AW50" s="143">
        <f t="shared" si="51"/>
        <v>0</v>
      </c>
      <c r="AX50" s="143">
        <f t="shared" si="51"/>
        <v>0</v>
      </c>
      <c r="AY50" s="143">
        <f t="shared" si="51"/>
        <v>0</v>
      </c>
      <c r="AZ50" s="143">
        <f t="shared" si="51"/>
        <v>0</v>
      </c>
      <c r="BA50" s="143">
        <f t="shared" si="51"/>
        <v>0</v>
      </c>
      <c r="BB50" s="185">
        <f>+SUM(BB45:BB49)</f>
        <v>0</v>
      </c>
      <c r="BC50" s="185">
        <f>+SUM(BC45:BC49)</f>
        <v>0</v>
      </c>
      <c r="BD50" s="173">
        <f t="shared" si="45"/>
        <v>0</v>
      </c>
      <c r="BF50" s="184" t="s">
        <v>101</v>
      </c>
      <c r="BG50" s="185"/>
      <c r="BH50" s="143">
        <f>+SUM(BH45:BH49)</f>
        <v>0</v>
      </c>
      <c r="BI50" s="143">
        <f t="shared" ref="BI50:BO50" si="52">+SUM(BI45:BI49)</f>
        <v>0</v>
      </c>
      <c r="BJ50" s="143">
        <f t="shared" si="52"/>
        <v>0</v>
      </c>
      <c r="BK50" s="143">
        <f t="shared" si="52"/>
        <v>0</v>
      </c>
      <c r="BL50" s="143">
        <f t="shared" si="52"/>
        <v>0</v>
      </c>
      <c r="BM50" s="143">
        <f t="shared" si="52"/>
        <v>0</v>
      </c>
      <c r="BN50" s="143">
        <f t="shared" si="52"/>
        <v>0</v>
      </c>
      <c r="BO50" s="143">
        <f t="shared" si="52"/>
        <v>0</v>
      </c>
      <c r="BP50" s="185">
        <f>+SUM(BP45:BP49)</f>
        <v>0</v>
      </c>
      <c r="BQ50" s="185">
        <f>+SUM(BQ45:BQ49)</f>
        <v>0</v>
      </c>
      <c r="BR50" s="173">
        <f t="shared" si="46"/>
        <v>0</v>
      </c>
      <c r="BT50" s="184" t="s">
        <v>101</v>
      </c>
      <c r="BU50" s="185"/>
      <c r="BV50" s="143">
        <f>+SUM(BV45:BV49)</f>
        <v>0</v>
      </c>
      <c r="BW50" s="143">
        <f t="shared" ref="BW50:CC50" si="53">+SUM(BW45:BW49)</f>
        <v>0</v>
      </c>
      <c r="BX50" s="143">
        <f t="shared" si="53"/>
        <v>0</v>
      </c>
      <c r="BY50" s="143">
        <f t="shared" si="53"/>
        <v>0</v>
      </c>
      <c r="BZ50" s="143">
        <f t="shared" si="53"/>
        <v>0</v>
      </c>
      <c r="CA50" s="143">
        <f t="shared" si="53"/>
        <v>0</v>
      </c>
      <c r="CB50" s="143">
        <f t="shared" si="53"/>
        <v>0</v>
      </c>
      <c r="CC50" s="143">
        <f t="shared" si="53"/>
        <v>0</v>
      </c>
      <c r="CD50" s="185">
        <f>+SUM(CD45:CD49)</f>
        <v>0</v>
      </c>
      <c r="CE50" s="185">
        <f>+SUM(CE45:CE49)</f>
        <v>0</v>
      </c>
      <c r="CF50" s="173">
        <f t="shared" si="47"/>
        <v>0</v>
      </c>
    </row>
    <row r="51" spans="2:84" ht="14.5" thickBot="1"/>
    <row r="52" spans="2:84" ht="18">
      <c r="B52" s="177" t="s">
        <v>152</v>
      </c>
      <c r="C52" s="192"/>
      <c r="D52" s="192"/>
      <c r="E52" s="192"/>
      <c r="F52" s="192"/>
      <c r="G52" s="192"/>
      <c r="H52" s="192"/>
      <c r="I52" s="192"/>
      <c r="J52" s="192"/>
      <c r="K52" s="192"/>
      <c r="L52" s="192"/>
      <c r="M52" s="192"/>
      <c r="N52" s="175"/>
      <c r="P52" s="177" t="s">
        <v>152</v>
      </c>
      <c r="Q52" s="192"/>
      <c r="R52" s="192"/>
      <c r="S52" s="192"/>
      <c r="T52" s="192"/>
      <c r="U52" s="192"/>
      <c r="V52" s="192"/>
      <c r="W52" s="192"/>
      <c r="X52" s="192"/>
      <c r="Y52" s="192"/>
      <c r="Z52" s="192"/>
      <c r="AA52" s="192"/>
      <c r="AB52" s="175"/>
      <c r="AD52" s="177" t="s">
        <v>152</v>
      </c>
      <c r="AE52" s="192"/>
      <c r="AF52" s="192"/>
      <c r="AG52" s="192"/>
      <c r="AH52" s="192"/>
      <c r="AI52" s="192"/>
      <c r="AJ52" s="192"/>
      <c r="AK52" s="192"/>
      <c r="AL52" s="192"/>
      <c r="AM52" s="192"/>
      <c r="AN52" s="192"/>
      <c r="AO52" s="192"/>
      <c r="AP52" s="175"/>
      <c r="AR52" s="177" t="s">
        <v>152</v>
      </c>
      <c r="AS52" s="192"/>
      <c r="AT52" s="192"/>
      <c r="AU52" s="192"/>
      <c r="AV52" s="192"/>
      <c r="AW52" s="192"/>
      <c r="AX52" s="192"/>
      <c r="AY52" s="192"/>
      <c r="AZ52" s="192"/>
      <c r="BA52" s="192"/>
      <c r="BB52" s="192"/>
      <c r="BC52" s="192"/>
      <c r="BD52" s="175"/>
      <c r="BF52" s="177" t="s">
        <v>152</v>
      </c>
      <c r="BG52" s="192"/>
      <c r="BH52" s="192"/>
      <c r="BI52" s="192"/>
      <c r="BJ52" s="192"/>
      <c r="BK52" s="192"/>
      <c r="BL52" s="192"/>
      <c r="BM52" s="192"/>
      <c r="BN52" s="192"/>
      <c r="BO52" s="192"/>
      <c r="BP52" s="192"/>
      <c r="BQ52" s="192"/>
      <c r="BR52" s="175"/>
      <c r="BT52" s="177" t="s">
        <v>152</v>
      </c>
      <c r="BU52" s="192"/>
      <c r="BV52" s="192"/>
      <c r="BW52" s="192"/>
      <c r="BX52" s="192"/>
      <c r="BY52" s="192"/>
      <c r="BZ52" s="192"/>
      <c r="CA52" s="192"/>
      <c r="CB52" s="192"/>
      <c r="CC52" s="192"/>
      <c r="CD52" s="192"/>
      <c r="CE52" s="192"/>
      <c r="CF52" s="175"/>
    </row>
    <row r="53" spans="2:84" ht="18">
      <c r="B53" s="193"/>
      <c r="C53" s="16"/>
      <c r="D53" s="16"/>
      <c r="E53" s="186"/>
      <c r="F53" s="186"/>
      <c r="G53" s="186"/>
      <c r="H53" s="186"/>
      <c r="I53" s="186"/>
      <c r="J53" s="186"/>
      <c r="K53" s="186"/>
      <c r="L53" s="186"/>
      <c r="M53" s="186"/>
      <c r="N53" s="169"/>
      <c r="P53" s="193"/>
      <c r="Q53" s="16"/>
      <c r="R53" s="16"/>
      <c r="S53" s="186"/>
      <c r="T53" s="186"/>
      <c r="U53" s="186"/>
      <c r="V53" s="186"/>
      <c r="W53" s="186"/>
      <c r="X53" s="186"/>
      <c r="Y53" s="186"/>
      <c r="Z53" s="186"/>
      <c r="AA53" s="186"/>
      <c r="AB53" s="169"/>
      <c r="AD53" s="193"/>
      <c r="AE53" s="16"/>
      <c r="AF53" s="16"/>
      <c r="AG53" s="186"/>
      <c r="AH53" s="186"/>
      <c r="AI53" s="186"/>
      <c r="AJ53" s="186"/>
      <c r="AK53" s="186"/>
      <c r="AL53" s="186"/>
      <c r="AM53" s="186"/>
      <c r="AN53" s="186"/>
      <c r="AO53" s="186"/>
      <c r="AP53" s="169"/>
      <c r="AR53" s="193"/>
      <c r="AS53" s="16"/>
      <c r="AT53" s="16"/>
      <c r="AU53" s="186"/>
      <c r="AV53" s="186"/>
      <c r="AW53" s="186"/>
      <c r="AX53" s="186"/>
      <c r="AY53" s="186"/>
      <c r="AZ53" s="186"/>
      <c r="BA53" s="186"/>
      <c r="BB53" s="186"/>
      <c r="BC53" s="186"/>
      <c r="BD53" s="169"/>
      <c r="BF53" s="193"/>
      <c r="BG53" s="16"/>
      <c r="BH53" s="16"/>
      <c r="BI53" s="186"/>
      <c r="BJ53" s="186"/>
      <c r="BK53" s="186"/>
      <c r="BL53" s="186"/>
      <c r="BM53" s="186"/>
      <c r="BN53" s="186"/>
      <c r="BO53" s="186"/>
      <c r="BP53" s="186"/>
      <c r="BQ53" s="186"/>
      <c r="BR53" s="169"/>
      <c r="BT53" s="193"/>
      <c r="BU53" s="16"/>
      <c r="BV53" s="16"/>
      <c r="BW53" s="186"/>
      <c r="BX53" s="186"/>
      <c r="BY53" s="186"/>
      <c r="BZ53" s="186"/>
      <c r="CA53" s="186"/>
      <c r="CB53" s="186"/>
      <c r="CC53" s="186"/>
      <c r="CD53" s="186"/>
      <c r="CE53" s="186"/>
      <c r="CF53" s="169"/>
    </row>
    <row r="54" spans="2:84">
      <c r="B54" s="152" t="str">
        <f>+$D$7</f>
        <v>EUR</v>
      </c>
      <c r="C54" s="4"/>
      <c r="D54" s="8">
        <f>+D40</f>
        <v>2026</v>
      </c>
      <c r="E54" s="8">
        <f t="shared" ref="E54:M54" si="54">+E40</f>
        <v>2027</v>
      </c>
      <c r="F54" s="8">
        <f t="shared" si="54"/>
        <v>2028</v>
      </c>
      <c r="G54" s="8">
        <f t="shared" si="54"/>
        <v>2029</v>
      </c>
      <c r="H54" s="8">
        <f t="shared" si="54"/>
        <v>2030</v>
      </c>
      <c r="I54" s="8">
        <f t="shared" si="54"/>
        <v>2031</v>
      </c>
      <c r="J54" s="8">
        <f t="shared" si="54"/>
        <v>2032</v>
      </c>
      <c r="K54" s="8">
        <f t="shared" si="54"/>
        <v>2033</v>
      </c>
      <c r="L54" s="8">
        <f t="shared" si="54"/>
        <v>2034</v>
      </c>
      <c r="M54" s="8">
        <f t="shared" si="54"/>
        <v>2035</v>
      </c>
      <c r="N54" s="124" t="s">
        <v>34</v>
      </c>
      <c r="P54" s="152" t="str">
        <f>+$D$7</f>
        <v>EUR</v>
      </c>
      <c r="Q54" s="4"/>
      <c r="R54" s="8">
        <f>+R40</f>
        <v>2026</v>
      </c>
      <c r="S54" s="8">
        <f t="shared" ref="S54:AA54" si="55">+S40</f>
        <v>2027</v>
      </c>
      <c r="T54" s="8">
        <f t="shared" si="55"/>
        <v>2028</v>
      </c>
      <c r="U54" s="8">
        <f t="shared" si="55"/>
        <v>2029</v>
      </c>
      <c r="V54" s="8">
        <f t="shared" si="55"/>
        <v>2030</v>
      </c>
      <c r="W54" s="8">
        <f t="shared" si="55"/>
        <v>2031</v>
      </c>
      <c r="X54" s="8">
        <f t="shared" si="55"/>
        <v>2032</v>
      </c>
      <c r="Y54" s="8">
        <f t="shared" si="55"/>
        <v>2033</v>
      </c>
      <c r="Z54" s="8">
        <f t="shared" si="55"/>
        <v>2034</v>
      </c>
      <c r="AA54" s="8">
        <f t="shared" si="55"/>
        <v>2035</v>
      </c>
      <c r="AB54" s="124" t="s">
        <v>34</v>
      </c>
      <c r="AD54" s="152" t="str">
        <f>+$D$7</f>
        <v>EUR</v>
      </c>
      <c r="AE54" s="4"/>
      <c r="AF54" s="8">
        <f>+AF40</f>
        <v>2026</v>
      </c>
      <c r="AG54" s="8">
        <f t="shared" ref="AG54:AO54" si="56">+AG40</f>
        <v>2027</v>
      </c>
      <c r="AH54" s="8">
        <f t="shared" si="56"/>
        <v>2028</v>
      </c>
      <c r="AI54" s="8">
        <f t="shared" si="56"/>
        <v>2029</v>
      </c>
      <c r="AJ54" s="8">
        <f t="shared" si="56"/>
        <v>2030</v>
      </c>
      <c r="AK54" s="8">
        <f t="shared" si="56"/>
        <v>2031</v>
      </c>
      <c r="AL54" s="8">
        <f t="shared" si="56"/>
        <v>2032</v>
      </c>
      <c r="AM54" s="8">
        <f t="shared" si="56"/>
        <v>2033</v>
      </c>
      <c r="AN54" s="8">
        <f t="shared" si="56"/>
        <v>2034</v>
      </c>
      <c r="AO54" s="8">
        <f t="shared" si="56"/>
        <v>2035</v>
      </c>
      <c r="AP54" s="124" t="s">
        <v>34</v>
      </c>
      <c r="AR54" s="152" t="str">
        <f>+$D$7</f>
        <v>EUR</v>
      </c>
      <c r="AS54" s="4"/>
      <c r="AT54" s="8">
        <f>+AT40</f>
        <v>2026</v>
      </c>
      <c r="AU54" s="8">
        <f t="shared" ref="AU54:BC54" si="57">+AU40</f>
        <v>2027</v>
      </c>
      <c r="AV54" s="8">
        <f t="shared" si="57"/>
        <v>2028</v>
      </c>
      <c r="AW54" s="8">
        <f t="shared" si="57"/>
        <v>2029</v>
      </c>
      <c r="AX54" s="8">
        <f t="shared" si="57"/>
        <v>2030</v>
      </c>
      <c r="AY54" s="8">
        <f t="shared" si="57"/>
        <v>2031</v>
      </c>
      <c r="AZ54" s="8">
        <f t="shared" si="57"/>
        <v>2032</v>
      </c>
      <c r="BA54" s="8">
        <f t="shared" si="57"/>
        <v>2033</v>
      </c>
      <c r="BB54" s="8">
        <f t="shared" si="57"/>
        <v>2034</v>
      </c>
      <c r="BC54" s="8">
        <f t="shared" si="57"/>
        <v>2035</v>
      </c>
      <c r="BD54" s="124" t="s">
        <v>34</v>
      </c>
      <c r="BF54" s="152" t="str">
        <f>+$D$7</f>
        <v>EUR</v>
      </c>
      <c r="BG54" s="4"/>
      <c r="BH54" s="8">
        <f>+BH40</f>
        <v>2026</v>
      </c>
      <c r="BI54" s="8">
        <f t="shared" ref="BI54:BQ54" si="58">+BI40</f>
        <v>2027</v>
      </c>
      <c r="BJ54" s="8">
        <f t="shared" si="58"/>
        <v>2028</v>
      </c>
      <c r="BK54" s="8">
        <f t="shared" si="58"/>
        <v>2029</v>
      </c>
      <c r="BL54" s="8">
        <f t="shared" si="58"/>
        <v>2030</v>
      </c>
      <c r="BM54" s="8">
        <f t="shared" si="58"/>
        <v>2031</v>
      </c>
      <c r="BN54" s="8">
        <f t="shared" si="58"/>
        <v>2032</v>
      </c>
      <c r="BO54" s="8">
        <f t="shared" si="58"/>
        <v>2033</v>
      </c>
      <c r="BP54" s="8">
        <f t="shared" si="58"/>
        <v>2034</v>
      </c>
      <c r="BQ54" s="8">
        <f t="shared" si="58"/>
        <v>2035</v>
      </c>
      <c r="BR54" s="124" t="s">
        <v>34</v>
      </c>
      <c r="BT54" s="152" t="str">
        <f>+$D$7</f>
        <v>EUR</v>
      </c>
      <c r="BU54" s="4"/>
      <c r="BV54" s="8">
        <f>+BV40</f>
        <v>2026</v>
      </c>
      <c r="BW54" s="8">
        <f t="shared" ref="BW54:CE54" si="59">+BW40</f>
        <v>2027</v>
      </c>
      <c r="BX54" s="8">
        <f t="shared" si="59"/>
        <v>2028</v>
      </c>
      <c r="BY54" s="8">
        <f t="shared" si="59"/>
        <v>2029</v>
      </c>
      <c r="BZ54" s="8">
        <f t="shared" si="59"/>
        <v>2030</v>
      </c>
      <c r="CA54" s="8">
        <f t="shared" si="59"/>
        <v>2031</v>
      </c>
      <c r="CB54" s="8">
        <f t="shared" si="59"/>
        <v>2032</v>
      </c>
      <c r="CC54" s="8">
        <f t="shared" si="59"/>
        <v>2033</v>
      </c>
      <c r="CD54" s="8">
        <f t="shared" si="59"/>
        <v>2034</v>
      </c>
      <c r="CE54" s="8">
        <f t="shared" si="59"/>
        <v>2035</v>
      </c>
      <c r="CF54" s="124" t="s">
        <v>34</v>
      </c>
    </row>
    <row r="55" spans="2:84">
      <c r="B55" s="180" t="s">
        <v>74</v>
      </c>
      <c r="C55" s="111"/>
      <c r="D55" s="28">
        <f>IFERROR(Total!D48/$E$7,0)</f>
        <v>0</v>
      </c>
      <c r="E55" s="111">
        <f>IFERROR(Total!E48/$E$7,0)</f>
        <v>0</v>
      </c>
      <c r="F55" s="28">
        <f>IFERROR(Total!F48/$E$7,0)</f>
        <v>0</v>
      </c>
      <c r="G55" s="111">
        <f>IFERROR(Total!G48/$E$7,0)</f>
        <v>0</v>
      </c>
      <c r="H55" s="28">
        <f>IFERROR(Total!H48/$E$7,0)</f>
        <v>0</v>
      </c>
      <c r="I55" s="111">
        <f>IFERROR(Total!I48/$E$7,0)</f>
        <v>0</v>
      </c>
      <c r="J55" s="28">
        <f>IFERROR(Total!J48/$E$7,0)</f>
        <v>0</v>
      </c>
      <c r="K55" s="28">
        <f>IFERROR(Total!K48/$E$7,0)</f>
        <v>0</v>
      </c>
      <c r="L55" s="111">
        <f>IFERROR(Total!L48/$E$7,0)</f>
        <v>0</v>
      </c>
      <c r="M55" s="111">
        <f>IFERROR(Total!M48/$E$7,0)</f>
        <v>0</v>
      </c>
      <c r="N55" s="170">
        <f t="shared" ref="N55:N64" si="60">SUM(D55:M55)</f>
        <v>0</v>
      </c>
      <c r="P55" s="180" t="s">
        <v>74</v>
      </c>
      <c r="Q55" s="111"/>
      <c r="R55" s="28">
        <f>IFERROR(('B1'!S108/$E$7),0)</f>
        <v>0</v>
      </c>
      <c r="S55" s="111">
        <f>IFERROR(('B1'!T108/$E$7),0)</f>
        <v>0</v>
      </c>
      <c r="T55" s="28">
        <f>IFERROR(('B1'!U108/$E$7),0)</f>
        <v>0</v>
      </c>
      <c r="U55" s="111">
        <f>IFERROR(('B1'!V108/$E$7),0)</f>
        <v>0</v>
      </c>
      <c r="V55" s="28">
        <f>IFERROR(('B1'!W108/$E$7),0)</f>
        <v>0</v>
      </c>
      <c r="W55" s="111">
        <f>IFERROR(('B1'!X108/$E$7),0)</f>
        <v>0</v>
      </c>
      <c r="X55" s="28">
        <f>IFERROR(('B1'!Y108/$E$7),0)</f>
        <v>0</v>
      </c>
      <c r="Y55" s="28">
        <f>IFERROR(('B1'!Z108/$E$7),0)</f>
        <v>0</v>
      </c>
      <c r="Z55" s="111">
        <f>IFERROR(('B1'!AA108/$E$7),0)</f>
        <v>0</v>
      </c>
      <c r="AA55" s="111">
        <f>IFERROR(('B1'!AB108/$E$7),0)</f>
        <v>0</v>
      </c>
      <c r="AB55" s="170">
        <f>SUM(R55:AA55)</f>
        <v>0</v>
      </c>
      <c r="AD55" s="180" t="s">
        <v>74</v>
      </c>
      <c r="AE55" s="111"/>
      <c r="AF55" s="28">
        <f>IFERROR(('B2'!S108/$E$7),0)</f>
        <v>0</v>
      </c>
      <c r="AG55" s="111">
        <f>IFERROR(('B2'!T108/$E$7),0)</f>
        <v>0</v>
      </c>
      <c r="AH55" s="28">
        <f>IFERROR(('B2'!U108/$E$7),0)</f>
        <v>0</v>
      </c>
      <c r="AI55" s="111">
        <f>IFERROR(('B2'!V108/$E$7),0)</f>
        <v>0</v>
      </c>
      <c r="AJ55" s="28">
        <f>IFERROR(('B2'!W108/$E$7),0)</f>
        <v>0</v>
      </c>
      <c r="AK55" s="111">
        <f>IFERROR(('B2'!X108/$E$7),0)</f>
        <v>0</v>
      </c>
      <c r="AL55" s="28">
        <f>IFERROR(('B2'!Y108/$E$7),0)</f>
        <v>0</v>
      </c>
      <c r="AM55" s="28">
        <f>IFERROR(('B2'!Z108/$E$7),0)</f>
        <v>0</v>
      </c>
      <c r="AN55" s="111">
        <f>IFERROR(('B2'!AA108/$E$7),0)</f>
        <v>0</v>
      </c>
      <c r="AO55" s="111">
        <f>IFERROR(('B2'!AB108/$E$7),0)</f>
        <v>0</v>
      </c>
      <c r="AP55" s="170">
        <f>SUM(AF55:AO55)</f>
        <v>0</v>
      </c>
      <c r="AR55" s="180" t="s">
        <v>74</v>
      </c>
      <c r="AS55" s="111"/>
      <c r="AT55" s="28">
        <f>IFERROR(('B3'!S108/$E$7),0)</f>
        <v>0</v>
      </c>
      <c r="AU55" s="111">
        <f>IFERROR(('B3'!T108/$E$7),0)</f>
        <v>0</v>
      </c>
      <c r="AV55" s="28">
        <f>IFERROR(('B3'!U108/$E$7),0)</f>
        <v>0</v>
      </c>
      <c r="AW55" s="111">
        <f>IFERROR(('B3'!V108/$E$7),0)</f>
        <v>0</v>
      </c>
      <c r="AX55" s="28">
        <f>IFERROR(('B3'!W108/$E$7),0)</f>
        <v>0</v>
      </c>
      <c r="AY55" s="111">
        <f>IFERROR(('B3'!X108/$E$7),0)</f>
        <v>0</v>
      </c>
      <c r="AZ55" s="28">
        <f>IFERROR(('B3'!Y108/$E$7),0)</f>
        <v>0</v>
      </c>
      <c r="BA55" s="28">
        <f>IFERROR(('B3'!Z108/$E$7),0)</f>
        <v>0</v>
      </c>
      <c r="BB55" s="28">
        <f>IFERROR(('B3'!AA108/$E$7),0)</f>
        <v>0</v>
      </c>
      <c r="BC55" s="28">
        <f>IFERROR(('B3'!AB108/$E$7),0)</f>
        <v>0</v>
      </c>
      <c r="BD55" s="170">
        <f>SUM(AT55:BC55)</f>
        <v>0</v>
      </c>
      <c r="BF55" s="180" t="s">
        <v>74</v>
      </c>
      <c r="BG55" s="111"/>
      <c r="BH55" s="28">
        <f>IFERROR(('B4'!S108/$E$7),0)</f>
        <v>0</v>
      </c>
      <c r="BI55" s="111">
        <f>IFERROR(('B4'!T108/$E$7),0)</f>
        <v>0</v>
      </c>
      <c r="BJ55" s="28">
        <f>IFERROR(('B4'!U108/$E$7),0)</f>
        <v>0</v>
      </c>
      <c r="BK55" s="111">
        <f>IFERROR(('B4'!V108/$E$7),0)</f>
        <v>0</v>
      </c>
      <c r="BL55" s="28">
        <f>IFERROR(('B4'!W108/$E$7),0)</f>
        <v>0</v>
      </c>
      <c r="BM55" s="111">
        <f>IFERROR(('B4'!X108/$E$7),0)</f>
        <v>0</v>
      </c>
      <c r="BN55" s="28">
        <f>IFERROR(('B4'!Y108/$E$7),0)</f>
        <v>0</v>
      </c>
      <c r="BO55" s="28">
        <f>IFERROR(('B4'!Z108/$E$7),0)</f>
        <v>0</v>
      </c>
      <c r="BP55" s="111">
        <f>IFERROR(('B4'!AA108/$E$7),0)</f>
        <v>0</v>
      </c>
      <c r="BQ55" s="111">
        <f>IFERROR(('B4'!AB108/$E$7),0)</f>
        <v>0</v>
      </c>
      <c r="BR55" s="170">
        <f>SUM(BH55:BQ55)</f>
        <v>0</v>
      </c>
      <c r="BT55" s="180" t="s">
        <v>74</v>
      </c>
      <c r="BU55" s="111"/>
      <c r="BV55" s="28">
        <f>IFERROR(('B5'!S108/$E$7),0)</f>
        <v>0</v>
      </c>
      <c r="BW55" s="111">
        <f>IFERROR(('B5'!T108/$E$7),0)</f>
        <v>0</v>
      </c>
      <c r="BX55" s="28">
        <f>IFERROR(('B5'!U108/$E$7),0)</f>
        <v>0</v>
      </c>
      <c r="BY55" s="111">
        <f>IFERROR(('B5'!V108/$E$7),0)</f>
        <v>0</v>
      </c>
      <c r="BZ55" s="28">
        <f>IFERROR(('B5'!W108/$E$7),0)</f>
        <v>0</v>
      </c>
      <c r="CA55" s="111">
        <f>IFERROR(('B5'!X108/$E$7),0)</f>
        <v>0</v>
      </c>
      <c r="CB55" s="28">
        <f>IFERROR(('B5'!Y108/$E$7),0)</f>
        <v>0</v>
      </c>
      <c r="CC55" s="28">
        <f>IFERROR(('B5'!Z108/$E$7),0)</f>
        <v>0</v>
      </c>
      <c r="CD55" s="111">
        <f>IFERROR(('B5'!AA108/$E$7),0)</f>
        <v>0</v>
      </c>
      <c r="CE55" s="111">
        <f>IFERROR(('B5'!AB108/$E$7),0)</f>
        <v>0</v>
      </c>
      <c r="CF55" s="170">
        <f>SUM(BV55:CE55)</f>
        <v>0</v>
      </c>
    </row>
    <row r="56" spans="2:84">
      <c r="B56" s="152" t="s">
        <v>75</v>
      </c>
      <c r="C56" s="112"/>
      <c r="D56" s="113">
        <f>IFERROR(Total!D49/$E$7,0)</f>
        <v>0</v>
      </c>
      <c r="E56" s="112">
        <f>IFERROR(Total!E49/$E$7,0)</f>
        <v>0</v>
      </c>
      <c r="F56" s="113">
        <f>IFERROR(Total!F49/$E$7,0)</f>
        <v>0</v>
      </c>
      <c r="G56" s="112">
        <f>IFERROR(Total!G49/$E$7,0)</f>
        <v>0</v>
      </c>
      <c r="H56" s="113">
        <f>IFERROR(Total!H49/$E$7,0)</f>
        <v>0</v>
      </c>
      <c r="I56" s="112">
        <f>IFERROR(Total!I49/$E$7,0)</f>
        <v>0</v>
      </c>
      <c r="J56" s="113">
        <f>IFERROR(Total!J49/$E$7,0)</f>
        <v>0</v>
      </c>
      <c r="K56" s="113">
        <f>IFERROR(Total!K49/$E$7,0)</f>
        <v>0</v>
      </c>
      <c r="L56" s="112">
        <f>IFERROR(Total!L49/$E$7,0)</f>
        <v>0</v>
      </c>
      <c r="M56" s="112">
        <f>IFERROR(Total!M49/$E$7,0)</f>
        <v>0</v>
      </c>
      <c r="N56" s="171">
        <f t="shared" si="60"/>
        <v>0</v>
      </c>
      <c r="P56" s="152" t="s">
        <v>75</v>
      </c>
      <c r="Q56" s="112"/>
      <c r="R56" s="113">
        <f>IFERROR(('B1'!S109/$E$7),0)</f>
        <v>0</v>
      </c>
      <c r="S56" s="112">
        <f>IFERROR(('B1'!T109/$E$7),0)</f>
        <v>0</v>
      </c>
      <c r="T56" s="113">
        <f>IFERROR(('B1'!U109/$E$7),0)</f>
        <v>0</v>
      </c>
      <c r="U56" s="112">
        <f>IFERROR(('B1'!V109/$E$7),0)</f>
        <v>0</v>
      </c>
      <c r="V56" s="113">
        <f>IFERROR(('B1'!W109/$E$7),0)</f>
        <v>0</v>
      </c>
      <c r="W56" s="112">
        <f>IFERROR(('B1'!X109/$E$7),0)</f>
        <v>0</v>
      </c>
      <c r="X56" s="113">
        <f>IFERROR(('B1'!Y109/$E$7),0)</f>
        <v>0</v>
      </c>
      <c r="Y56" s="113">
        <f>IFERROR(('B1'!Z109/$E$7),0)</f>
        <v>0</v>
      </c>
      <c r="Z56" s="112">
        <f>IFERROR(('B1'!AA109/$E$7),0)</f>
        <v>0</v>
      </c>
      <c r="AA56" s="112">
        <f>IFERROR(('B1'!AB109/$E$7),0)</f>
        <v>0</v>
      </c>
      <c r="AB56" s="171">
        <f t="shared" ref="AB56:AB64" si="61">SUM(R56:AA56)</f>
        <v>0</v>
      </c>
      <c r="AD56" s="152" t="s">
        <v>75</v>
      </c>
      <c r="AE56" s="112"/>
      <c r="AF56" s="113">
        <f>IFERROR(('B2'!S109/$E$7),0)</f>
        <v>0</v>
      </c>
      <c r="AG56" s="112">
        <f>IFERROR(('B2'!T109/$E$7),0)</f>
        <v>0</v>
      </c>
      <c r="AH56" s="113">
        <f>IFERROR(('B2'!U109/$E$7),0)</f>
        <v>0</v>
      </c>
      <c r="AI56" s="112">
        <f>IFERROR(('B2'!V109/$E$7),0)</f>
        <v>0</v>
      </c>
      <c r="AJ56" s="113">
        <f>IFERROR(('B2'!W109/$E$7),0)</f>
        <v>0</v>
      </c>
      <c r="AK56" s="112">
        <f>IFERROR(('B2'!X109/$E$7),0)</f>
        <v>0</v>
      </c>
      <c r="AL56" s="113">
        <f>IFERROR(('B2'!Y109/$E$7),0)</f>
        <v>0</v>
      </c>
      <c r="AM56" s="113">
        <f>IFERROR(('B2'!Z109/$E$7),0)</f>
        <v>0</v>
      </c>
      <c r="AN56" s="112">
        <f>IFERROR(('B2'!AA109/$E$7),0)</f>
        <v>0</v>
      </c>
      <c r="AO56" s="112">
        <f>IFERROR(('B2'!AB109/$E$7),0)</f>
        <v>0</v>
      </c>
      <c r="AP56" s="171">
        <f t="shared" ref="AP56:AP64" si="62">SUM(AF56:AO56)</f>
        <v>0</v>
      </c>
      <c r="AR56" s="152" t="s">
        <v>75</v>
      </c>
      <c r="AS56" s="112"/>
      <c r="AT56" s="113">
        <f>IFERROR(('B3'!S109/$E$7),0)</f>
        <v>0</v>
      </c>
      <c r="AU56" s="112">
        <f>IFERROR(('B3'!T109/$E$7),0)</f>
        <v>0</v>
      </c>
      <c r="AV56" s="113">
        <f>IFERROR(('B3'!U109/$E$7),0)</f>
        <v>0</v>
      </c>
      <c r="AW56" s="112">
        <f>IFERROR(('B3'!V109/$E$7),0)</f>
        <v>0</v>
      </c>
      <c r="AX56" s="113">
        <f>IFERROR(('B3'!W109/$E$7),0)</f>
        <v>0</v>
      </c>
      <c r="AY56" s="112">
        <f>IFERROR(('B3'!X109/$E$7),0)</f>
        <v>0</v>
      </c>
      <c r="AZ56" s="113">
        <f>IFERROR(('B3'!Y109/$E$7),0)</f>
        <v>0</v>
      </c>
      <c r="BA56" s="113">
        <f>IFERROR(('B3'!Z109/$E$7),0)</f>
        <v>0</v>
      </c>
      <c r="BB56" s="113">
        <f>IFERROR(('B3'!AA109/$E$7),0)</f>
        <v>0</v>
      </c>
      <c r="BC56" s="113">
        <f>IFERROR(('B3'!AB109/$E$7),0)</f>
        <v>0</v>
      </c>
      <c r="BD56" s="171">
        <f t="shared" ref="BD56:BD64" si="63">SUM(AT56:BC56)</f>
        <v>0</v>
      </c>
      <c r="BF56" s="152" t="s">
        <v>75</v>
      </c>
      <c r="BG56" s="112"/>
      <c r="BH56" s="113">
        <f>IFERROR(('B4'!S109/$E$7),0)</f>
        <v>0</v>
      </c>
      <c r="BI56" s="112">
        <f>IFERROR(('B4'!T109/$E$7),0)</f>
        <v>0</v>
      </c>
      <c r="BJ56" s="113">
        <f>IFERROR(('B4'!U109/$E$7),0)</f>
        <v>0</v>
      </c>
      <c r="BK56" s="112">
        <f>IFERROR(('B4'!V109/$E$7),0)</f>
        <v>0</v>
      </c>
      <c r="BL56" s="113">
        <f>IFERROR(('B4'!W109/$E$7),0)</f>
        <v>0</v>
      </c>
      <c r="BM56" s="112">
        <f>IFERROR(('B4'!X109/$E$7),0)</f>
        <v>0</v>
      </c>
      <c r="BN56" s="113">
        <f>IFERROR(('B4'!Y109/$E$7),0)</f>
        <v>0</v>
      </c>
      <c r="BO56" s="113">
        <f>IFERROR(('B4'!Z109/$E$7),0)</f>
        <v>0</v>
      </c>
      <c r="BP56" s="112">
        <f>IFERROR(('B4'!AA109/$E$7),0)</f>
        <v>0</v>
      </c>
      <c r="BQ56" s="112">
        <f>IFERROR(('B4'!AB109/$E$7),0)</f>
        <v>0</v>
      </c>
      <c r="BR56" s="171">
        <f t="shared" ref="BR56:BR64" si="64">SUM(BH56:BQ56)</f>
        <v>0</v>
      </c>
      <c r="BT56" s="152" t="s">
        <v>75</v>
      </c>
      <c r="BU56" s="112"/>
      <c r="BV56" s="113">
        <f>IFERROR(('B5'!S109/$E$7),0)</f>
        <v>0</v>
      </c>
      <c r="BW56" s="112">
        <f>IFERROR(('B5'!T109/$E$7),0)</f>
        <v>0</v>
      </c>
      <c r="BX56" s="113">
        <f>IFERROR(('B5'!U109/$E$7),0)</f>
        <v>0</v>
      </c>
      <c r="BY56" s="112">
        <f>IFERROR(('B5'!V109/$E$7),0)</f>
        <v>0</v>
      </c>
      <c r="BZ56" s="113">
        <f>IFERROR(('B5'!W109/$E$7),0)</f>
        <v>0</v>
      </c>
      <c r="CA56" s="112">
        <f>IFERROR(('B5'!X109/$E$7),0)</f>
        <v>0</v>
      </c>
      <c r="CB56" s="113">
        <f>IFERROR(('B5'!Y109/$E$7),0)</f>
        <v>0</v>
      </c>
      <c r="CC56" s="113">
        <f>IFERROR(('B5'!Z109/$E$7),0)</f>
        <v>0</v>
      </c>
      <c r="CD56" s="112">
        <f>IFERROR(('B5'!AA109/$E$7),0)</f>
        <v>0</v>
      </c>
      <c r="CE56" s="112">
        <f>IFERROR(('B5'!AB109/$E$7),0)</f>
        <v>0</v>
      </c>
      <c r="CF56" s="171">
        <f t="shared" ref="CF56:CF64" si="65">SUM(BV56:CE56)</f>
        <v>0</v>
      </c>
    </row>
    <row r="57" spans="2:84">
      <c r="B57" s="181" t="s">
        <v>76</v>
      </c>
      <c r="C57" s="142"/>
      <c r="D57" s="137">
        <f>IFERROR(Total!D50/$E$7,0)</f>
        <v>0</v>
      </c>
      <c r="E57" s="137">
        <f>IFERROR(Total!E50/$E$7,0)</f>
        <v>0</v>
      </c>
      <c r="F57" s="137">
        <f>IFERROR(Total!F50/$E$7,0)</f>
        <v>0</v>
      </c>
      <c r="G57" s="137">
        <f>IFERROR(Total!G50/$E$7,0)</f>
        <v>0</v>
      </c>
      <c r="H57" s="137">
        <f>IFERROR(Total!H50/$E$7,0)</f>
        <v>0</v>
      </c>
      <c r="I57" s="137">
        <f>IFERROR(Total!I50/$E$7,0)</f>
        <v>0</v>
      </c>
      <c r="J57" s="142">
        <f>IFERROR(Total!J50/$E$7,0)</f>
        <v>0</v>
      </c>
      <c r="K57" s="137">
        <f>IFERROR(Total!K50/$E$7,0)</f>
        <v>0</v>
      </c>
      <c r="L57" s="142">
        <f>IFERROR(Total!L50/$E$7,0)</f>
        <v>0</v>
      </c>
      <c r="M57" s="142">
        <f>IFERROR(Total!M50/$E$7,0)</f>
        <v>0</v>
      </c>
      <c r="N57" s="172">
        <f t="shared" si="60"/>
        <v>0</v>
      </c>
      <c r="P57" s="181" t="s">
        <v>76</v>
      </c>
      <c r="Q57" s="142"/>
      <c r="R57" s="137">
        <f>IFERROR(('B1'!S110/$E$7),0)</f>
        <v>0</v>
      </c>
      <c r="S57" s="137">
        <f>IFERROR(('B1'!T110/$E$7),0)</f>
        <v>0</v>
      </c>
      <c r="T57" s="137">
        <f>IFERROR(('B1'!U110/$E$7),0)</f>
        <v>0</v>
      </c>
      <c r="U57" s="137">
        <f>IFERROR(('B1'!V110/$E$7),0)</f>
        <v>0</v>
      </c>
      <c r="V57" s="137">
        <f>IFERROR(('B1'!W110/$E$7),0)</f>
        <v>0</v>
      </c>
      <c r="W57" s="137">
        <f>IFERROR(('B1'!X110/$E$7),0)</f>
        <v>0</v>
      </c>
      <c r="X57" s="142">
        <f>IFERROR(('B1'!Y110/$E$7),0)</f>
        <v>0</v>
      </c>
      <c r="Y57" s="137">
        <f>IFERROR(('B1'!Z110/$E$7),0)</f>
        <v>0</v>
      </c>
      <c r="Z57" s="142">
        <f>IFERROR(('B1'!AA110/$E$7),0)</f>
        <v>0</v>
      </c>
      <c r="AA57" s="142">
        <f>IFERROR(('B1'!AB110/$E$7),0)</f>
        <v>0</v>
      </c>
      <c r="AB57" s="172">
        <f t="shared" si="61"/>
        <v>0</v>
      </c>
      <c r="AD57" s="181" t="s">
        <v>76</v>
      </c>
      <c r="AE57" s="142"/>
      <c r="AF57" s="137">
        <f>IFERROR(('B2'!S110/$E$7),0)</f>
        <v>0</v>
      </c>
      <c r="AG57" s="137">
        <f>IFERROR(('B2'!T110/$E$7),0)</f>
        <v>0</v>
      </c>
      <c r="AH57" s="137">
        <f>IFERROR(('B2'!U110/$E$7),0)</f>
        <v>0</v>
      </c>
      <c r="AI57" s="137">
        <f>IFERROR(('B2'!V110/$E$7),0)</f>
        <v>0</v>
      </c>
      <c r="AJ57" s="137">
        <f>IFERROR(('B2'!W110/$E$7),0)</f>
        <v>0</v>
      </c>
      <c r="AK57" s="137">
        <f>IFERROR(('B2'!X110/$E$7),0)</f>
        <v>0</v>
      </c>
      <c r="AL57" s="142">
        <f>IFERROR(('B2'!Y110/$E$7),0)</f>
        <v>0</v>
      </c>
      <c r="AM57" s="137">
        <f>IFERROR(('B2'!Z110/$E$7),0)</f>
        <v>0</v>
      </c>
      <c r="AN57" s="142">
        <f>IFERROR(('B2'!AA110/$E$7),0)</f>
        <v>0</v>
      </c>
      <c r="AO57" s="142">
        <f>IFERROR(('B2'!AB110/$E$7),0)</f>
        <v>0</v>
      </c>
      <c r="AP57" s="172">
        <f t="shared" si="62"/>
        <v>0</v>
      </c>
      <c r="AR57" s="181" t="s">
        <v>76</v>
      </c>
      <c r="AS57" s="142"/>
      <c r="AT57" s="137">
        <f>IFERROR(('B3'!S110/$E$7),0)</f>
        <v>0</v>
      </c>
      <c r="AU57" s="137">
        <f>IFERROR(('B3'!T110/$E$7),0)</f>
        <v>0</v>
      </c>
      <c r="AV57" s="137">
        <f>IFERROR(('B3'!U110/$E$7),0)</f>
        <v>0</v>
      </c>
      <c r="AW57" s="137">
        <f>IFERROR(('B3'!V110/$E$7),0)</f>
        <v>0</v>
      </c>
      <c r="AX57" s="137">
        <f>IFERROR(('B3'!W110/$E$7),0)</f>
        <v>0</v>
      </c>
      <c r="AY57" s="137">
        <f>IFERROR(('B3'!X110/$E$7),0)</f>
        <v>0</v>
      </c>
      <c r="AZ57" s="142">
        <f>IFERROR(('B3'!Y110/$E$7),0)</f>
        <v>0</v>
      </c>
      <c r="BA57" s="137">
        <f>IFERROR(('B3'!Z110/$E$7),0)</f>
        <v>0</v>
      </c>
      <c r="BB57" s="137">
        <f>IFERROR(('B3'!AA110/$E$7),0)</f>
        <v>0</v>
      </c>
      <c r="BC57" s="137">
        <f>IFERROR(('B3'!AB110/$E$7),0)</f>
        <v>0</v>
      </c>
      <c r="BD57" s="172">
        <f t="shared" si="63"/>
        <v>0</v>
      </c>
      <c r="BF57" s="181" t="s">
        <v>76</v>
      </c>
      <c r="BG57" s="142"/>
      <c r="BH57" s="137">
        <f>IFERROR(('B4'!S110/$E$7),0)</f>
        <v>0</v>
      </c>
      <c r="BI57" s="137">
        <f>IFERROR(('B4'!T110/$E$7),0)</f>
        <v>0</v>
      </c>
      <c r="BJ57" s="137">
        <f>IFERROR(('B4'!U110/$E$7),0)</f>
        <v>0</v>
      </c>
      <c r="BK57" s="137">
        <f>IFERROR(('B4'!V110/$E$7),0)</f>
        <v>0</v>
      </c>
      <c r="BL57" s="137">
        <f>IFERROR(('B4'!W110/$E$7),0)</f>
        <v>0</v>
      </c>
      <c r="BM57" s="137">
        <f>IFERROR(('B4'!X110/$E$7),0)</f>
        <v>0</v>
      </c>
      <c r="BN57" s="142">
        <f>IFERROR(('B4'!Y110/$E$7),0)</f>
        <v>0</v>
      </c>
      <c r="BO57" s="137">
        <f>IFERROR(('B4'!Z110/$E$7),0)</f>
        <v>0</v>
      </c>
      <c r="BP57" s="142">
        <f>IFERROR(('B4'!AA110/$E$7),0)</f>
        <v>0</v>
      </c>
      <c r="BQ57" s="142">
        <f>IFERROR(('B4'!AB110/$E$7),0)</f>
        <v>0</v>
      </c>
      <c r="BR57" s="172">
        <f t="shared" si="64"/>
        <v>0</v>
      </c>
      <c r="BT57" s="181" t="s">
        <v>76</v>
      </c>
      <c r="BU57" s="142"/>
      <c r="BV57" s="137">
        <f>IFERROR(('B5'!S110/$E$7),0)</f>
        <v>0</v>
      </c>
      <c r="BW57" s="137">
        <f>IFERROR(('B5'!T110/$E$7),0)</f>
        <v>0</v>
      </c>
      <c r="BX57" s="137">
        <f>IFERROR(('B5'!U110/$E$7),0)</f>
        <v>0</v>
      </c>
      <c r="BY57" s="137">
        <f>IFERROR(('B5'!V110/$E$7),0)</f>
        <v>0</v>
      </c>
      <c r="BZ57" s="137">
        <f>IFERROR(('B5'!W110/$E$7),0)</f>
        <v>0</v>
      </c>
      <c r="CA57" s="137">
        <f>IFERROR(('B5'!X110/$E$7),0)</f>
        <v>0</v>
      </c>
      <c r="CB57" s="142">
        <f>IFERROR(('B5'!Y110/$E$7),0)</f>
        <v>0</v>
      </c>
      <c r="CC57" s="137">
        <f>IFERROR(('B5'!Z110/$E$7),0)</f>
        <v>0</v>
      </c>
      <c r="CD57" s="142">
        <f>IFERROR(('B5'!AA110/$E$7),0)</f>
        <v>0</v>
      </c>
      <c r="CE57" s="142">
        <f>IFERROR(('B5'!AB110/$E$7),0)</f>
        <v>0</v>
      </c>
      <c r="CF57" s="172">
        <f t="shared" si="65"/>
        <v>0</v>
      </c>
    </row>
    <row r="58" spans="2:84">
      <c r="B58" s="181" t="s">
        <v>77</v>
      </c>
      <c r="C58" s="142"/>
      <c r="D58" s="137">
        <f>IFERROR(Total!D51/$E$7,0)</f>
        <v>0</v>
      </c>
      <c r="E58" s="187">
        <f>IFERROR(Total!E51/$E$7,0)</f>
        <v>0</v>
      </c>
      <c r="F58" s="187">
        <f>IFERROR(Total!F51/$E$7,0)</f>
        <v>0</v>
      </c>
      <c r="G58" s="187">
        <f>IFERROR(Total!G51/$E$7,0)</f>
        <v>0</v>
      </c>
      <c r="H58" s="187">
        <f>IFERROR(Total!H51/$E$7,0)</f>
        <v>0</v>
      </c>
      <c r="I58" s="187">
        <f>IFERROR(Total!I51/$E$7,0)</f>
        <v>0</v>
      </c>
      <c r="J58" s="188">
        <f>IFERROR(Total!J51/$E$7,0)</f>
        <v>0</v>
      </c>
      <c r="K58" s="187">
        <f>IFERROR(Total!K51/$E$7,0)</f>
        <v>0</v>
      </c>
      <c r="L58" s="188">
        <f>IFERROR(Total!L51/$E$7,0)</f>
        <v>0</v>
      </c>
      <c r="M58" s="188">
        <f>IFERROR(Total!M51/$E$7,0)</f>
        <v>0</v>
      </c>
      <c r="N58" s="172">
        <f t="shared" si="60"/>
        <v>0</v>
      </c>
      <c r="P58" s="181" t="s">
        <v>77</v>
      </c>
      <c r="Q58" s="142"/>
      <c r="R58" s="137">
        <f>IFERROR(('B1'!S111/$E$7),0)</f>
        <v>0</v>
      </c>
      <c r="S58" s="187">
        <f>IFERROR(('B1'!T111/$E$7),0)</f>
        <v>0</v>
      </c>
      <c r="T58" s="187">
        <f>IFERROR(('B1'!U111/$E$7),0)</f>
        <v>0</v>
      </c>
      <c r="U58" s="187">
        <f>IFERROR(('B1'!V111/$E$7),0)</f>
        <v>0</v>
      </c>
      <c r="V58" s="187">
        <f>IFERROR(('B1'!W111/$E$7),0)</f>
        <v>0</v>
      </c>
      <c r="W58" s="187">
        <f>IFERROR(('B1'!X111/$E$7),0)</f>
        <v>0</v>
      </c>
      <c r="X58" s="188">
        <f>IFERROR(('B1'!Y111/$E$7),0)</f>
        <v>0</v>
      </c>
      <c r="Y58" s="187">
        <f>IFERROR(('B1'!Z111/$E$7),0)</f>
        <v>0</v>
      </c>
      <c r="Z58" s="188">
        <f>IFERROR(('B1'!AA111/$E$7),0)</f>
        <v>0</v>
      </c>
      <c r="AA58" s="188">
        <f>IFERROR(('B1'!AB111/$E$7),0)</f>
        <v>0</v>
      </c>
      <c r="AB58" s="172">
        <f t="shared" si="61"/>
        <v>0</v>
      </c>
      <c r="AD58" s="181" t="s">
        <v>77</v>
      </c>
      <c r="AE58" s="142"/>
      <c r="AF58" s="137">
        <f>IFERROR(('B2'!S111/$E$7),0)</f>
        <v>0</v>
      </c>
      <c r="AG58" s="187">
        <f>IFERROR(('B2'!T111/$E$7),0)</f>
        <v>0</v>
      </c>
      <c r="AH58" s="187">
        <f>IFERROR(('B2'!U111/$E$7),0)</f>
        <v>0</v>
      </c>
      <c r="AI58" s="187">
        <f>IFERROR(('B2'!V111/$E$7),0)</f>
        <v>0</v>
      </c>
      <c r="AJ58" s="187">
        <f>IFERROR(('B2'!W111/$E$7),0)</f>
        <v>0</v>
      </c>
      <c r="AK58" s="187">
        <f>IFERROR(('B2'!X111/$E$7),0)</f>
        <v>0</v>
      </c>
      <c r="AL58" s="188">
        <f>IFERROR(('B2'!Y111/$E$7),0)</f>
        <v>0</v>
      </c>
      <c r="AM58" s="187">
        <f>IFERROR(('B2'!Z111/$E$7),0)</f>
        <v>0</v>
      </c>
      <c r="AN58" s="188">
        <f>IFERROR(('B2'!AA111/$E$7),0)</f>
        <v>0</v>
      </c>
      <c r="AO58" s="188">
        <f>IFERROR(('B2'!AB111/$E$7),0)</f>
        <v>0</v>
      </c>
      <c r="AP58" s="172">
        <f t="shared" si="62"/>
        <v>0</v>
      </c>
      <c r="AR58" s="181" t="s">
        <v>77</v>
      </c>
      <c r="AS58" s="142"/>
      <c r="AT58" s="137">
        <f>IFERROR(('B3'!S111/$E$7),0)</f>
        <v>0</v>
      </c>
      <c r="AU58" s="187">
        <f>IFERROR(('B3'!T111/$E$7),0)</f>
        <v>0</v>
      </c>
      <c r="AV58" s="187">
        <f>IFERROR(('B3'!U111/$E$7),0)</f>
        <v>0</v>
      </c>
      <c r="AW58" s="187">
        <f>IFERROR(('B3'!V111/$E$7),0)</f>
        <v>0</v>
      </c>
      <c r="AX58" s="187">
        <f>IFERROR(('B3'!W111/$E$7),0)</f>
        <v>0</v>
      </c>
      <c r="AY58" s="187">
        <f>IFERROR(('B3'!X111/$E$7),0)</f>
        <v>0</v>
      </c>
      <c r="AZ58" s="188">
        <f>IFERROR(('B3'!Y111/$E$7),0)</f>
        <v>0</v>
      </c>
      <c r="BA58" s="187">
        <f>IFERROR(('B3'!Z111/$E$7),0)</f>
        <v>0</v>
      </c>
      <c r="BB58" s="187">
        <f>IFERROR(('B3'!AA111/$E$7),0)</f>
        <v>0</v>
      </c>
      <c r="BC58" s="187">
        <f>IFERROR(('B3'!AB111/$E$7),0)</f>
        <v>0</v>
      </c>
      <c r="BD58" s="172">
        <f t="shared" si="63"/>
        <v>0</v>
      </c>
      <c r="BF58" s="181" t="s">
        <v>77</v>
      </c>
      <c r="BG58" s="142"/>
      <c r="BH58" s="137">
        <f>IFERROR(('B4'!S111/$E$7),0)</f>
        <v>0</v>
      </c>
      <c r="BI58" s="187">
        <f>IFERROR(('B4'!T111/$E$7),0)</f>
        <v>0</v>
      </c>
      <c r="BJ58" s="187">
        <f>IFERROR(('B4'!U111/$E$7),0)</f>
        <v>0</v>
      </c>
      <c r="BK58" s="187">
        <f>IFERROR(('B4'!V111/$E$7),0)</f>
        <v>0</v>
      </c>
      <c r="BL58" s="187">
        <f>IFERROR(('B4'!W111/$E$7),0)</f>
        <v>0</v>
      </c>
      <c r="BM58" s="187">
        <f>IFERROR(('B4'!X111/$E$7),0)</f>
        <v>0</v>
      </c>
      <c r="BN58" s="188">
        <f>IFERROR(('B4'!Y111/$E$7),0)</f>
        <v>0</v>
      </c>
      <c r="BO58" s="187">
        <f>IFERROR(('B4'!Z111/$E$7),0)</f>
        <v>0</v>
      </c>
      <c r="BP58" s="188">
        <f>IFERROR(('B4'!AA111/$E$7),0)</f>
        <v>0</v>
      </c>
      <c r="BQ58" s="188">
        <f>IFERROR(('B4'!AB111/$E$7),0)</f>
        <v>0</v>
      </c>
      <c r="BR58" s="172">
        <f t="shared" si="64"/>
        <v>0</v>
      </c>
      <c r="BT58" s="181" t="s">
        <v>77</v>
      </c>
      <c r="BU58" s="142"/>
      <c r="BV58" s="137">
        <f>IFERROR(('B5'!S111/$E$7),0)</f>
        <v>0</v>
      </c>
      <c r="BW58" s="187">
        <f>IFERROR(('B5'!T111/$E$7),0)</f>
        <v>0</v>
      </c>
      <c r="BX58" s="187">
        <f>IFERROR(('B5'!U111/$E$7),0)</f>
        <v>0</v>
      </c>
      <c r="BY58" s="187">
        <f>IFERROR(('B5'!V111/$E$7),0)</f>
        <v>0</v>
      </c>
      <c r="BZ58" s="187">
        <f>IFERROR(('B5'!W111/$E$7),0)</f>
        <v>0</v>
      </c>
      <c r="CA58" s="187">
        <f>IFERROR(('B5'!X111/$E$7),0)</f>
        <v>0</v>
      </c>
      <c r="CB58" s="188">
        <f>IFERROR(('B5'!Y111/$E$7),0)</f>
        <v>0</v>
      </c>
      <c r="CC58" s="187">
        <f>IFERROR(('B5'!Z111/$E$7),0)</f>
        <v>0</v>
      </c>
      <c r="CD58" s="188">
        <f>IFERROR(('B5'!AA111/$E$7),0)</f>
        <v>0</v>
      </c>
      <c r="CE58" s="188">
        <f>IFERROR(('B5'!AB111/$E$7),0)</f>
        <v>0</v>
      </c>
      <c r="CF58" s="172">
        <f t="shared" si="65"/>
        <v>0</v>
      </c>
    </row>
    <row r="59" spans="2:84">
      <c r="B59" s="181" t="s">
        <v>78</v>
      </c>
      <c r="C59" s="142"/>
      <c r="D59" s="137">
        <f>IFERROR(Total!D52/$E$7,0)</f>
        <v>0</v>
      </c>
      <c r="E59" s="194">
        <f>IFERROR(Total!E52/$E$7,0)</f>
        <v>0</v>
      </c>
      <c r="F59" s="194">
        <f>IFERROR(Total!F52/$E$7,0)</f>
        <v>0</v>
      </c>
      <c r="G59" s="194">
        <f>IFERROR(Total!G52/$E$7,0)</f>
        <v>0</v>
      </c>
      <c r="H59" s="194">
        <f>IFERROR(Total!H52/$E$7,0)</f>
        <v>0</v>
      </c>
      <c r="I59" s="194">
        <f>IFERROR(Total!I52/$E$7,0)</f>
        <v>0</v>
      </c>
      <c r="J59" s="195">
        <f>IFERROR(Total!J52/$E$7,0)</f>
        <v>0</v>
      </c>
      <c r="K59" s="194">
        <f>IFERROR(Total!K52/$E$7,0)</f>
        <v>0</v>
      </c>
      <c r="L59" s="195">
        <f>IFERROR(Total!L52/$E$7,0)</f>
        <v>0</v>
      </c>
      <c r="M59" s="195">
        <f>IFERROR(Total!M52/$E$7,0)</f>
        <v>0</v>
      </c>
      <c r="N59" s="172">
        <f t="shared" si="60"/>
        <v>0</v>
      </c>
      <c r="P59" s="181" t="s">
        <v>78</v>
      </c>
      <c r="Q59" s="142"/>
      <c r="R59" s="137">
        <f>IFERROR(('B1'!S112/$E$7),0)</f>
        <v>0</v>
      </c>
      <c r="S59" s="194">
        <f>IFERROR(('B1'!T112/$E$7),0)</f>
        <v>0</v>
      </c>
      <c r="T59" s="194">
        <f>IFERROR(('B1'!U112/$E$7),0)</f>
        <v>0</v>
      </c>
      <c r="U59" s="194">
        <f>IFERROR(('B1'!V112/$E$7),0)</f>
        <v>0</v>
      </c>
      <c r="V59" s="194">
        <f>IFERROR(('B1'!W112/$E$7),0)</f>
        <v>0</v>
      </c>
      <c r="W59" s="194">
        <f>IFERROR(('B1'!X112/$E$7),0)</f>
        <v>0</v>
      </c>
      <c r="X59" s="195">
        <f>IFERROR(('B1'!Y112/$E$7),0)</f>
        <v>0</v>
      </c>
      <c r="Y59" s="194">
        <f>IFERROR(('B1'!Z112/$E$7),0)</f>
        <v>0</v>
      </c>
      <c r="Z59" s="195">
        <f>IFERROR(('B1'!AA112/$E$7),0)</f>
        <v>0</v>
      </c>
      <c r="AA59" s="195">
        <f>IFERROR(('B1'!AB112/$E$7),0)</f>
        <v>0</v>
      </c>
      <c r="AB59" s="172">
        <f t="shared" si="61"/>
        <v>0</v>
      </c>
      <c r="AD59" s="181" t="s">
        <v>78</v>
      </c>
      <c r="AE59" s="142"/>
      <c r="AF59" s="137">
        <f>IFERROR(('B2'!S112/$E$7),0)</f>
        <v>0</v>
      </c>
      <c r="AG59" s="194">
        <f>IFERROR(('B2'!T112/$E$7),0)</f>
        <v>0</v>
      </c>
      <c r="AH59" s="194">
        <f>IFERROR(('B2'!U112/$E$7),0)</f>
        <v>0</v>
      </c>
      <c r="AI59" s="194">
        <f>IFERROR(('B2'!V112/$E$7),0)</f>
        <v>0</v>
      </c>
      <c r="AJ59" s="194">
        <f>IFERROR(('B2'!W112/$E$7),0)</f>
        <v>0</v>
      </c>
      <c r="AK59" s="194">
        <f>IFERROR(('B2'!X112/$E$7),0)</f>
        <v>0</v>
      </c>
      <c r="AL59" s="195">
        <f>IFERROR(('B2'!Y112/$E$7),0)</f>
        <v>0</v>
      </c>
      <c r="AM59" s="194">
        <f>IFERROR(('B2'!Z112/$E$7),0)</f>
        <v>0</v>
      </c>
      <c r="AN59" s="195">
        <f>IFERROR(('B2'!AA112/$E$7),0)</f>
        <v>0</v>
      </c>
      <c r="AO59" s="195">
        <f>IFERROR(('B2'!AB112/$E$7),0)</f>
        <v>0</v>
      </c>
      <c r="AP59" s="172">
        <f t="shared" si="62"/>
        <v>0</v>
      </c>
      <c r="AR59" s="181" t="s">
        <v>78</v>
      </c>
      <c r="AS59" s="142"/>
      <c r="AT59" s="137">
        <f>IFERROR(('B3'!S112/$E$7),0)</f>
        <v>0</v>
      </c>
      <c r="AU59" s="187">
        <f>IFERROR(('B3'!T112/$E$7),0)</f>
        <v>0</v>
      </c>
      <c r="AV59" s="187">
        <f>IFERROR(('B3'!U112/$E$7),0)</f>
        <v>0</v>
      </c>
      <c r="AW59" s="187">
        <f>IFERROR(('B3'!V112/$E$7),0)</f>
        <v>0</v>
      </c>
      <c r="AX59" s="187">
        <f>IFERROR(('B3'!W112/$E$7),0)</f>
        <v>0</v>
      </c>
      <c r="AY59" s="187">
        <f>IFERROR(('B3'!X112/$E$7),0)</f>
        <v>0</v>
      </c>
      <c r="AZ59" s="188">
        <f>IFERROR(('B3'!Y112/$E$7),0)</f>
        <v>0</v>
      </c>
      <c r="BA59" s="187">
        <f>IFERROR(('B3'!Z112/$E$7),0)</f>
        <v>0</v>
      </c>
      <c r="BB59" s="187">
        <f>IFERROR(('B3'!AA112/$E$7),0)</f>
        <v>0</v>
      </c>
      <c r="BC59" s="187">
        <f>IFERROR(('B3'!AB112/$E$7),0)</f>
        <v>0</v>
      </c>
      <c r="BD59" s="172">
        <f t="shared" si="63"/>
        <v>0</v>
      </c>
      <c r="BF59" s="181" t="s">
        <v>78</v>
      </c>
      <c r="BG59" s="142"/>
      <c r="BH59" s="137">
        <f>IFERROR(('B4'!S112/$E$7),0)</f>
        <v>0</v>
      </c>
      <c r="BI59" s="194">
        <f>IFERROR(('B4'!T112/$E$7),0)</f>
        <v>0</v>
      </c>
      <c r="BJ59" s="194">
        <f>IFERROR(('B4'!U112/$E$7),0)</f>
        <v>0</v>
      </c>
      <c r="BK59" s="194">
        <f>IFERROR(('B4'!V112/$E$7),0)</f>
        <v>0</v>
      </c>
      <c r="BL59" s="194">
        <f>IFERROR(('B4'!W112/$E$7),0)</f>
        <v>0</v>
      </c>
      <c r="BM59" s="194">
        <f>IFERROR(('B4'!X112/$E$7),0)</f>
        <v>0</v>
      </c>
      <c r="BN59" s="195">
        <f>IFERROR(('B4'!Y112/$E$7),0)</f>
        <v>0</v>
      </c>
      <c r="BO59" s="194">
        <f>IFERROR(('B4'!Z112/$E$7),0)</f>
        <v>0</v>
      </c>
      <c r="BP59" s="195">
        <f>IFERROR(('B4'!AA112/$E$7),0)</f>
        <v>0</v>
      </c>
      <c r="BQ59" s="195">
        <f>IFERROR(('B4'!AB112/$E$7),0)</f>
        <v>0</v>
      </c>
      <c r="BR59" s="172">
        <f t="shared" si="64"/>
        <v>0</v>
      </c>
      <c r="BT59" s="181" t="s">
        <v>78</v>
      </c>
      <c r="BU59" s="142"/>
      <c r="BV59" s="137">
        <f>IFERROR(('B5'!S112/$E$7),0)</f>
        <v>0</v>
      </c>
      <c r="BW59" s="194">
        <f>IFERROR(('B5'!T112/$E$7),0)</f>
        <v>0</v>
      </c>
      <c r="BX59" s="194">
        <f>IFERROR(('B5'!U112/$E$7),0)</f>
        <v>0</v>
      </c>
      <c r="BY59" s="194">
        <f>IFERROR(('B5'!V112/$E$7),0)</f>
        <v>0</v>
      </c>
      <c r="BZ59" s="194">
        <f>IFERROR(('B5'!W112/$E$7),0)</f>
        <v>0</v>
      </c>
      <c r="CA59" s="194">
        <f>IFERROR(('B5'!X112/$E$7),0)</f>
        <v>0</v>
      </c>
      <c r="CB59" s="195">
        <f>IFERROR(('B5'!Y112/$E$7),0)</f>
        <v>0</v>
      </c>
      <c r="CC59" s="194">
        <f>IFERROR(('B5'!Z112/$E$7),0)</f>
        <v>0</v>
      </c>
      <c r="CD59" s="195">
        <f>IFERROR(('B5'!AA112/$E$7),0)</f>
        <v>0</v>
      </c>
      <c r="CE59" s="195">
        <f>IFERROR(('B5'!AB112/$E$7),0)</f>
        <v>0</v>
      </c>
      <c r="CF59" s="172">
        <f t="shared" si="65"/>
        <v>0</v>
      </c>
    </row>
    <row r="60" spans="2:84">
      <c r="B60" s="182" t="s">
        <v>0</v>
      </c>
      <c r="C60" s="110"/>
      <c r="D60" s="21">
        <f>IFERROR(Total!D53/$E$7,0)</f>
        <v>0</v>
      </c>
      <c r="E60" s="189">
        <f>IFERROR(Total!E53/$E$7,0)</f>
        <v>0</v>
      </c>
      <c r="F60" s="189">
        <f>IFERROR(Total!F53/$E$7,0)</f>
        <v>0</v>
      </c>
      <c r="G60" s="189">
        <f>IFERROR(Total!G53/$E$7,0)</f>
        <v>0</v>
      </c>
      <c r="H60" s="189">
        <f>IFERROR(Total!H53/$E$7,0)</f>
        <v>0</v>
      </c>
      <c r="I60" s="189">
        <f>IFERROR(Total!I53/$E$7,0)</f>
        <v>0</v>
      </c>
      <c r="J60" s="190">
        <f>IFERROR(Total!J53/$E$7,0)</f>
        <v>0</v>
      </c>
      <c r="K60" s="189">
        <f>IFERROR(Total!K53/$E$7,0)</f>
        <v>0</v>
      </c>
      <c r="L60" s="190">
        <f>IFERROR(Total!L53/$E$7,0)</f>
        <v>0</v>
      </c>
      <c r="M60" s="190">
        <f>IFERROR(Total!M53/$E$7,0)</f>
        <v>0</v>
      </c>
      <c r="N60" s="172">
        <f t="shared" si="60"/>
        <v>0</v>
      </c>
      <c r="P60" s="182" t="s">
        <v>0</v>
      </c>
      <c r="Q60" s="110"/>
      <c r="R60" s="21">
        <f>IFERROR(('B1'!S113/$E$7),0)</f>
        <v>0</v>
      </c>
      <c r="S60" s="189">
        <f>IFERROR(('B1'!T113/$E$7),0)</f>
        <v>0</v>
      </c>
      <c r="T60" s="189">
        <f>IFERROR(('B1'!U113/$E$7),0)</f>
        <v>0</v>
      </c>
      <c r="U60" s="189">
        <f>IFERROR(('B1'!V113/$E$7),0)</f>
        <v>0</v>
      </c>
      <c r="V60" s="189">
        <f>IFERROR(('B1'!W113/$E$7),0)</f>
        <v>0</v>
      </c>
      <c r="W60" s="189">
        <f>IFERROR(('B1'!X113/$E$7),0)</f>
        <v>0</v>
      </c>
      <c r="X60" s="190">
        <f>IFERROR(('B1'!Y113/$E$7),0)</f>
        <v>0</v>
      </c>
      <c r="Y60" s="189">
        <f>IFERROR(('B1'!Z113/$E$7),0)</f>
        <v>0</v>
      </c>
      <c r="Z60" s="190">
        <f>IFERROR(('B1'!AA113/$E$7),0)</f>
        <v>0</v>
      </c>
      <c r="AA60" s="190">
        <f>IFERROR(('B1'!AB113/$E$7),0)</f>
        <v>0</v>
      </c>
      <c r="AB60" s="172">
        <f t="shared" si="61"/>
        <v>0</v>
      </c>
      <c r="AD60" s="182" t="s">
        <v>0</v>
      </c>
      <c r="AE60" s="110"/>
      <c r="AF60" s="21">
        <f>IFERROR(('B2'!S113/$E$7),0)</f>
        <v>0</v>
      </c>
      <c r="AG60" s="189">
        <f>IFERROR(('B2'!T113/$E$7),0)</f>
        <v>0</v>
      </c>
      <c r="AH60" s="189">
        <f>IFERROR(('B2'!U113/$E$7),0)</f>
        <v>0</v>
      </c>
      <c r="AI60" s="189">
        <f>IFERROR(('B2'!V113/$E$7),0)</f>
        <v>0</v>
      </c>
      <c r="AJ60" s="189">
        <f>IFERROR(('B2'!W113/$E$7),0)</f>
        <v>0</v>
      </c>
      <c r="AK60" s="189">
        <f>IFERROR(('B2'!X113/$E$7),0)</f>
        <v>0</v>
      </c>
      <c r="AL60" s="190">
        <f>IFERROR(('B2'!Y113/$E$7),0)</f>
        <v>0</v>
      </c>
      <c r="AM60" s="189">
        <f>IFERROR(('B2'!Z113/$E$7),0)</f>
        <v>0</v>
      </c>
      <c r="AN60" s="190">
        <f>IFERROR(('B2'!AA113/$E$7),0)</f>
        <v>0</v>
      </c>
      <c r="AO60" s="190">
        <f>IFERROR(('B2'!AB113/$E$7),0)</f>
        <v>0</v>
      </c>
      <c r="AP60" s="172">
        <f t="shared" si="62"/>
        <v>0</v>
      </c>
      <c r="AR60" s="182" t="s">
        <v>0</v>
      </c>
      <c r="AS60" s="110"/>
      <c r="AT60" s="21">
        <f>IFERROR(('B3'!S113/$E$7),0)</f>
        <v>0</v>
      </c>
      <c r="AU60" s="189">
        <f>IFERROR(('B3'!T113/$E$7),0)</f>
        <v>0</v>
      </c>
      <c r="AV60" s="189">
        <f>IFERROR(('B3'!U113/$E$7),0)</f>
        <v>0</v>
      </c>
      <c r="AW60" s="189">
        <f>IFERROR(('B3'!V113/$E$7),0)</f>
        <v>0</v>
      </c>
      <c r="AX60" s="189">
        <f>IFERROR(('B3'!W113/$E$7),0)</f>
        <v>0</v>
      </c>
      <c r="AY60" s="189">
        <f>IFERROR(('B3'!X113/$E$7),0)</f>
        <v>0</v>
      </c>
      <c r="AZ60" s="190">
        <f>IFERROR(('B3'!Y113/$E$7),0)</f>
        <v>0</v>
      </c>
      <c r="BA60" s="189">
        <f>IFERROR(('B3'!Z113/$E$7),0)</f>
        <v>0</v>
      </c>
      <c r="BB60" s="189">
        <f>IFERROR(('B3'!AA113/$E$7),0)</f>
        <v>0</v>
      </c>
      <c r="BC60" s="189">
        <f>IFERROR(('B3'!AB113/$E$7),0)</f>
        <v>0</v>
      </c>
      <c r="BD60" s="172">
        <f t="shared" si="63"/>
        <v>0</v>
      </c>
      <c r="BF60" s="182" t="s">
        <v>0</v>
      </c>
      <c r="BG60" s="110"/>
      <c r="BH60" s="21">
        <f>IFERROR(('B4'!S113/$E$7),0)</f>
        <v>0</v>
      </c>
      <c r="BI60" s="189">
        <f>IFERROR(('B4'!T113/$E$7),0)</f>
        <v>0</v>
      </c>
      <c r="BJ60" s="189">
        <f>IFERROR(('B4'!U113/$E$7),0)</f>
        <v>0</v>
      </c>
      <c r="BK60" s="189">
        <f>IFERROR(('B4'!V113/$E$7),0)</f>
        <v>0</v>
      </c>
      <c r="BL60" s="189">
        <f>IFERROR(('B4'!W113/$E$7),0)</f>
        <v>0</v>
      </c>
      <c r="BM60" s="189">
        <f>IFERROR(('B4'!X113/$E$7),0)</f>
        <v>0</v>
      </c>
      <c r="BN60" s="190">
        <f>IFERROR(('B4'!Y113/$E$7),0)</f>
        <v>0</v>
      </c>
      <c r="BO60" s="189">
        <f>IFERROR(('B4'!Z113/$E$7),0)</f>
        <v>0</v>
      </c>
      <c r="BP60" s="190">
        <f>IFERROR(('B4'!AA113/$E$7),0)</f>
        <v>0</v>
      </c>
      <c r="BQ60" s="190">
        <f>IFERROR(('B4'!AB113/$E$7),0)</f>
        <v>0</v>
      </c>
      <c r="BR60" s="172">
        <f t="shared" si="64"/>
        <v>0</v>
      </c>
      <c r="BT60" s="182" t="s">
        <v>0</v>
      </c>
      <c r="BU60" s="110"/>
      <c r="BV60" s="21">
        <f>IFERROR(('B5'!S113/$E$7),0)</f>
        <v>0</v>
      </c>
      <c r="BW60" s="189">
        <f>IFERROR(('B5'!T113/$E$7),0)</f>
        <v>0</v>
      </c>
      <c r="BX60" s="189">
        <f>IFERROR(('B5'!U113/$E$7),0)</f>
        <v>0</v>
      </c>
      <c r="BY60" s="189">
        <f>IFERROR(('B5'!V113/$E$7),0)</f>
        <v>0</v>
      </c>
      <c r="BZ60" s="189">
        <f>IFERROR(('B5'!W113/$E$7),0)</f>
        <v>0</v>
      </c>
      <c r="CA60" s="189">
        <f>IFERROR(('B5'!X113/$E$7),0)</f>
        <v>0</v>
      </c>
      <c r="CB60" s="190">
        <f>IFERROR(('B5'!Y113/$E$7),0)</f>
        <v>0</v>
      </c>
      <c r="CC60" s="189">
        <f>IFERROR(('B5'!Z113/$E$7),0)</f>
        <v>0</v>
      </c>
      <c r="CD60" s="190">
        <f>IFERROR(('B5'!AA113/$E$7),0)</f>
        <v>0</v>
      </c>
      <c r="CE60" s="190">
        <f>IFERROR(('B5'!AB113/$E$7),0)</f>
        <v>0</v>
      </c>
      <c r="CF60" s="172">
        <f t="shared" si="65"/>
        <v>0</v>
      </c>
    </row>
    <row r="61" spans="2:84">
      <c r="B61" s="183" t="s">
        <v>103</v>
      </c>
      <c r="C61" s="110"/>
      <c r="D61" s="21">
        <f>IFERROR(Total!D54/$E$7,0)</f>
        <v>0</v>
      </c>
      <c r="E61" s="21">
        <f>IFERROR(Total!E54/$E$7,0)</f>
        <v>0</v>
      </c>
      <c r="F61" s="21">
        <f>IFERROR(Total!F54/$E$7,0)</f>
        <v>0</v>
      </c>
      <c r="G61" s="21">
        <f>IFERROR(Total!G54/$E$7,0)</f>
        <v>0</v>
      </c>
      <c r="H61" s="21">
        <f>IFERROR(Total!H54/$E$7,0)</f>
        <v>0</v>
      </c>
      <c r="I61" s="21">
        <f>IFERROR(Total!I54/$E$7,0)</f>
        <v>0</v>
      </c>
      <c r="J61" s="110">
        <f>IFERROR(Total!J54/$E$7,0)</f>
        <v>0</v>
      </c>
      <c r="K61" s="21">
        <f>IFERROR(Total!K54/$E$7,0)</f>
        <v>0</v>
      </c>
      <c r="L61" s="110">
        <f>IFERROR(Total!L54/$E$7,0)</f>
        <v>0</v>
      </c>
      <c r="M61" s="110">
        <f>IFERROR(Total!M54/$E$7,0)</f>
        <v>0</v>
      </c>
      <c r="N61" s="172">
        <f t="shared" si="60"/>
        <v>0</v>
      </c>
      <c r="P61" s="183" t="s">
        <v>96</v>
      </c>
      <c r="Q61" s="110"/>
      <c r="R61" s="21">
        <f>IFERROR(('B1'!S114/$E$7),0)</f>
        <v>0</v>
      </c>
      <c r="S61" s="21">
        <f>IFERROR(('B1'!T114/$E$7),0)</f>
        <v>0</v>
      </c>
      <c r="T61" s="21">
        <f>IFERROR(('B1'!U114/$E$7),0)</f>
        <v>0</v>
      </c>
      <c r="U61" s="21">
        <f>IFERROR(('B1'!V114/$E$7),0)</f>
        <v>0</v>
      </c>
      <c r="V61" s="21">
        <f>IFERROR(('B1'!W114/$E$7),0)</f>
        <v>0</v>
      </c>
      <c r="W61" s="21">
        <f>IFERROR(('B1'!X114/$E$7),0)</f>
        <v>0</v>
      </c>
      <c r="X61" s="110">
        <f>IFERROR(('B1'!Y114/$E$7),0)</f>
        <v>0</v>
      </c>
      <c r="Y61" s="21">
        <f>IFERROR(('B1'!Z114/$E$7),0)</f>
        <v>0</v>
      </c>
      <c r="Z61" s="110">
        <f>IFERROR(('B1'!AA114/$E$7),0)</f>
        <v>0</v>
      </c>
      <c r="AA61" s="110">
        <f>IFERROR(('B1'!AB114/$E$7),0)</f>
        <v>0</v>
      </c>
      <c r="AB61" s="172">
        <f t="shared" si="61"/>
        <v>0</v>
      </c>
      <c r="AD61" s="183" t="s">
        <v>96</v>
      </c>
      <c r="AE61" s="110"/>
      <c r="AF61" s="21">
        <f>IFERROR(('B2'!S114/$E$7),0)</f>
        <v>0</v>
      </c>
      <c r="AG61" s="21">
        <f>IFERROR(('B2'!T114/$E$7),0)</f>
        <v>0</v>
      </c>
      <c r="AH61" s="21">
        <f>IFERROR(('B2'!U114/$E$7),0)</f>
        <v>0</v>
      </c>
      <c r="AI61" s="21">
        <f>IFERROR(('B2'!V114/$E$7),0)</f>
        <v>0</v>
      </c>
      <c r="AJ61" s="21">
        <f>IFERROR(('B2'!W114/$E$7),0)</f>
        <v>0</v>
      </c>
      <c r="AK61" s="21">
        <f>IFERROR(('B2'!X114/$E$7),0)</f>
        <v>0</v>
      </c>
      <c r="AL61" s="110">
        <f>IFERROR(('B2'!Y114/$E$7),0)</f>
        <v>0</v>
      </c>
      <c r="AM61" s="21">
        <f>IFERROR(('B2'!Z114/$E$7),0)</f>
        <v>0</v>
      </c>
      <c r="AN61" s="110">
        <f>IFERROR(('B2'!AA114/$E$7),0)</f>
        <v>0</v>
      </c>
      <c r="AO61" s="110">
        <f>IFERROR(('B2'!AB114/$E$7),0)</f>
        <v>0</v>
      </c>
      <c r="AP61" s="172">
        <f t="shared" si="62"/>
        <v>0</v>
      </c>
      <c r="AR61" s="183" t="s">
        <v>96</v>
      </c>
      <c r="AS61" s="110"/>
      <c r="AT61" s="21">
        <f>IFERROR(('B3'!S114/$E$7),0)</f>
        <v>0</v>
      </c>
      <c r="AU61" s="21">
        <f>IFERROR(('B3'!T114/$E$7),0)</f>
        <v>0</v>
      </c>
      <c r="AV61" s="21">
        <f>IFERROR(('B3'!U114/$E$7),0)</f>
        <v>0</v>
      </c>
      <c r="AW61" s="21">
        <f>IFERROR(('B3'!V114/$E$7),0)</f>
        <v>0</v>
      </c>
      <c r="AX61" s="21">
        <f>IFERROR(('B3'!W114/$E$7),0)</f>
        <v>0</v>
      </c>
      <c r="AY61" s="21">
        <f>IFERROR(('B3'!X114/$E$7),0)</f>
        <v>0</v>
      </c>
      <c r="AZ61" s="110">
        <f>IFERROR(('B3'!Y114/$E$7),0)</f>
        <v>0</v>
      </c>
      <c r="BA61" s="21">
        <f>IFERROR(('B3'!Z114/$E$7),0)</f>
        <v>0</v>
      </c>
      <c r="BB61" s="21">
        <f>IFERROR(('B3'!AA114/$E$7),0)</f>
        <v>0</v>
      </c>
      <c r="BC61" s="21">
        <f>IFERROR(('B3'!AB114/$E$7),0)</f>
        <v>0</v>
      </c>
      <c r="BD61" s="172">
        <f t="shared" si="63"/>
        <v>0</v>
      </c>
      <c r="BF61" s="183" t="s">
        <v>96</v>
      </c>
      <c r="BG61" s="110"/>
      <c r="BH61" s="21">
        <f>IFERROR(('B4'!S114/$E$7),0)</f>
        <v>0</v>
      </c>
      <c r="BI61" s="21">
        <f>IFERROR(('B4'!T114/$E$7),0)</f>
        <v>0</v>
      </c>
      <c r="BJ61" s="21">
        <f>IFERROR(('B4'!U114/$E$7),0)</f>
        <v>0</v>
      </c>
      <c r="BK61" s="21">
        <f>IFERROR(('B4'!V114/$E$7),0)</f>
        <v>0</v>
      </c>
      <c r="BL61" s="21">
        <f>IFERROR(('B4'!W114/$E$7),0)</f>
        <v>0</v>
      </c>
      <c r="BM61" s="21">
        <f>IFERROR(('B4'!X114/$E$7),0)</f>
        <v>0</v>
      </c>
      <c r="BN61" s="110">
        <f>IFERROR(('B4'!Y114/$E$7),0)</f>
        <v>0</v>
      </c>
      <c r="BO61" s="21">
        <f>IFERROR(('B4'!Z114/$E$7),0)</f>
        <v>0</v>
      </c>
      <c r="BP61" s="110">
        <f>IFERROR(('B4'!AA114/$E$7),0)</f>
        <v>0</v>
      </c>
      <c r="BQ61" s="110">
        <f>IFERROR(('B4'!AB114/$E$7),0)</f>
        <v>0</v>
      </c>
      <c r="BR61" s="172">
        <f t="shared" si="64"/>
        <v>0</v>
      </c>
      <c r="BT61" s="183" t="s">
        <v>96</v>
      </c>
      <c r="BU61" s="110"/>
      <c r="BV61" s="21">
        <f>IFERROR(('B5'!S114/$E$7),0)</f>
        <v>0</v>
      </c>
      <c r="BW61" s="21">
        <f>IFERROR(('B5'!T114/$E$7),0)</f>
        <v>0</v>
      </c>
      <c r="BX61" s="21">
        <f>IFERROR(('B5'!U114/$E$7),0)</f>
        <v>0</v>
      </c>
      <c r="BY61" s="21">
        <f>IFERROR(('B5'!V114/$E$7),0)</f>
        <v>0</v>
      </c>
      <c r="BZ61" s="21">
        <f>IFERROR(('B5'!W114/$E$7),0)</f>
        <v>0</v>
      </c>
      <c r="CA61" s="21">
        <f>IFERROR(('B5'!X114/$E$7),0)</f>
        <v>0</v>
      </c>
      <c r="CB61" s="110">
        <f>IFERROR(('B5'!Y114/$E$7),0)</f>
        <v>0</v>
      </c>
      <c r="CC61" s="21">
        <f>IFERROR(('B5'!Z114/$E$7),0)</f>
        <v>0</v>
      </c>
      <c r="CD61" s="110">
        <f>IFERROR(('B5'!AA114/$E$7),0)</f>
        <v>0</v>
      </c>
      <c r="CE61" s="110">
        <f>IFERROR(('B5'!AB114/$E$7),0)</f>
        <v>0</v>
      </c>
      <c r="CF61" s="172">
        <f t="shared" si="65"/>
        <v>0</v>
      </c>
    </row>
    <row r="62" spans="2:84">
      <c r="B62" s="183" t="s">
        <v>108</v>
      </c>
      <c r="C62" s="110"/>
      <c r="D62" s="21">
        <f>IFERROR(Total!D55/$E$7,0)</f>
        <v>0</v>
      </c>
      <c r="E62" s="21">
        <f>IFERROR(Total!E55/$E$7,0)</f>
        <v>0</v>
      </c>
      <c r="F62" s="21">
        <f>IFERROR(Total!F55/$E$7,0)</f>
        <v>0</v>
      </c>
      <c r="G62" s="21">
        <f>IFERROR(Total!G55/$E$7,0)</f>
        <v>0</v>
      </c>
      <c r="H62" s="21">
        <f>IFERROR(Total!H55/$E$7,0)</f>
        <v>0</v>
      </c>
      <c r="I62" s="21">
        <f>IFERROR(Total!I55/$E$7,0)</f>
        <v>0</v>
      </c>
      <c r="J62" s="21">
        <f>IFERROR(Total!J55/$E$7,0)</f>
        <v>0</v>
      </c>
      <c r="K62" s="21">
        <f>IFERROR(Total!K55/$E$7,0)</f>
        <v>0</v>
      </c>
      <c r="L62" s="110">
        <f>IFERROR(Total!L55/$E$7,0)</f>
        <v>0</v>
      </c>
      <c r="M62" s="110">
        <f>IFERROR(Total!M55/$E$7,0)</f>
        <v>0</v>
      </c>
      <c r="N62" s="172">
        <f t="shared" si="60"/>
        <v>0</v>
      </c>
      <c r="P62" s="183" t="s">
        <v>108</v>
      </c>
      <c r="Q62" s="110"/>
      <c r="R62" s="21">
        <f>IFERROR(('B1'!S115/$E$7),0)</f>
        <v>0</v>
      </c>
      <c r="S62" s="21">
        <f>IFERROR(('B1'!T115/$E$7),0)</f>
        <v>0</v>
      </c>
      <c r="T62" s="21">
        <f>IFERROR(('B1'!U115/$E$7),0)</f>
        <v>0</v>
      </c>
      <c r="U62" s="21">
        <f>IFERROR(('B1'!V115/$E$7),0)</f>
        <v>0</v>
      </c>
      <c r="V62" s="21">
        <f>IFERROR(('B1'!W115/$E$7),0)</f>
        <v>0</v>
      </c>
      <c r="W62" s="21">
        <f>IFERROR(('B1'!X115/$E$7),0)</f>
        <v>0</v>
      </c>
      <c r="X62" s="21">
        <f>IFERROR(('B1'!Y115/$E$7),0)</f>
        <v>0</v>
      </c>
      <c r="Y62" s="21">
        <f>IFERROR(('B1'!Z115/$E$7),0)</f>
        <v>0</v>
      </c>
      <c r="Z62" s="110">
        <f>IFERROR(('B1'!AA115/$E$7),0)</f>
        <v>0</v>
      </c>
      <c r="AA62" s="110">
        <f>IFERROR(('B1'!AB115/$E$7),0)</f>
        <v>0</v>
      </c>
      <c r="AB62" s="172">
        <f t="shared" si="61"/>
        <v>0</v>
      </c>
      <c r="AD62" s="183" t="s">
        <v>108</v>
      </c>
      <c r="AE62" s="110"/>
      <c r="AF62" s="21">
        <f>IFERROR(('B2'!S115/$E$7),0)</f>
        <v>0</v>
      </c>
      <c r="AG62" s="21">
        <f>IFERROR(('B2'!T115/$E$7),0)</f>
        <v>0</v>
      </c>
      <c r="AH62" s="21">
        <f>IFERROR(('B2'!U115/$E$7),0)</f>
        <v>0</v>
      </c>
      <c r="AI62" s="21">
        <f>IFERROR(('B2'!V115/$E$7),0)</f>
        <v>0</v>
      </c>
      <c r="AJ62" s="21">
        <f>IFERROR(('B2'!W115/$E$7),0)</f>
        <v>0</v>
      </c>
      <c r="AK62" s="21">
        <f>IFERROR(('B2'!X115/$E$7),0)</f>
        <v>0</v>
      </c>
      <c r="AL62" s="21">
        <f>IFERROR(('B2'!Y115/$E$7),0)</f>
        <v>0</v>
      </c>
      <c r="AM62" s="21">
        <f>IFERROR(('B2'!Z115/$E$7),0)</f>
        <v>0</v>
      </c>
      <c r="AN62" s="110">
        <f>IFERROR(('B2'!AA115/$E$7),0)</f>
        <v>0</v>
      </c>
      <c r="AO62" s="110">
        <f>IFERROR(('B2'!AB115/$E$7),0)</f>
        <v>0</v>
      </c>
      <c r="AP62" s="172">
        <f t="shared" si="62"/>
        <v>0</v>
      </c>
      <c r="AR62" s="183" t="s">
        <v>108</v>
      </c>
      <c r="AS62" s="110"/>
      <c r="AT62" s="21">
        <f>IFERROR(('B3'!S115/$E$7),0)</f>
        <v>0</v>
      </c>
      <c r="AU62" s="21">
        <f>IFERROR(('B3'!T115/$E$7),0)</f>
        <v>0</v>
      </c>
      <c r="AV62" s="21">
        <f>IFERROR(('B3'!U115/$E$7),0)</f>
        <v>0</v>
      </c>
      <c r="AW62" s="21">
        <f>IFERROR(('B3'!V115/$E$7),0)</f>
        <v>0</v>
      </c>
      <c r="AX62" s="21">
        <f>IFERROR(('B3'!W115/$E$7),0)</f>
        <v>0</v>
      </c>
      <c r="AY62" s="21">
        <f>IFERROR(('B3'!X115/$E$7),0)</f>
        <v>0</v>
      </c>
      <c r="AZ62" s="21">
        <f>IFERROR(('B3'!Y115/$E$7),0)</f>
        <v>0</v>
      </c>
      <c r="BA62" s="21">
        <f>IFERROR(('B3'!Z115/$E$7),0)</f>
        <v>0</v>
      </c>
      <c r="BB62" s="21">
        <f>IFERROR(('B3'!AA115/$E$7),0)</f>
        <v>0</v>
      </c>
      <c r="BC62" s="21">
        <f>IFERROR(('B3'!AB115/$E$7),0)</f>
        <v>0</v>
      </c>
      <c r="BD62" s="172">
        <f t="shared" si="63"/>
        <v>0</v>
      </c>
      <c r="BF62" s="183" t="s">
        <v>108</v>
      </c>
      <c r="BG62" s="110"/>
      <c r="BH62" s="21">
        <f>IFERROR(('B4'!S115/$E$7),0)</f>
        <v>0</v>
      </c>
      <c r="BI62" s="21">
        <f>IFERROR(('B4'!T115/$E$7),0)</f>
        <v>0</v>
      </c>
      <c r="BJ62" s="21">
        <f>IFERROR(('B4'!U115/$E$7),0)</f>
        <v>0</v>
      </c>
      <c r="BK62" s="21">
        <f>IFERROR(('B4'!V115/$E$7),0)</f>
        <v>0</v>
      </c>
      <c r="BL62" s="21">
        <f>IFERROR(('B4'!W115/$E$7),0)</f>
        <v>0</v>
      </c>
      <c r="BM62" s="21">
        <f>IFERROR(('B4'!X115/$E$7),0)</f>
        <v>0</v>
      </c>
      <c r="BN62" s="21">
        <f>IFERROR(('B4'!Y115/$E$7),0)</f>
        <v>0</v>
      </c>
      <c r="BO62" s="21">
        <f>IFERROR(('B4'!Z115/$E$7),0)</f>
        <v>0</v>
      </c>
      <c r="BP62" s="110">
        <f>IFERROR(('B4'!AA115/$E$7),0)</f>
        <v>0</v>
      </c>
      <c r="BQ62" s="110">
        <f>IFERROR(('B4'!AB115/$E$7),0)</f>
        <v>0</v>
      </c>
      <c r="BR62" s="172">
        <f t="shared" si="64"/>
        <v>0</v>
      </c>
      <c r="BT62" s="183" t="s">
        <v>108</v>
      </c>
      <c r="BU62" s="110"/>
      <c r="BV62" s="21">
        <f>IFERROR(('B5'!S115/$E$7),0)</f>
        <v>0</v>
      </c>
      <c r="BW62" s="21">
        <f>IFERROR(('B5'!T115/$E$7),0)</f>
        <v>0</v>
      </c>
      <c r="BX62" s="21">
        <f>IFERROR(('B5'!U115/$E$7),0)</f>
        <v>0</v>
      </c>
      <c r="BY62" s="21">
        <f>IFERROR(('B5'!V115/$E$7),0)</f>
        <v>0</v>
      </c>
      <c r="BZ62" s="21">
        <f>IFERROR(('B5'!W115/$E$7),0)</f>
        <v>0</v>
      </c>
      <c r="CA62" s="21">
        <f>IFERROR(('B5'!X115/$E$7),0)</f>
        <v>0</v>
      </c>
      <c r="CB62" s="21">
        <f>IFERROR(('B5'!Y115/$E$7),0)</f>
        <v>0</v>
      </c>
      <c r="CC62" s="21">
        <f>IFERROR(('B5'!Z115/$E$7),0)</f>
        <v>0</v>
      </c>
      <c r="CD62" s="110">
        <f>IFERROR(('B5'!AA115/$E$7),0)</f>
        <v>0</v>
      </c>
      <c r="CE62" s="110">
        <f>IFERROR(('B5'!AB115/$E$7),0)</f>
        <v>0</v>
      </c>
      <c r="CF62" s="172">
        <f t="shared" si="65"/>
        <v>0</v>
      </c>
    </row>
    <row r="63" spans="2:84">
      <c r="B63" s="182" t="s">
        <v>531</v>
      </c>
      <c r="C63" s="110"/>
      <c r="D63" s="21">
        <f>IFERROR(Total!D56/$E$7,0)</f>
        <v>0</v>
      </c>
      <c r="E63" s="21">
        <f>IFERROR(Total!E56/$E$7,0)</f>
        <v>0</v>
      </c>
      <c r="F63" s="21">
        <f>IFERROR(Total!F56/$E$7,0)</f>
        <v>0</v>
      </c>
      <c r="G63" s="21">
        <f>IFERROR(Total!G56/$E$7,0)</f>
        <v>0</v>
      </c>
      <c r="H63" s="21">
        <f>IFERROR(Total!H56/$E$7,0)</f>
        <v>0</v>
      </c>
      <c r="I63" s="21">
        <f>IFERROR(Total!I56/$E$7,0)</f>
        <v>0</v>
      </c>
      <c r="J63" s="21">
        <f>IFERROR(Total!J56/$E$7,0)</f>
        <v>0</v>
      </c>
      <c r="K63" s="21">
        <f>IFERROR(Total!K56/$E$7,0)</f>
        <v>0</v>
      </c>
      <c r="L63" s="110">
        <f>IFERROR(Total!L56/$E$7,0)</f>
        <v>0</v>
      </c>
      <c r="M63" s="110">
        <f>IFERROR(Total!M56/$E$7,0)</f>
        <v>0</v>
      </c>
      <c r="N63" s="172">
        <f t="shared" si="60"/>
        <v>0</v>
      </c>
      <c r="P63" s="182" t="s">
        <v>531</v>
      </c>
      <c r="Q63" s="110"/>
      <c r="R63" s="21">
        <f>IFERROR(('B1'!S116/$E$7),0)</f>
        <v>0</v>
      </c>
      <c r="S63" s="21">
        <f>IFERROR(('B1'!T116/$E$7),0)</f>
        <v>0</v>
      </c>
      <c r="T63" s="21">
        <f>IFERROR(('B1'!U116/$E$7),0)</f>
        <v>0</v>
      </c>
      <c r="U63" s="21">
        <f>IFERROR(('B1'!V116/$E$7),0)</f>
        <v>0</v>
      </c>
      <c r="V63" s="21">
        <f>IFERROR(('B1'!W116/$E$7),0)</f>
        <v>0</v>
      </c>
      <c r="W63" s="21">
        <f>IFERROR(('B1'!X116/$E$7),0)</f>
        <v>0</v>
      </c>
      <c r="X63" s="21">
        <f>IFERROR(('B1'!Y116/$E$7),0)</f>
        <v>0</v>
      </c>
      <c r="Y63" s="21">
        <f>IFERROR(('B1'!Z116/$E$7),0)</f>
        <v>0</v>
      </c>
      <c r="Z63" s="110">
        <f>IFERROR(('B1'!AA116/$E$7),0)</f>
        <v>0</v>
      </c>
      <c r="AA63" s="110">
        <f>IFERROR(('B1'!AB116/$E$7),0)</f>
        <v>0</v>
      </c>
      <c r="AB63" s="172">
        <f t="shared" si="61"/>
        <v>0</v>
      </c>
      <c r="AD63" s="182" t="s">
        <v>531</v>
      </c>
      <c r="AE63" s="110"/>
      <c r="AF63" s="21">
        <f>IFERROR(('B2'!S116/$E$7),0)</f>
        <v>0</v>
      </c>
      <c r="AG63" s="21">
        <f>IFERROR(('B2'!T116/$E$7),0)</f>
        <v>0</v>
      </c>
      <c r="AH63" s="21">
        <f>IFERROR(('B2'!U116/$E$7),0)</f>
        <v>0</v>
      </c>
      <c r="AI63" s="21">
        <f>IFERROR(('B2'!V116/$E$7),0)</f>
        <v>0</v>
      </c>
      <c r="AJ63" s="21">
        <f>IFERROR(('B2'!W116/$E$7),0)</f>
        <v>0</v>
      </c>
      <c r="AK63" s="21">
        <f>IFERROR(('B2'!X116/$E$7),0)</f>
        <v>0</v>
      </c>
      <c r="AL63" s="21">
        <f>IFERROR(('B2'!Y116/$E$7),0)</f>
        <v>0</v>
      </c>
      <c r="AM63" s="21">
        <f>IFERROR(('B2'!Z116/$E$7),0)</f>
        <v>0</v>
      </c>
      <c r="AN63" s="110">
        <f>IFERROR(('B2'!AA116/$E$7),0)</f>
        <v>0</v>
      </c>
      <c r="AO63" s="110">
        <f>IFERROR(('B2'!AB116/$E$7),0)</f>
        <v>0</v>
      </c>
      <c r="AP63" s="172">
        <f t="shared" si="62"/>
        <v>0</v>
      </c>
      <c r="AR63" s="182" t="s">
        <v>531</v>
      </c>
      <c r="AS63" s="110"/>
      <c r="AT63" s="21">
        <f>IFERROR(('B3'!S116/$E$7),0)</f>
        <v>0</v>
      </c>
      <c r="AU63" s="21">
        <f>IFERROR(('B3'!T116/$E$7),0)</f>
        <v>0</v>
      </c>
      <c r="AV63" s="21">
        <f>IFERROR(('B3'!U116/$E$7),0)</f>
        <v>0</v>
      </c>
      <c r="AW63" s="21">
        <f>IFERROR(('B3'!V116/$E$7),0)</f>
        <v>0</v>
      </c>
      <c r="AX63" s="21">
        <f>IFERROR(('B3'!W116/$E$7),0)</f>
        <v>0</v>
      </c>
      <c r="AY63" s="21">
        <f>IFERROR(('B3'!X116/$E$7),0)</f>
        <v>0</v>
      </c>
      <c r="AZ63" s="21">
        <f>IFERROR(('B3'!Y116/$E$7),0)</f>
        <v>0</v>
      </c>
      <c r="BA63" s="21">
        <f>IFERROR(('B3'!Z116/$E$7),0)</f>
        <v>0</v>
      </c>
      <c r="BB63" s="21">
        <f>IFERROR(('B3'!AA116/$E$7),0)</f>
        <v>0</v>
      </c>
      <c r="BC63" s="21">
        <f>IFERROR(('B3'!AB116/$E$7),0)</f>
        <v>0</v>
      </c>
      <c r="BD63" s="172">
        <f t="shared" si="63"/>
        <v>0</v>
      </c>
      <c r="BF63" s="182" t="s">
        <v>531</v>
      </c>
      <c r="BG63" s="110"/>
      <c r="BH63" s="21">
        <f>IFERROR(('B4'!S116/$E$7),0)</f>
        <v>0</v>
      </c>
      <c r="BI63" s="21">
        <f>IFERROR(('B4'!T116/$E$7),0)</f>
        <v>0</v>
      </c>
      <c r="BJ63" s="21">
        <f>IFERROR(('B4'!U116/$E$7),0)</f>
        <v>0</v>
      </c>
      <c r="BK63" s="21">
        <f>IFERROR(('B4'!V116/$E$7),0)</f>
        <v>0</v>
      </c>
      <c r="BL63" s="21">
        <f>IFERROR(('B4'!W116/$E$7),0)</f>
        <v>0</v>
      </c>
      <c r="BM63" s="21">
        <f>IFERROR(('B4'!X116/$E$7),0)</f>
        <v>0</v>
      </c>
      <c r="BN63" s="21">
        <f>IFERROR(('B4'!Y116/$E$7),0)</f>
        <v>0</v>
      </c>
      <c r="BO63" s="21">
        <f>IFERROR(('B4'!Z116/$E$7),0)</f>
        <v>0</v>
      </c>
      <c r="BP63" s="110">
        <f>IFERROR(('B4'!AA116/$E$7),0)</f>
        <v>0</v>
      </c>
      <c r="BQ63" s="110">
        <f>IFERROR(('B4'!AB116/$E$7),0)</f>
        <v>0</v>
      </c>
      <c r="BR63" s="172">
        <f t="shared" si="64"/>
        <v>0</v>
      </c>
      <c r="BT63" s="182" t="s">
        <v>531</v>
      </c>
      <c r="BU63" s="110"/>
      <c r="BV63" s="21">
        <f>IFERROR(('B5'!S116/$E$7),0)</f>
        <v>0</v>
      </c>
      <c r="BW63" s="21">
        <f>IFERROR(('B5'!T116/$E$7),0)</f>
        <v>0</v>
      </c>
      <c r="BX63" s="21">
        <f>IFERROR(('B5'!U116/$E$7),0)</f>
        <v>0</v>
      </c>
      <c r="BY63" s="21">
        <f>IFERROR(('B5'!V116/$E$7),0)</f>
        <v>0</v>
      </c>
      <c r="BZ63" s="21">
        <f>IFERROR(('B5'!W116/$E$7),0)</f>
        <v>0</v>
      </c>
      <c r="CA63" s="21">
        <f>IFERROR(('B5'!X116/$E$7),0)</f>
        <v>0</v>
      </c>
      <c r="CB63" s="21">
        <f>IFERROR(('B5'!Y116/$E$7),0)</f>
        <v>0</v>
      </c>
      <c r="CC63" s="21">
        <f>IFERROR(('B5'!Z116/$E$7),0)</f>
        <v>0</v>
      </c>
      <c r="CD63" s="110">
        <f>IFERROR(('B5'!AA116/$E$7),0)</f>
        <v>0</v>
      </c>
      <c r="CE63" s="110">
        <f>IFERROR(('B5'!AB116/$E$7),0)</f>
        <v>0</v>
      </c>
      <c r="CF63" s="172">
        <f t="shared" si="65"/>
        <v>0</v>
      </c>
    </row>
    <row r="64" spans="2:84" ht="14.5" thickBot="1">
      <c r="B64" s="184" t="s">
        <v>101</v>
      </c>
      <c r="C64" s="185"/>
      <c r="D64" s="143">
        <f>+SUM(D59:D63)</f>
        <v>0</v>
      </c>
      <c r="E64" s="143">
        <f t="shared" ref="E64:K64" si="66">+SUM(E59:E63)</f>
        <v>0</v>
      </c>
      <c r="F64" s="143">
        <f t="shared" si="66"/>
        <v>0</v>
      </c>
      <c r="G64" s="143">
        <f t="shared" si="66"/>
        <v>0</v>
      </c>
      <c r="H64" s="143">
        <f t="shared" si="66"/>
        <v>0</v>
      </c>
      <c r="I64" s="143">
        <f t="shared" si="66"/>
        <v>0</v>
      </c>
      <c r="J64" s="143">
        <f t="shared" si="66"/>
        <v>0</v>
      </c>
      <c r="K64" s="143">
        <f t="shared" si="66"/>
        <v>0</v>
      </c>
      <c r="L64" s="185">
        <f>+SUM(L59:L63)</f>
        <v>0</v>
      </c>
      <c r="M64" s="185">
        <f>+SUM(M59:M63)</f>
        <v>0</v>
      </c>
      <c r="N64" s="173">
        <f t="shared" si="60"/>
        <v>0</v>
      </c>
      <c r="P64" s="184" t="s">
        <v>101</v>
      </c>
      <c r="Q64" s="185"/>
      <c r="R64" s="143">
        <f>+SUM(R59:R63)</f>
        <v>0</v>
      </c>
      <c r="S64" s="143">
        <f t="shared" ref="S64:Y64" si="67">+SUM(S59:S63)</f>
        <v>0</v>
      </c>
      <c r="T64" s="143">
        <f t="shared" si="67"/>
        <v>0</v>
      </c>
      <c r="U64" s="143">
        <f t="shared" si="67"/>
        <v>0</v>
      </c>
      <c r="V64" s="143">
        <f t="shared" si="67"/>
        <v>0</v>
      </c>
      <c r="W64" s="143">
        <f t="shared" si="67"/>
        <v>0</v>
      </c>
      <c r="X64" s="143">
        <f t="shared" si="67"/>
        <v>0</v>
      </c>
      <c r="Y64" s="143">
        <f t="shared" si="67"/>
        <v>0</v>
      </c>
      <c r="Z64" s="185">
        <f>+SUM(Z59:Z63)</f>
        <v>0</v>
      </c>
      <c r="AA64" s="185">
        <f>+SUM(AA59:AA63)</f>
        <v>0</v>
      </c>
      <c r="AB64" s="173">
        <f t="shared" si="61"/>
        <v>0</v>
      </c>
      <c r="AD64" s="184" t="s">
        <v>101</v>
      </c>
      <c r="AE64" s="185"/>
      <c r="AF64" s="143">
        <f>+SUM(AF59:AF63)</f>
        <v>0</v>
      </c>
      <c r="AG64" s="143">
        <f t="shared" ref="AG64:AM64" si="68">+SUM(AG59:AG63)</f>
        <v>0</v>
      </c>
      <c r="AH64" s="143">
        <f t="shared" si="68"/>
        <v>0</v>
      </c>
      <c r="AI64" s="143">
        <f t="shared" si="68"/>
        <v>0</v>
      </c>
      <c r="AJ64" s="143">
        <f t="shared" si="68"/>
        <v>0</v>
      </c>
      <c r="AK64" s="143">
        <f t="shared" si="68"/>
        <v>0</v>
      </c>
      <c r="AL64" s="143">
        <f t="shared" si="68"/>
        <v>0</v>
      </c>
      <c r="AM64" s="143">
        <f t="shared" si="68"/>
        <v>0</v>
      </c>
      <c r="AN64" s="185">
        <f>+SUM(AN59:AN63)</f>
        <v>0</v>
      </c>
      <c r="AO64" s="185">
        <f>+SUM(AO59:AO63)</f>
        <v>0</v>
      </c>
      <c r="AP64" s="173">
        <f t="shared" si="62"/>
        <v>0</v>
      </c>
      <c r="AR64" s="184" t="s">
        <v>101</v>
      </c>
      <c r="AS64" s="185"/>
      <c r="AT64" s="143">
        <f>+SUM(AT59:AT63)</f>
        <v>0</v>
      </c>
      <c r="AU64" s="143">
        <f t="shared" ref="AU64:BA64" si="69">+SUM(AU59:AU63)</f>
        <v>0</v>
      </c>
      <c r="AV64" s="143">
        <f t="shared" si="69"/>
        <v>0</v>
      </c>
      <c r="AW64" s="143">
        <f t="shared" si="69"/>
        <v>0</v>
      </c>
      <c r="AX64" s="143">
        <f t="shared" si="69"/>
        <v>0</v>
      </c>
      <c r="AY64" s="143">
        <f t="shared" si="69"/>
        <v>0</v>
      </c>
      <c r="AZ64" s="143">
        <f t="shared" si="69"/>
        <v>0</v>
      </c>
      <c r="BA64" s="143">
        <f t="shared" si="69"/>
        <v>0</v>
      </c>
      <c r="BB64" s="185">
        <f>+SUM(BB59:BB63)</f>
        <v>0</v>
      </c>
      <c r="BC64" s="185">
        <f>+SUM(BC59:BC63)</f>
        <v>0</v>
      </c>
      <c r="BD64" s="173">
        <f t="shared" si="63"/>
        <v>0</v>
      </c>
      <c r="BF64" s="184" t="s">
        <v>101</v>
      </c>
      <c r="BG64" s="185"/>
      <c r="BH64" s="143">
        <f>+SUM(BH59:BH63)</f>
        <v>0</v>
      </c>
      <c r="BI64" s="143">
        <f t="shared" ref="BI64:BO64" si="70">+SUM(BI59:BI63)</f>
        <v>0</v>
      </c>
      <c r="BJ64" s="143">
        <f t="shared" si="70"/>
        <v>0</v>
      </c>
      <c r="BK64" s="143">
        <f t="shared" si="70"/>
        <v>0</v>
      </c>
      <c r="BL64" s="143">
        <f t="shared" si="70"/>
        <v>0</v>
      </c>
      <c r="BM64" s="143">
        <f t="shared" si="70"/>
        <v>0</v>
      </c>
      <c r="BN64" s="143">
        <f t="shared" si="70"/>
        <v>0</v>
      </c>
      <c r="BO64" s="143">
        <f t="shared" si="70"/>
        <v>0</v>
      </c>
      <c r="BP64" s="185">
        <f>+SUM(BP59:BP63)</f>
        <v>0</v>
      </c>
      <c r="BQ64" s="185">
        <f>+SUM(BQ59:BQ63)</f>
        <v>0</v>
      </c>
      <c r="BR64" s="173">
        <f t="shared" si="64"/>
        <v>0</v>
      </c>
      <c r="BT64" s="184" t="s">
        <v>101</v>
      </c>
      <c r="BU64" s="185"/>
      <c r="BV64" s="143">
        <f>+SUM(BV59:BV63)</f>
        <v>0</v>
      </c>
      <c r="BW64" s="143">
        <f t="shared" ref="BW64:CC64" si="71">+SUM(BW59:BW63)</f>
        <v>0</v>
      </c>
      <c r="BX64" s="143">
        <f t="shared" si="71"/>
        <v>0</v>
      </c>
      <c r="BY64" s="143">
        <f t="shared" si="71"/>
        <v>0</v>
      </c>
      <c r="BZ64" s="143">
        <f t="shared" si="71"/>
        <v>0</v>
      </c>
      <c r="CA64" s="143">
        <f t="shared" si="71"/>
        <v>0</v>
      </c>
      <c r="CB64" s="143">
        <f t="shared" si="71"/>
        <v>0</v>
      </c>
      <c r="CC64" s="143">
        <f t="shared" si="71"/>
        <v>0</v>
      </c>
      <c r="CD64" s="185">
        <f>+SUM(CD59:CD63)</f>
        <v>0</v>
      </c>
      <c r="CE64" s="185">
        <f>+SUM(CE59:CE63)</f>
        <v>0</v>
      </c>
      <c r="CF64" s="173">
        <f t="shared" si="65"/>
        <v>0</v>
      </c>
    </row>
    <row r="65" spans="2:84" ht="14.5" thickBot="1"/>
    <row r="66" spans="2:84" ht="18">
      <c r="B66" s="177" t="s">
        <v>606</v>
      </c>
      <c r="C66" s="192"/>
      <c r="D66" s="192"/>
      <c r="E66" s="192"/>
      <c r="F66" s="192"/>
      <c r="G66" s="192"/>
      <c r="H66" s="192"/>
      <c r="I66" s="192"/>
      <c r="J66" s="192"/>
      <c r="K66" s="192"/>
      <c r="L66" s="192"/>
      <c r="M66" s="192"/>
      <c r="N66" s="175"/>
      <c r="P66" s="177" t="s">
        <v>606</v>
      </c>
      <c r="Q66" s="192"/>
      <c r="R66" s="192"/>
      <c r="S66" s="192"/>
      <c r="T66" s="192"/>
      <c r="U66" s="192"/>
      <c r="V66" s="192"/>
      <c r="W66" s="192"/>
      <c r="X66" s="192"/>
      <c r="Y66" s="192"/>
      <c r="Z66" s="192"/>
      <c r="AA66" s="192"/>
      <c r="AB66" s="175"/>
      <c r="AD66" s="177" t="s">
        <v>606</v>
      </c>
      <c r="AE66" s="192"/>
      <c r="AF66" s="192"/>
      <c r="AG66" s="192"/>
      <c r="AH66" s="192"/>
      <c r="AI66" s="192"/>
      <c r="AJ66" s="192"/>
      <c r="AK66" s="192"/>
      <c r="AL66" s="192"/>
      <c r="AM66" s="192"/>
      <c r="AN66" s="192"/>
      <c r="AO66" s="192"/>
      <c r="AP66" s="175"/>
      <c r="AR66" s="177" t="s">
        <v>606</v>
      </c>
      <c r="AS66" s="192"/>
      <c r="AT66" s="192"/>
      <c r="AU66" s="192"/>
      <c r="AV66" s="192"/>
      <c r="AW66" s="192"/>
      <c r="AX66" s="192"/>
      <c r="AY66" s="192"/>
      <c r="AZ66" s="192"/>
      <c r="BA66" s="192"/>
      <c r="BB66" s="192"/>
      <c r="BC66" s="192"/>
      <c r="BD66" s="175"/>
      <c r="BF66" s="177" t="s">
        <v>606</v>
      </c>
      <c r="BG66" s="192"/>
      <c r="BH66" s="192"/>
      <c r="BI66" s="192"/>
      <c r="BJ66" s="192"/>
      <c r="BK66" s="192"/>
      <c r="BL66" s="192"/>
      <c r="BM66" s="192"/>
      <c r="BN66" s="192"/>
      <c r="BO66" s="192"/>
      <c r="BP66" s="192"/>
      <c r="BQ66" s="192"/>
      <c r="BR66" s="175"/>
      <c r="BT66" s="177" t="s">
        <v>606</v>
      </c>
      <c r="BU66" s="192"/>
      <c r="BV66" s="192"/>
      <c r="BW66" s="192"/>
      <c r="BX66" s="192"/>
      <c r="BY66" s="192"/>
      <c r="BZ66" s="192"/>
      <c r="CA66" s="192"/>
      <c r="CB66" s="192"/>
      <c r="CC66" s="192"/>
      <c r="CD66" s="192"/>
      <c r="CE66" s="192"/>
      <c r="CF66" s="175"/>
    </row>
    <row r="67" spans="2:84" ht="18">
      <c r="B67" s="193"/>
      <c r="C67" s="16"/>
      <c r="D67" s="16"/>
      <c r="E67" s="186"/>
      <c r="F67" s="186"/>
      <c r="G67" s="186"/>
      <c r="H67" s="186"/>
      <c r="I67" s="186"/>
      <c r="J67" s="186"/>
      <c r="K67" s="186"/>
      <c r="L67" s="186"/>
      <c r="M67" s="186"/>
      <c r="N67" s="169"/>
      <c r="P67" s="193"/>
      <c r="Q67" s="16"/>
      <c r="R67" s="16"/>
      <c r="S67" s="186"/>
      <c r="T67" s="186"/>
      <c r="U67" s="186"/>
      <c r="V67" s="186"/>
      <c r="W67" s="186"/>
      <c r="X67" s="186"/>
      <c r="Y67" s="186"/>
      <c r="Z67" s="186"/>
      <c r="AA67" s="186"/>
      <c r="AB67" s="169"/>
      <c r="AD67" s="193"/>
      <c r="AE67" s="16"/>
      <c r="AF67" s="16"/>
      <c r="AG67" s="186"/>
      <c r="AH67" s="186"/>
      <c r="AI67" s="186"/>
      <c r="AJ67" s="186"/>
      <c r="AK67" s="186"/>
      <c r="AL67" s="186"/>
      <c r="AM67" s="186"/>
      <c r="AN67" s="186"/>
      <c r="AO67" s="186"/>
      <c r="AP67" s="169"/>
      <c r="AR67" s="193"/>
      <c r="AS67" s="16"/>
      <c r="AT67" s="16"/>
      <c r="AU67" s="186"/>
      <c r="AV67" s="186"/>
      <c r="AW67" s="186"/>
      <c r="AX67" s="186"/>
      <c r="AY67" s="186"/>
      <c r="AZ67" s="186"/>
      <c r="BA67" s="186"/>
      <c r="BB67" s="186"/>
      <c r="BC67" s="186"/>
      <c r="BD67" s="169"/>
      <c r="BF67" s="193"/>
      <c r="BG67" s="16"/>
      <c r="BH67" s="16"/>
      <c r="BI67" s="186"/>
      <c r="BJ67" s="186"/>
      <c r="BK67" s="186"/>
      <c r="BL67" s="186"/>
      <c r="BM67" s="186"/>
      <c r="BN67" s="186"/>
      <c r="BO67" s="186"/>
      <c r="BP67" s="186"/>
      <c r="BQ67" s="186"/>
      <c r="BR67" s="169"/>
      <c r="BT67" s="193"/>
      <c r="BU67" s="16"/>
      <c r="BV67" s="16"/>
      <c r="BW67" s="186"/>
      <c r="BX67" s="186"/>
      <c r="BY67" s="186"/>
      <c r="BZ67" s="186"/>
      <c r="CA67" s="186"/>
      <c r="CB67" s="186"/>
      <c r="CC67" s="186"/>
      <c r="CD67" s="186"/>
      <c r="CE67" s="186"/>
      <c r="CF67" s="169"/>
    </row>
    <row r="68" spans="2:84">
      <c r="B68" s="152" t="str">
        <f>+$D$7</f>
        <v>EUR</v>
      </c>
      <c r="C68" s="4"/>
      <c r="D68" s="8">
        <f>+D54</f>
        <v>2026</v>
      </c>
      <c r="E68" s="8">
        <f t="shared" ref="E68:M68" si="72">+E54</f>
        <v>2027</v>
      </c>
      <c r="F68" s="8">
        <f t="shared" si="72"/>
        <v>2028</v>
      </c>
      <c r="G68" s="8">
        <f t="shared" si="72"/>
        <v>2029</v>
      </c>
      <c r="H68" s="8">
        <f t="shared" si="72"/>
        <v>2030</v>
      </c>
      <c r="I68" s="8">
        <f t="shared" si="72"/>
        <v>2031</v>
      </c>
      <c r="J68" s="8">
        <f t="shared" si="72"/>
        <v>2032</v>
      </c>
      <c r="K68" s="8">
        <f t="shared" si="72"/>
        <v>2033</v>
      </c>
      <c r="L68" s="8">
        <f t="shared" si="72"/>
        <v>2034</v>
      </c>
      <c r="M68" s="8">
        <f t="shared" si="72"/>
        <v>2035</v>
      </c>
      <c r="N68" s="124" t="s">
        <v>34</v>
      </c>
      <c r="P68" s="152" t="str">
        <f>+$D$7</f>
        <v>EUR</v>
      </c>
      <c r="Q68" s="4"/>
      <c r="R68" s="8">
        <f>+R54</f>
        <v>2026</v>
      </c>
      <c r="S68" s="8">
        <f t="shared" ref="S68:AA68" si="73">+S54</f>
        <v>2027</v>
      </c>
      <c r="T68" s="8">
        <f t="shared" si="73"/>
        <v>2028</v>
      </c>
      <c r="U68" s="8">
        <f t="shared" si="73"/>
        <v>2029</v>
      </c>
      <c r="V68" s="8">
        <f t="shared" si="73"/>
        <v>2030</v>
      </c>
      <c r="W68" s="8">
        <f t="shared" si="73"/>
        <v>2031</v>
      </c>
      <c r="X68" s="8">
        <f t="shared" si="73"/>
        <v>2032</v>
      </c>
      <c r="Y68" s="8">
        <f t="shared" si="73"/>
        <v>2033</v>
      </c>
      <c r="Z68" s="8">
        <f t="shared" si="73"/>
        <v>2034</v>
      </c>
      <c r="AA68" s="8">
        <f t="shared" si="73"/>
        <v>2035</v>
      </c>
      <c r="AB68" s="124" t="s">
        <v>34</v>
      </c>
      <c r="AD68" s="152" t="str">
        <f>+$D$7</f>
        <v>EUR</v>
      </c>
      <c r="AE68" s="4"/>
      <c r="AF68" s="8">
        <f>+AF54</f>
        <v>2026</v>
      </c>
      <c r="AG68" s="8">
        <f t="shared" ref="AG68:AO68" si="74">+AG54</f>
        <v>2027</v>
      </c>
      <c r="AH68" s="8">
        <f t="shared" si="74"/>
        <v>2028</v>
      </c>
      <c r="AI68" s="8">
        <f t="shared" si="74"/>
        <v>2029</v>
      </c>
      <c r="AJ68" s="8">
        <f t="shared" si="74"/>
        <v>2030</v>
      </c>
      <c r="AK68" s="8">
        <f t="shared" si="74"/>
        <v>2031</v>
      </c>
      <c r="AL68" s="8">
        <f t="shared" si="74"/>
        <v>2032</v>
      </c>
      <c r="AM68" s="8">
        <f t="shared" si="74"/>
        <v>2033</v>
      </c>
      <c r="AN68" s="8">
        <f t="shared" si="74"/>
        <v>2034</v>
      </c>
      <c r="AO68" s="8">
        <f t="shared" si="74"/>
        <v>2035</v>
      </c>
      <c r="AP68" s="124" t="s">
        <v>34</v>
      </c>
      <c r="AR68" s="152" t="str">
        <f>+$D$7</f>
        <v>EUR</v>
      </c>
      <c r="AS68" s="4"/>
      <c r="AT68" s="8">
        <f>+AT54</f>
        <v>2026</v>
      </c>
      <c r="AU68" s="8">
        <f t="shared" ref="AU68:BC68" si="75">+AU54</f>
        <v>2027</v>
      </c>
      <c r="AV68" s="8">
        <f t="shared" si="75"/>
        <v>2028</v>
      </c>
      <c r="AW68" s="8">
        <f t="shared" si="75"/>
        <v>2029</v>
      </c>
      <c r="AX68" s="8">
        <f t="shared" si="75"/>
        <v>2030</v>
      </c>
      <c r="AY68" s="8">
        <f t="shared" si="75"/>
        <v>2031</v>
      </c>
      <c r="AZ68" s="8">
        <f t="shared" si="75"/>
        <v>2032</v>
      </c>
      <c r="BA68" s="8">
        <f t="shared" si="75"/>
        <v>2033</v>
      </c>
      <c r="BB68" s="8">
        <f t="shared" si="75"/>
        <v>2034</v>
      </c>
      <c r="BC68" s="8">
        <f t="shared" si="75"/>
        <v>2035</v>
      </c>
      <c r="BD68" s="124" t="s">
        <v>34</v>
      </c>
      <c r="BF68" s="152" t="str">
        <f>+$D$7</f>
        <v>EUR</v>
      </c>
      <c r="BG68" s="4"/>
      <c r="BH68" s="8">
        <f>+BH54</f>
        <v>2026</v>
      </c>
      <c r="BI68" s="8">
        <f t="shared" ref="BI68:BQ68" si="76">+BI54</f>
        <v>2027</v>
      </c>
      <c r="BJ68" s="8">
        <f t="shared" si="76"/>
        <v>2028</v>
      </c>
      <c r="BK68" s="8">
        <f t="shared" si="76"/>
        <v>2029</v>
      </c>
      <c r="BL68" s="8">
        <f t="shared" si="76"/>
        <v>2030</v>
      </c>
      <c r="BM68" s="8">
        <f t="shared" si="76"/>
        <v>2031</v>
      </c>
      <c r="BN68" s="8">
        <f t="shared" si="76"/>
        <v>2032</v>
      </c>
      <c r="BO68" s="8">
        <f t="shared" si="76"/>
        <v>2033</v>
      </c>
      <c r="BP68" s="8">
        <f t="shared" si="76"/>
        <v>2034</v>
      </c>
      <c r="BQ68" s="8">
        <f t="shared" si="76"/>
        <v>2035</v>
      </c>
      <c r="BR68" s="124" t="s">
        <v>34</v>
      </c>
      <c r="BT68" s="152" t="str">
        <f>+$D$7</f>
        <v>EUR</v>
      </c>
      <c r="BU68" s="4"/>
      <c r="BV68" s="8">
        <f>+BV54</f>
        <v>2026</v>
      </c>
      <c r="BW68" s="8">
        <f t="shared" ref="BW68:CE68" si="77">+BW54</f>
        <v>2027</v>
      </c>
      <c r="BX68" s="8">
        <f t="shared" si="77"/>
        <v>2028</v>
      </c>
      <c r="BY68" s="8">
        <f t="shared" si="77"/>
        <v>2029</v>
      </c>
      <c r="BZ68" s="8">
        <f t="shared" si="77"/>
        <v>2030</v>
      </c>
      <c r="CA68" s="8">
        <f t="shared" si="77"/>
        <v>2031</v>
      </c>
      <c r="CB68" s="8">
        <f t="shared" si="77"/>
        <v>2032</v>
      </c>
      <c r="CC68" s="8">
        <f t="shared" si="77"/>
        <v>2033</v>
      </c>
      <c r="CD68" s="8">
        <f t="shared" si="77"/>
        <v>2034</v>
      </c>
      <c r="CE68" s="8">
        <f t="shared" si="77"/>
        <v>2035</v>
      </c>
      <c r="CF68" s="124" t="s">
        <v>34</v>
      </c>
    </row>
    <row r="69" spans="2:84">
      <c r="B69" s="180" t="s">
        <v>74</v>
      </c>
      <c r="C69" s="111"/>
      <c r="D69" s="28">
        <f>IFERROR(Total!D62/$E$7,0)</f>
        <v>0</v>
      </c>
      <c r="E69" s="111">
        <f>IFERROR(Total!E62/$E$7,0)</f>
        <v>0</v>
      </c>
      <c r="F69" s="28">
        <f>IFERROR(Total!F62/$E$7,0)</f>
        <v>0</v>
      </c>
      <c r="G69" s="111">
        <f>IFERROR(Total!G62/$E$7,0)</f>
        <v>0</v>
      </c>
      <c r="H69" s="28">
        <f>IFERROR(Total!H62/$E$7,0)</f>
        <v>0</v>
      </c>
      <c r="I69" s="111">
        <f>IFERROR(Total!I62/$E$7,0)</f>
        <v>0</v>
      </c>
      <c r="J69" s="28">
        <f>IFERROR(Total!J62/$E$7,0)</f>
        <v>0</v>
      </c>
      <c r="K69" s="28">
        <f>IFERROR(Total!K62/$E$7,0)</f>
        <v>0</v>
      </c>
      <c r="L69" s="111">
        <f>IFERROR(Total!L62/$E$7,0)</f>
        <v>0</v>
      </c>
      <c r="M69" s="111">
        <f>IFERROR(Total!M62/$E$7,0)</f>
        <v>0</v>
      </c>
      <c r="N69" s="170">
        <f t="shared" ref="N69:N78" si="78">SUM(D69:M69)</f>
        <v>0</v>
      </c>
      <c r="P69" s="180" t="s">
        <v>74</v>
      </c>
      <c r="Q69" s="111"/>
      <c r="R69" s="28">
        <f>IFERROR(('B1'!S122/$E$7),0)</f>
        <v>0</v>
      </c>
      <c r="S69" s="111">
        <f>IFERROR(('B1'!T122/$E$7),0)</f>
        <v>0</v>
      </c>
      <c r="T69" s="28">
        <f>IFERROR(('B1'!U122/$E$7),0)</f>
        <v>0</v>
      </c>
      <c r="U69" s="111">
        <f>IFERROR(('B1'!V122/$E$7),0)</f>
        <v>0</v>
      </c>
      <c r="V69" s="28">
        <f>IFERROR(('B1'!W122/$E$7),0)</f>
        <v>0</v>
      </c>
      <c r="W69" s="111">
        <f>IFERROR(('B1'!X122/$E$7),0)</f>
        <v>0</v>
      </c>
      <c r="X69" s="28">
        <f>IFERROR(('B1'!Y122/$E$7),0)</f>
        <v>0</v>
      </c>
      <c r="Y69" s="28">
        <f>IFERROR(('B1'!Z122/$E$7),0)</f>
        <v>0</v>
      </c>
      <c r="Z69" s="111">
        <f>IFERROR(('B1'!AA122/$E$7),0)</f>
        <v>0</v>
      </c>
      <c r="AA69" s="111">
        <f>IFERROR(('B1'!AB122/$E$7),0)</f>
        <v>0</v>
      </c>
      <c r="AB69" s="170">
        <f>SUM(R69:AA69)</f>
        <v>0</v>
      </c>
      <c r="AD69" s="180" t="s">
        <v>74</v>
      </c>
      <c r="AE69" s="111"/>
      <c r="AF69" s="28">
        <f>IFERROR(('B2'!S122/$E$7),0)</f>
        <v>0</v>
      </c>
      <c r="AG69" s="111">
        <f>IFERROR(('B2'!T122/$E$7),0)</f>
        <v>0</v>
      </c>
      <c r="AH69" s="28">
        <f>IFERROR(('B2'!U122/$E$7),0)</f>
        <v>0</v>
      </c>
      <c r="AI69" s="111">
        <f>IFERROR(('B2'!V122/$E$7),0)</f>
        <v>0</v>
      </c>
      <c r="AJ69" s="28">
        <f>IFERROR(('B2'!W122/$E$7),0)</f>
        <v>0</v>
      </c>
      <c r="AK69" s="111">
        <f>IFERROR(('B2'!X122/$E$7),0)</f>
        <v>0</v>
      </c>
      <c r="AL69" s="28">
        <f>IFERROR(('B2'!Y122/$E$7),0)</f>
        <v>0</v>
      </c>
      <c r="AM69" s="28">
        <f>IFERROR(('B2'!Z122/$E$7),0)</f>
        <v>0</v>
      </c>
      <c r="AN69" s="111">
        <f>IFERROR(('B2'!AA122/$E$7),0)</f>
        <v>0</v>
      </c>
      <c r="AO69" s="111">
        <f>IFERROR(('B2'!AB122/$E$7),0)</f>
        <v>0</v>
      </c>
      <c r="AP69" s="170">
        <f>SUM(AF69:AO69)</f>
        <v>0</v>
      </c>
      <c r="AR69" s="180" t="s">
        <v>74</v>
      </c>
      <c r="AS69" s="111"/>
      <c r="AT69" s="28">
        <f>IFERROR(('B3'!S122/$E$7),0)</f>
        <v>0</v>
      </c>
      <c r="AU69" s="111">
        <f>IFERROR(('B3'!T122/$E$7),0)</f>
        <v>0</v>
      </c>
      <c r="AV69" s="28">
        <f>IFERROR(('B3'!U122/$E$7),0)</f>
        <v>0</v>
      </c>
      <c r="AW69" s="111">
        <f>IFERROR(('B3'!V122/$E$7),0)</f>
        <v>0</v>
      </c>
      <c r="AX69" s="28">
        <f>IFERROR(('B3'!W122/$E$7),0)</f>
        <v>0</v>
      </c>
      <c r="AY69" s="111">
        <f>IFERROR(('B3'!X122/$E$7),0)</f>
        <v>0</v>
      </c>
      <c r="AZ69" s="28">
        <f>IFERROR(('B3'!Y122/$E$7),0)</f>
        <v>0</v>
      </c>
      <c r="BA69" s="28">
        <f>IFERROR(('B3'!Z122/$E$7),0)</f>
        <v>0</v>
      </c>
      <c r="BB69" s="28">
        <f>IFERROR(('B3'!AA122/$E$7),0)</f>
        <v>0</v>
      </c>
      <c r="BC69" s="28">
        <f>IFERROR(('B3'!AB122/$E$7),0)</f>
        <v>0</v>
      </c>
      <c r="BD69" s="170">
        <f>SUM(AT69:BC69)</f>
        <v>0</v>
      </c>
      <c r="BF69" s="180" t="s">
        <v>74</v>
      </c>
      <c r="BG69" s="111"/>
      <c r="BH69" s="28">
        <f>IFERROR(('B4'!S122/$E$7),0)</f>
        <v>0</v>
      </c>
      <c r="BI69" s="111">
        <f>IFERROR(('B4'!T122/$E$7),0)</f>
        <v>0</v>
      </c>
      <c r="BJ69" s="28">
        <f>IFERROR(('B4'!U122/$E$7),0)</f>
        <v>0</v>
      </c>
      <c r="BK69" s="111">
        <f>IFERROR(('B4'!V122/$E$7),0)</f>
        <v>0</v>
      </c>
      <c r="BL69" s="28">
        <f>IFERROR(('B4'!W122/$E$7),0)</f>
        <v>0</v>
      </c>
      <c r="BM69" s="111">
        <f>IFERROR(('B4'!X122/$E$7),0)</f>
        <v>0</v>
      </c>
      <c r="BN69" s="28">
        <f>IFERROR(('B4'!Y122/$E$7),0)</f>
        <v>0</v>
      </c>
      <c r="BO69" s="28">
        <f>IFERROR(('B4'!Z122/$E$7),0)</f>
        <v>0</v>
      </c>
      <c r="BP69" s="111">
        <f>IFERROR(('B4'!AA122/$E$7),0)</f>
        <v>0</v>
      </c>
      <c r="BQ69" s="111">
        <f>IFERROR(('B4'!AB122/$E$7),0)</f>
        <v>0</v>
      </c>
      <c r="BR69" s="170">
        <f>SUM(BH69:BQ69)</f>
        <v>0</v>
      </c>
      <c r="BT69" s="180" t="s">
        <v>74</v>
      </c>
      <c r="BU69" s="111"/>
      <c r="BV69" s="28">
        <f>IFERROR(('B5'!S122/$E$7),0)</f>
        <v>0</v>
      </c>
      <c r="BW69" s="111">
        <f>IFERROR(('B5'!T122/$E$7),0)</f>
        <v>0</v>
      </c>
      <c r="BX69" s="28">
        <f>IFERROR(('B5'!U122/$E$7),0)</f>
        <v>0</v>
      </c>
      <c r="BY69" s="111">
        <f>IFERROR(('B5'!V122/$E$7),0)</f>
        <v>0</v>
      </c>
      <c r="BZ69" s="28">
        <f>IFERROR(('B5'!W122/$E$7),0)</f>
        <v>0</v>
      </c>
      <c r="CA69" s="111">
        <f>IFERROR(('B5'!X122/$E$7),0)</f>
        <v>0</v>
      </c>
      <c r="CB69" s="28">
        <f>IFERROR(('B5'!Y122/$E$7),0)</f>
        <v>0</v>
      </c>
      <c r="CC69" s="28">
        <f>IFERROR(('B5'!Z122/$E$7),0)</f>
        <v>0</v>
      </c>
      <c r="CD69" s="111">
        <f>IFERROR(('B5'!AA122/$E$7),0)</f>
        <v>0</v>
      </c>
      <c r="CE69" s="111">
        <f>IFERROR(('B5'!AB122/$E$7),0)</f>
        <v>0</v>
      </c>
      <c r="CF69" s="170">
        <f>SUM(BV69:CE69)</f>
        <v>0</v>
      </c>
    </row>
    <row r="70" spans="2:84">
      <c r="B70" s="152" t="s">
        <v>75</v>
      </c>
      <c r="C70" s="112"/>
      <c r="D70" s="113">
        <f>IFERROR(Total!D63/$E$7,0)</f>
        <v>0</v>
      </c>
      <c r="E70" s="112">
        <f>IFERROR(Total!E63/$E$7,0)</f>
        <v>0</v>
      </c>
      <c r="F70" s="113">
        <f>IFERROR(Total!F63/$E$7,0)</f>
        <v>0</v>
      </c>
      <c r="G70" s="112">
        <f>IFERROR(Total!G63/$E$7,0)</f>
        <v>0</v>
      </c>
      <c r="H70" s="113">
        <f>IFERROR(Total!H63/$E$7,0)</f>
        <v>0</v>
      </c>
      <c r="I70" s="112">
        <f>IFERROR(Total!I63/$E$7,0)</f>
        <v>0</v>
      </c>
      <c r="J70" s="113">
        <f>IFERROR(Total!J63/$E$7,0)</f>
        <v>0</v>
      </c>
      <c r="K70" s="113">
        <f>IFERROR(Total!K63/$E$7,0)</f>
        <v>0</v>
      </c>
      <c r="L70" s="112">
        <f>IFERROR(Total!L63/$E$7,0)</f>
        <v>0</v>
      </c>
      <c r="M70" s="112">
        <f>IFERROR(Total!M63/$E$7,0)</f>
        <v>0</v>
      </c>
      <c r="N70" s="171">
        <f t="shared" si="78"/>
        <v>0</v>
      </c>
      <c r="P70" s="152" t="s">
        <v>75</v>
      </c>
      <c r="Q70" s="112"/>
      <c r="R70" s="113">
        <f>IFERROR(('B1'!S123/$E$7),0)</f>
        <v>0</v>
      </c>
      <c r="S70" s="112">
        <f>IFERROR(('B1'!T123/$E$7),0)</f>
        <v>0</v>
      </c>
      <c r="T70" s="113">
        <f>IFERROR(('B1'!U123/$E$7),0)</f>
        <v>0</v>
      </c>
      <c r="U70" s="112">
        <f>IFERROR(('B1'!V123/$E$7),0)</f>
        <v>0</v>
      </c>
      <c r="V70" s="113">
        <f>IFERROR(('B1'!W123/$E$7),0)</f>
        <v>0</v>
      </c>
      <c r="W70" s="112">
        <f>IFERROR(('B1'!X123/$E$7),0)</f>
        <v>0</v>
      </c>
      <c r="X70" s="113">
        <f>IFERROR(('B1'!Y123/$E$7),0)</f>
        <v>0</v>
      </c>
      <c r="Y70" s="113">
        <f>IFERROR(('B1'!Z123/$E$7),0)</f>
        <v>0</v>
      </c>
      <c r="Z70" s="112">
        <f>IFERROR(('B1'!AA123/$E$7),0)</f>
        <v>0</v>
      </c>
      <c r="AA70" s="112">
        <f>IFERROR(('B1'!AB123/$E$7),0)</f>
        <v>0</v>
      </c>
      <c r="AB70" s="171">
        <f t="shared" ref="AB70:AB78" si="79">SUM(R70:AA70)</f>
        <v>0</v>
      </c>
      <c r="AD70" s="152" t="s">
        <v>75</v>
      </c>
      <c r="AE70" s="112"/>
      <c r="AF70" s="113">
        <f>IFERROR(('B2'!S123/$E$7),0)</f>
        <v>0</v>
      </c>
      <c r="AG70" s="112">
        <f>IFERROR(('B2'!T123/$E$7),0)</f>
        <v>0</v>
      </c>
      <c r="AH70" s="113">
        <f>IFERROR(('B2'!U123/$E$7),0)</f>
        <v>0</v>
      </c>
      <c r="AI70" s="112">
        <f>IFERROR(('B2'!V123/$E$7),0)</f>
        <v>0</v>
      </c>
      <c r="AJ70" s="113">
        <f>IFERROR(('B2'!W123/$E$7),0)</f>
        <v>0</v>
      </c>
      <c r="AK70" s="112">
        <f>IFERROR(('B2'!X123/$E$7),0)</f>
        <v>0</v>
      </c>
      <c r="AL70" s="113">
        <f>IFERROR(('B2'!Y123/$E$7),0)</f>
        <v>0</v>
      </c>
      <c r="AM70" s="113">
        <f>IFERROR(('B2'!Z123/$E$7),0)</f>
        <v>0</v>
      </c>
      <c r="AN70" s="112">
        <f>IFERROR(('B2'!AA123/$E$7),0)</f>
        <v>0</v>
      </c>
      <c r="AO70" s="112">
        <f>IFERROR(('B2'!AB123/$E$7),0)</f>
        <v>0</v>
      </c>
      <c r="AP70" s="171">
        <f t="shared" ref="AP70:AP78" si="80">SUM(AF70:AO70)</f>
        <v>0</v>
      </c>
      <c r="AR70" s="152" t="s">
        <v>75</v>
      </c>
      <c r="AS70" s="112"/>
      <c r="AT70" s="113">
        <f>IFERROR(('B3'!S123/$E$7),0)</f>
        <v>0</v>
      </c>
      <c r="AU70" s="112">
        <f>IFERROR(('B3'!T123/$E$7),0)</f>
        <v>0</v>
      </c>
      <c r="AV70" s="113">
        <f>IFERROR(('B3'!U123/$E$7),0)</f>
        <v>0</v>
      </c>
      <c r="AW70" s="112">
        <f>IFERROR(('B3'!V123/$E$7),0)</f>
        <v>0</v>
      </c>
      <c r="AX70" s="113">
        <f>IFERROR(('B3'!W123/$E$7),0)</f>
        <v>0</v>
      </c>
      <c r="AY70" s="112">
        <f>IFERROR(('B3'!X123/$E$7),0)</f>
        <v>0</v>
      </c>
      <c r="AZ70" s="113">
        <f>IFERROR(('B3'!Y123/$E$7),0)</f>
        <v>0</v>
      </c>
      <c r="BA70" s="113">
        <f>IFERROR(('B3'!Z123/$E$7),0)</f>
        <v>0</v>
      </c>
      <c r="BB70" s="113">
        <f>IFERROR(('B3'!AA123/$E$7),0)</f>
        <v>0</v>
      </c>
      <c r="BC70" s="113">
        <f>IFERROR(('B3'!AB123/$E$7),0)</f>
        <v>0</v>
      </c>
      <c r="BD70" s="171">
        <f t="shared" ref="BD70:BD78" si="81">SUM(AT70:BC70)</f>
        <v>0</v>
      </c>
      <c r="BF70" s="152" t="s">
        <v>75</v>
      </c>
      <c r="BG70" s="112"/>
      <c r="BH70" s="113">
        <f>IFERROR(('B4'!S123/$E$7),0)</f>
        <v>0</v>
      </c>
      <c r="BI70" s="112">
        <f>IFERROR(('B4'!T123/$E$7),0)</f>
        <v>0</v>
      </c>
      <c r="BJ70" s="113">
        <f>IFERROR(('B4'!U123/$E$7),0)</f>
        <v>0</v>
      </c>
      <c r="BK70" s="112">
        <f>IFERROR(('B4'!V123/$E$7),0)</f>
        <v>0</v>
      </c>
      <c r="BL70" s="113">
        <f>IFERROR(('B4'!W123/$E$7),0)</f>
        <v>0</v>
      </c>
      <c r="BM70" s="112">
        <f>IFERROR(('B4'!X123/$E$7),0)</f>
        <v>0</v>
      </c>
      <c r="BN70" s="113">
        <f>IFERROR(('B4'!Y123/$E$7),0)</f>
        <v>0</v>
      </c>
      <c r="BO70" s="113">
        <f>IFERROR(('B4'!Z123/$E$7),0)</f>
        <v>0</v>
      </c>
      <c r="BP70" s="112">
        <f>IFERROR(('B4'!AA123/$E$7),0)</f>
        <v>0</v>
      </c>
      <c r="BQ70" s="112">
        <f>IFERROR(('B4'!AB123/$E$7),0)</f>
        <v>0</v>
      </c>
      <c r="BR70" s="171">
        <f t="shared" ref="BR70:BR78" si="82">SUM(BH70:BQ70)</f>
        <v>0</v>
      </c>
      <c r="BT70" s="152" t="s">
        <v>75</v>
      </c>
      <c r="BU70" s="112"/>
      <c r="BV70" s="113">
        <f>IFERROR(('B5'!S123/$E$7),0)</f>
        <v>0</v>
      </c>
      <c r="BW70" s="112">
        <f>IFERROR(('B5'!T123/$E$7),0)</f>
        <v>0</v>
      </c>
      <c r="BX70" s="113">
        <f>IFERROR(('B5'!U123/$E$7),0)</f>
        <v>0</v>
      </c>
      <c r="BY70" s="112">
        <f>IFERROR(('B5'!V123/$E$7),0)</f>
        <v>0</v>
      </c>
      <c r="BZ70" s="113">
        <f>IFERROR(('B5'!W123/$E$7),0)</f>
        <v>0</v>
      </c>
      <c r="CA70" s="112">
        <f>IFERROR(('B5'!X123/$E$7),0)</f>
        <v>0</v>
      </c>
      <c r="CB70" s="113">
        <f>IFERROR(('B5'!Y123/$E$7),0)</f>
        <v>0</v>
      </c>
      <c r="CC70" s="113">
        <f>IFERROR(('B5'!Z123/$E$7),0)</f>
        <v>0</v>
      </c>
      <c r="CD70" s="112">
        <f>IFERROR(('B5'!AA123/$E$7),0)</f>
        <v>0</v>
      </c>
      <c r="CE70" s="112">
        <f>IFERROR(('B5'!AB123/$E$7),0)</f>
        <v>0</v>
      </c>
      <c r="CF70" s="171">
        <f t="shared" ref="CF70:CF78" si="83">SUM(BV70:CE70)</f>
        <v>0</v>
      </c>
    </row>
    <row r="71" spans="2:84">
      <c r="B71" s="181" t="s">
        <v>76</v>
      </c>
      <c r="C71" s="142"/>
      <c r="D71" s="137">
        <f>IFERROR(Total!D64/$E$7,0)</f>
        <v>0</v>
      </c>
      <c r="E71" s="137">
        <f>IFERROR(Total!E64/$E$7,0)</f>
        <v>0</v>
      </c>
      <c r="F71" s="137">
        <f>IFERROR(Total!F64/$E$7,0)</f>
        <v>0</v>
      </c>
      <c r="G71" s="137">
        <f>IFERROR(Total!G64/$E$7,0)</f>
        <v>0</v>
      </c>
      <c r="H71" s="137">
        <f>IFERROR(Total!H64/$E$7,0)</f>
        <v>0</v>
      </c>
      <c r="I71" s="137">
        <f>IFERROR(Total!I64/$E$7,0)</f>
        <v>0</v>
      </c>
      <c r="J71" s="142">
        <f>IFERROR(Total!J64/$E$7,0)</f>
        <v>0</v>
      </c>
      <c r="K71" s="137">
        <f>IFERROR(Total!K64/$E$7,0)</f>
        <v>0</v>
      </c>
      <c r="L71" s="142">
        <f>IFERROR(Total!L64/$E$7,0)</f>
        <v>0</v>
      </c>
      <c r="M71" s="142">
        <f>IFERROR(Total!M64/$E$7,0)</f>
        <v>0</v>
      </c>
      <c r="N71" s="172">
        <f t="shared" si="78"/>
        <v>0</v>
      </c>
      <c r="P71" s="181" t="s">
        <v>76</v>
      </c>
      <c r="Q71" s="142"/>
      <c r="R71" s="137">
        <f>IFERROR(('B1'!S124/$E$7),0)</f>
        <v>0</v>
      </c>
      <c r="S71" s="137">
        <f>IFERROR(('B1'!T124/$E$7),0)</f>
        <v>0</v>
      </c>
      <c r="T71" s="137">
        <f>IFERROR(('B1'!U124/$E$7),0)</f>
        <v>0</v>
      </c>
      <c r="U71" s="137">
        <f>IFERROR(('B1'!V124/$E$7),0)</f>
        <v>0</v>
      </c>
      <c r="V71" s="137">
        <f>IFERROR(('B1'!W124/$E$7),0)</f>
        <v>0</v>
      </c>
      <c r="W71" s="137">
        <f>IFERROR(('B1'!X124/$E$7),0)</f>
        <v>0</v>
      </c>
      <c r="X71" s="142">
        <f>IFERROR(('B1'!Y124/$E$7),0)</f>
        <v>0</v>
      </c>
      <c r="Y71" s="137">
        <f>IFERROR(('B1'!Z124/$E$7),0)</f>
        <v>0</v>
      </c>
      <c r="Z71" s="142">
        <f>IFERROR(('B1'!AA124/$E$7),0)</f>
        <v>0</v>
      </c>
      <c r="AA71" s="142">
        <f>IFERROR(('B1'!AB124/$E$7),0)</f>
        <v>0</v>
      </c>
      <c r="AB71" s="172">
        <f t="shared" si="79"/>
        <v>0</v>
      </c>
      <c r="AD71" s="181" t="s">
        <v>76</v>
      </c>
      <c r="AE71" s="142"/>
      <c r="AF71" s="137">
        <f>IFERROR(('B2'!S124/$E$7),0)</f>
        <v>0</v>
      </c>
      <c r="AG71" s="137">
        <f>IFERROR(('B2'!T124/$E$7),0)</f>
        <v>0</v>
      </c>
      <c r="AH71" s="137">
        <f>IFERROR(('B2'!U124/$E$7),0)</f>
        <v>0</v>
      </c>
      <c r="AI71" s="137">
        <f>IFERROR(('B2'!V124/$E$7),0)</f>
        <v>0</v>
      </c>
      <c r="AJ71" s="137">
        <f>IFERROR(('B2'!W124/$E$7),0)</f>
        <v>0</v>
      </c>
      <c r="AK71" s="137">
        <f>IFERROR(('B2'!X124/$E$7),0)</f>
        <v>0</v>
      </c>
      <c r="AL71" s="142">
        <f>IFERROR(('B2'!Y124/$E$7),0)</f>
        <v>0</v>
      </c>
      <c r="AM71" s="137">
        <f>IFERROR(('B2'!Z124/$E$7),0)</f>
        <v>0</v>
      </c>
      <c r="AN71" s="142">
        <f>IFERROR(('B2'!AA124/$E$7),0)</f>
        <v>0</v>
      </c>
      <c r="AO71" s="142">
        <f>IFERROR(('B2'!AB124/$E$7),0)</f>
        <v>0</v>
      </c>
      <c r="AP71" s="172">
        <f t="shared" si="80"/>
        <v>0</v>
      </c>
      <c r="AR71" s="181" t="s">
        <v>76</v>
      </c>
      <c r="AS71" s="142"/>
      <c r="AT71" s="137">
        <f>IFERROR(('B3'!S124/$E$7),0)</f>
        <v>0</v>
      </c>
      <c r="AU71" s="137">
        <f>IFERROR(('B3'!T124/$E$7),0)</f>
        <v>0</v>
      </c>
      <c r="AV71" s="137">
        <f>IFERROR(('B3'!U124/$E$7),0)</f>
        <v>0</v>
      </c>
      <c r="AW71" s="137">
        <f>IFERROR(('B3'!V124/$E$7),0)</f>
        <v>0</v>
      </c>
      <c r="AX71" s="137">
        <f>IFERROR(('B3'!W124/$E$7),0)</f>
        <v>0</v>
      </c>
      <c r="AY71" s="137">
        <f>IFERROR(('B3'!X124/$E$7),0)</f>
        <v>0</v>
      </c>
      <c r="AZ71" s="142">
        <f>IFERROR(('B3'!Y124/$E$7),0)</f>
        <v>0</v>
      </c>
      <c r="BA71" s="137">
        <f>IFERROR(('B3'!Z124/$E$7),0)</f>
        <v>0</v>
      </c>
      <c r="BB71" s="137">
        <f>IFERROR(('B3'!AA124/$E$7),0)</f>
        <v>0</v>
      </c>
      <c r="BC71" s="137">
        <f>IFERROR(('B3'!AB124/$E$7),0)</f>
        <v>0</v>
      </c>
      <c r="BD71" s="172">
        <f t="shared" si="81"/>
        <v>0</v>
      </c>
      <c r="BF71" s="181" t="s">
        <v>76</v>
      </c>
      <c r="BG71" s="142"/>
      <c r="BH71" s="137">
        <f>IFERROR(('B4'!S124/$E$7),0)</f>
        <v>0</v>
      </c>
      <c r="BI71" s="137">
        <f>IFERROR(('B4'!T124/$E$7),0)</f>
        <v>0</v>
      </c>
      <c r="BJ71" s="137">
        <f>IFERROR(('B4'!U124/$E$7),0)</f>
        <v>0</v>
      </c>
      <c r="BK71" s="137">
        <f>IFERROR(('B4'!V124/$E$7),0)</f>
        <v>0</v>
      </c>
      <c r="BL71" s="137">
        <f>IFERROR(('B4'!W124/$E$7),0)</f>
        <v>0</v>
      </c>
      <c r="BM71" s="137">
        <f>IFERROR(('B4'!X124/$E$7),0)</f>
        <v>0</v>
      </c>
      <c r="BN71" s="142">
        <f>IFERROR(('B4'!Y124/$E$7),0)</f>
        <v>0</v>
      </c>
      <c r="BO71" s="137">
        <f>IFERROR(('B4'!Z124/$E$7),0)</f>
        <v>0</v>
      </c>
      <c r="BP71" s="142">
        <f>IFERROR(('B4'!AA124/$E$7),0)</f>
        <v>0</v>
      </c>
      <c r="BQ71" s="142">
        <f>IFERROR(('B4'!AB124/$E$7),0)</f>
        <v>0</v>
      </c>
      <c r="BR71" s="172">
        <f t="shared" si="82"/>
        <v>0</v>
      </c>
      <c r="BT71" s="181" t="s">
        <v>76</v>
      </c>
      <c r="BU71" s="142"/>
      <c r="BV71" s="137">
        <f>IFERROR(('B5'!S124/$E$7),0)</f>
        <v>0</v>
      </c>
      <c r="BW71" s="137">
        <f>IFERROR(('B5'!T124/$E$7),0)</f>
        <v>0</v>
      </c>
      <c r="BX71" s="137">
        <f>IFERROR(('B5'!U124/$E$7),0)</f>
        <v>0</v>
      </c>
      <c r="BY71" s="137">
        <f>IFERROR(('B5'!V124/$E$7),0)</f>
        <v>0</v>
      </c>
      <c r="BZ71" s="137">
        <f>IFERROR(('B5'!W124/$E$7),0)</f>
        <v>0</v>
      </c>
      <c r="CA71" s="137">
        <f>IFERROR(('B5'!X124/$E$7),0)</f>
        <v>0</v>
      </c>
      <c r="CB71" s="142">
        <f>IFERROR(('B5'!Y124/$E$7),0)</f>
        <v>0</v>
      </c>
      <c r="CC71" s="137">
        <f>IFERROR(('B5'!Z124/$E$7),0)</f>
        <v>0</v>
      </c>
      <c r="CD71" s="142">
        <f>IFERROR(('B5'!AA124/$E$7),0)</f>
        <v>0</v>
      </c>
      <c r="CE71" s="142">
        <f>IFERROR(('B5'!AB124/$E$7),0)</f>
        <v>0</v>
      </c>
      <c r="CF71" s="172">
        <f t="shared" si="83"/>
        <v>0</v>
      </c>
    </row>
    <row r="72" spans="2:84">
      <c r="B72" s="181" t="s">
        <v>77</v>
      </c>
      <c r="C72" s="142"/>
      <c r="D72" s="137">
        <f>IFERROR(Total!D65/$E$7,0)</f>
        <v>0</v>
      </c>
      <c r="E72" s="187">
        <f>IFERROR(Total!E65/$E$7,0)</f>
        <v>0</v>
      </c>
      <c r="F72" s="187">
        <f>IFERROR(Total!F65/$E$7,0)</f>
        <v>0</v>
      </c>
      <c r="G72" s="187">
        <f>IFERROR(Total!G65/$E$7,0)</f>
        <v>0</v>
      </c>
      <c r="H72" s="187">
        <f>IFERROR(Total!H65/$E$7,0)</f>
        <v>0</v>
      </c>
      <c r="I72" s="187">
        <f>IFERROR(Total!I65/$E$7,0)</f>
        <v>0</v>
      </c>
      <c r="J72" s="188">
        <f>IFERROR(Total!J65/$E$7,0)</f>
        <v>0</v>
      </c>
      <c r="K72" s="187">
        <f>IFERROR(Total!K65/$E$7,0)</f>
        <v>0</v>
      </c>
      <c r="L72" s="188">
        <f>IFERROR(Total!L65/$E$7,0)</f>
        <v>0</v>
      </c>
      <c r="M72" s="188">
        <f>IFERROR(Total!M65/$E$7,0)</f>
        <v>0</v>
      </c>
      <c r="N72" s="172">
        <f t="shared" si="78"/>
        <v>0</v>
      </c>
      <c r="P72" s="181" t="s">
        <v>77</v>
      </c>
      <c r="Q72" s="142"/>
      <c r="R72" s="137">
        <f>IFERROR(('B1'!S125/$E$7),0)</f>
        <v>0</v>
      </c>
      <c r="S72" s="187">
        <f>IFERROR(('B1'!T125/$E$7),0)</f>
        <v>0</v>
      </c>
      <c r="T72" s="187">
        <f>IFERROR(('B1'!U125/$E$7),0)</f>
        <v>0</v>
      </c>
      <c r="U72" s="187">
        <f>IFERROR(('B1'!V125/$E$7),0)</f>
        <v>0</v>
      </c>
      <c r="V72" s="187">
        <f>IFERROR(('B1'!W125/$E$7),0)</f>
        <v>0</v>
      </c>
      <c r="W72" s="187">
        <f>IFERROR(('B1'!X125/$E$7),0)</f>
        <v>0</v>
      </c>
      <c r="X72" s="188">
        <f>IFERROR(('B1'!Y125/$E$7),0)</f>
        <v>0</v>
      </c>
      <c r="Y72" s="187">
        <f>IFERROR(('B1'!Z125/$E$7),0)</f>
        <v>0</v>
      </c>
      <c r="Z72" s="188">
        <f>IFERROR(('B1'!AA125/$E$7),0)</f>
        <v>0</v>
      </c>
      <c r="AA72" s="188">
        <f>IFERROR(('B1'!AB125/$E$7),0)</f>
        <v>0</v>
      </c>
      <c r="AB72" s="172">
        <f t="shared" si="79"/>
        <v>0</v>
      </c>
      <c r="AD72" s="181" t="s">
        <v>77</v>
      </c>
      <c r="AE72" s="142"/>
      <c r="AF72" s="137">
        <f>IFERROR(('B2'!S125/$E$7),0)</f>
        <v>0</v>
      </c>
      <c r="AG72" s="187">
        <f>IFERROR(('B2'!T125/$E$7),0)</f>
        <v>0</v>
      </c>
      <c r="AH72" s="187">
        <f>IFERROR(('B2'!U125/$E$7),0)</f>
        <v>0</v>
      </c>
      <c r="AI72" s="187">
        <f>IFERROR(('B2'!V125/$E$7),0)</f>
        <v>0</v>
      </c>
      <c r="AJ72" s="187">
        <f>IFERROR(('B2'!W125/$E$7),0)</f>
        <v>0</v>
      </c>
      <c r="AK72" s="187">
        <f>IFERROR(('B2'!X125/$E$7),0)</f>
        <v>0</v>
      </c>
      <c r="AL72" s="188">
        <f>IFERROR(('B2'!Y125/$E$7),0)</f>
        <v>0</v>
      </c>
      <c r="AM72" s="187">
        <f>IFERROR(('B2'!Z125/$E$7),0)</f>
        <v>0</v>
      </c>
      <c r="AN72" s="188">
        <f>IFERROR(('B2'!AA125/$E$7),0)</f>
        <v>0</v>
      </c>
      <c r="AO72" s="188">
        <f>IFERROR(('B2'!AB125/$E$7),0)</f>
        <v>0</v>
      </c>
      <c r="AP72" s="172">
        <f t="shared" si="80"/>
        <v>0</v>
      </c>
      <c r="AR72" s="181" t="s">
        <v>77</v>
      </c>
      <c r="AS72" s="142"/>
      <c r="AT72" s="137">
        <f>IFERROR(('B3'!S125/$E$7),0)</f>
        <v>0</v>
      </c>
      <c r="AU72" s="187">
        <f>IFERROR(('B3'!T125/$E$7),0)</f>
        <v>0</v>
      </c>
      <c r="AV72" s="187">
        <f>IFERROR(('B3'!U125/$E$7),0)</f>
        <v>0</v>
      </c>
      <c r="AW72" s="187">
        <f>IFERROR(('B3'!V125/$E$7),0)</f>
        <v>0</v>
      </c>
      <c r="AX72" s="187">
        <f>IFERROR(('B3'!W125/$E$7),0)</f>
        <v>0</v>
      </c>
      <c r="AY72" s="187">
        <f>IFERROR(('B3'!X125/$E$7),0)</f>
        <v>0</v>
      </c>
      <c r="AZ72" s="188">
        <f>IFERROR(('B3'!Y125/$E$7),0)</f>
        <v>0</v>
      </c>
      <c r="BA72" s="187">
        <f>IFERROR(('B3'!Z125/$E$7),0)</f>
        <v>0</v>
      </c>
      <c r="BB72" s="187">
        <f>IFERROR(('B3'!AA125/$E$7),0)</f>
        <v>0</v>
      </c>
      <c r="BC72" s="187">
        <f>IFERROR(('B3'!AB125/$E$7),0)</f>
        <v>0</v>
      </c>
      <c r="BD72" s="172">
        <f t="shared" si="81"/>
        <v>0</v>
      </c>
      <c r="BF72" s="181" t="s">
        <v>77</v>
      </c>
      <c r="BG72" s="142"/>
      <c r="BH72" s="137">
        <f>IFERROR(('B4'!S125/$E$7),0)</f>
        <v>0</v>
      </c>
      <c r="BI72" s="187">
        <f>IFERROR(('B4'!T125/$E$7),0)</f>
        <v>0</v>
      </c>
      <c r="BJ72" s="187">
        <f>IFERROR(('B4'!U125/$E$7),0)</f>
        <v>0</v>
      </c>
      <c r="BK72" s="187">
        <f>IFERROR(('B4'!V125/$E$7),0)</f>
        <v>0</v>
      </c>
      <c r="BL72" s="187">
        <f>IFERROR(('B4'!W125/$E$7),0)</f>
        <v>0</v>
      </c>
      <c r="BM72" s="187">
        <f>IFERROR(('B4'!X125/$E$7),0)</f>
        <v>0</v>
      </c>
      <c r="BN72" s="188">
        <f>IFERROR(('B4'!Y125/$E$7),0)</f>
        <v>0</v>
      </c>
      <c r="BO72" s="187">
        <f>IFERROR(('B4'!Z125/$E$7),0)</f>
        <v>0</v>
      </c>
      <c r="BP72" s="188">
        <f>IFERROR(('B4'!AA125/$E$7),0)</f>
        <v>0</v>
      </c>
      <c r="BQ72" s="188">
        <f>IFERROR(('B4'!AB125/$E$7),0)</f>
        <v>0</v>
      </c>
      <c r="BR72" s="172">
        <f t="shared" si="82"/>
        <v>0</v>
      </c>
      <c r="BT72" s="181" t="s">
        <v>77</v>
      </c>
      <c r="BU72" s="142"/>
      <c r="BV72" s="137">
        <f>IFERROR(('B5'!S125/$E$7),0)</f>
        <v>0</v>
      </c>
      <c r="BW72" s="187">
        <f>IFERROR(('B5'!T125/$E$7),0)</f>
        <v>0</v>
      </c>
      <c r="BX72" s="187">
        <f>IFERROR(('B5'!U125/$E$7),0)</f>
        <v>0</v>
      </c>
      <c r="BY72" s="187">
        <f>IFERROR(('B5'!V125/$E$7),0)</f>
        <v>0</v>
      </c>
      <c r="BZ72" s="187">
        <f>IFERROR(('B5'!W125/$E$7),0)</f>
        <v>0</v>
      </c>
      <c r="CA72" s="187">
        <f>IFERROR(('B5'!X125/$E$7),0)</f>
        <v>0</v>
      </c>
      <c r="CB72" s="188">
        <f>IFERROR(('B5'!Y125/$E$7),0)</f>
        <v>0</v>
      </c>
      <c r="CC72" s="187">
        <f>IFERROR(('B5'!Z125/$E$7),0)</f>
        <v>0</v>
      </c>
      <c r="CD72" s="188">
        <f>IFERROR(('B5'!AA125/$E$7),0)</f>
        <v>0</v>
      </c>
      <c r="CE72" s="188">
        <f>IFERROR(('B5'!AB125/$E$7),0)</f>
        <v>0</v>
      </c>
      <c r="CF72" s="172">
        <f t="shared" si="83"/>
        <v>0</v>
      </c>
    </row>
    <row r="73" spans="2:84">
      <c r="B73" s="181" t="s">
        <v>78</v>
      </c>
      <c r="C73" s="142"/>
      <c r="D73" s="137">
        <f>IFERROR(Total!D66/$E$7,0)</f>
        <v>0</v>
      </c>
      <c r="E73" s="194">
        <f>IFERROR(Total!E66/$E$7,0)</f>
        <v>0</v>
      </c>
      <c r="F73" s="194">
        <f>IFERROR(Total!F66/$E$7,0)</f>
        <v>0</v>
      </c>
      <c r="G73" s="194">
        <f>IFERROR(Total!G66/$E$7,0)</f>
        <v>0</v>
      </c>
      <c r="H73" s="194">
        <f>IFERROR(Total!H66/$E$7,0)</f>
        <v>0</v>
      </c>
      <c r="I73" s="194">
        <f>IFERROR(Total!I66/$E$7,0)</f>
        <v>0</v>
      </c>
      <c r="J73" s="195">
        <f>IFERROR(Total!J66/$E$7,0)</f>
        <v>0</v>
      </c>
      <c r="K73" s="194">
        <f>IFERROR(Total!K66/$E$7,0)</f>
        <v>0</v>
      </c>
      <c r="L73" s="195">
        <f>IFERROR(Total!L66/$E$7,0)</f>
        <v>0</v>
      </c>
      <c r="M73" s="195">
        <f>IFERROR(Total!M66/$E$7,0)</f>
        <v>0</v>
      </c>
      <c r="N73" s="172">
        <f t="shared" si="78"/>
        <v>0</v>
      </c>
      <c r="P73" s="181" t="s">
        <v>78</v>
      </c>
      <c r="Q73" s="142"/>
      <c r="R73" s="137">
        <f>IFERROR(('B1'!S126/$E$7),0)</f>
        <v>0</v>
      </c>
      <c r="S73" s="194">
        <f>IFERROR(('B1'!T126/$E$7),0)</f>
        <v>0</v>
      </c>
      <c r="T73" s="194">
        <f>IFERROR(('B1'!U126/$E$7),0)</f>
        <v>0</v>
      </c>
      <c r="U73" s="194">
        <f>IFERROR(('B1'!V126/$E$7),0)</f>
        <v>0</v>
      </c>
      <c r="V73" s="194">
        <f>IFERROR(('B1'!W126/$E$7),0)</f>
        <v>0</v>
      </c>
      <c r="W73" s="194">
        <f>IFERROR(('B1'!X126/$E$7),0)</f>
        <v>0</v>
      </c>
      <c r="X73" s="195">
        <f>IFERROR(('B1'!Y126/$E$7),0)</f>
        <v>0</v>
      </c>
      <c r="Y73" s="194">
        <f>IFERROR(('B1'!Z126/$E$7),0)</f>
        <v>0</v>
      </c>
      <c r="Z73" s="195">
        <f>IFERROR(('B1'!AA126/$E$7),0)</f>
        <v>0</v>
      </c>
      <c r="AA73" s="195">
        <f>IFERROR(('B1'!AB126/$E$7),0)</f>
        <v>0</v>
      </c>
      <c r="AB73" s="172">
        <f t="shared" si="79"/>
        <v>0</v>
      </c>
      <c r="AD73" s="181" t="s">
        <v>78</v>
      </c>
      <c r="AE73" s="142"/>
      <c r="AF73" s="137">
        <f>IFERROR(('B2'!S126/$E$7),0)</f>
        <v>0</v>
      </c>
      <c r="AG73" s="194">
        <f>IFERROR(('B2'!T126/$E$7),0)</f>
        <v>0</v>
      </c>
      <c r="AH73" s="194">
        <f>IFERROR(('B2'!U126/$E$7),0)</f>
        <v>0</v>
      </c>
      <c r="AI73" s="194">
        <f>IFERROR(('B2'!V126/$E$7),0)</f>
        <v>0</v>
      </c>
      <c r="AJ73" s="194">
        <f>IFERROR(('B2'!W126/$E$7),0)</f>
        <v>0</v>
      </c>
      <c r="AK73" s="194">
        <f>IFERROR(('B2'!X126/$E$7),0)</f>
        <v>0</v>
      </c>
      <c r="AL73" s="195">
        <f>IFERROR(('B2'!Y126/$E$7),0)</f>
        <v>0</v>
      </c>
      <c r="AM73" s="194">
        <f>IFERROR(('B2'!Z126/$E$7),0)</f>
        <v>0</v>
      </c>
      <c r="AN73" s="195">
        <f>IFERROR(('B2'!AA126/$E$7),0)</f>
        <v>0</v>
      </c>
      <c r="AO73" s="195">
        <f>IFERROR(('B2'!AB126/$E$7),0)</f>
        <v>0</v>
      </c>
      <c r="AP73" s="172">
        <f t="shared" si="80"/>
        <v>0</v>
      </c>
      <c r="AR73" s="181" t="s">
        <v>78</v>
      </c>
      <c r="AS73" s="142"/>
      <c r="AT73" s="137">
        <f>IFERROR(('B3'!S126/$E$7),0)</f>
        <v>0</v>
      </c>
      <c r="AU73" s="187">
        <f>IFERROR(('B3'!T126/$E$7),0)</f>
        <v>0</v>
      </c>
      <c r="AV73" s="187">
        <f>IFERROR(('B3'!U126/$E$7),0)</f>
        <v>0</v>
      </c>
      <c r="AW73" s="187">
        <f>IFERROR(('B3'!V126/$E$7),0)</f>
        <v>0</v>
      </c>
      <c r="AX73" s="187">
        <f>IFERROR(('B3'!W126/$E$7),0)</f>
        <v>0</v>
      </c>
      <c r="AY73" s="187">
        <f>IFERROR(('B3'!X126/$E$7),0)</f>
        <v>0</v>
      </c>
      <c r="AZ73" s="188">
        <f>IFERROR(('B3'!Y126/$E$7),0)</f>
        <v>0</v>
      </c>
      <c r="BA73" s="187">
        <f>IFERROR(('B3'!Z126/$E$7),0)</f>
        <v>0</v>
      </c>
      <c r="BB73" s="187">
        <f>IFERROR(('B3'!AA126/$E$7),0)</f>
        <v>0</v>
      </c>
      <c r="BC73" s="187">
        <f>IFERROR(('B3'!AB126/$E$7),0)</f>
        <v>0</v>
      </c>
      <c r="BD73" s="172">
        <f t="shared" si="81"/>
        <v>0</v>
      </c>
      <c r="BF73" s="181" t="s">
        <v>78</v>
      </c>
      <c r="BG73" s="142"/>
      <c r="BH73" s="137">
        <f>IFERROR(('B4'!S126/$E$7),0)</f>
        <v>0</v>
      </c>
      <c r="BI73" s="194">
        <f>IFERROR(('B4'!T126/$E$7),0)</f>
        <v>0</v>
      </c>
      <c r="BJ73" s="194">
        <f>IFERROR(('B4'!U126/$E$7),0)</f>
        <v>0</v>
      </c>
      <c r="BK73" s="194">
        <f>IFERROR(('B4'!V126/$E$7),0)</f>
        <v>0</v>
      </c>
      <c r="BL73" s="194">
        <f>IFERROR(('B4'!W126/$E$7),0)</f>
        <v>0</v>
      </c>
      <c r="BM73" s="194">
        <f>IFERROR(('B4'!X126/$E$7),0)</f>
        <v>0</v>
      </c>
      <c r="BN73" s="195">
        <f>IFERROR(('B4'!Y126/$E$7),0)</f>
        <v>0</v>
      </c>
      <c r="BO73" s="194">
        <f>IFERROR(('B4'!Z126/$E$7),0)</f>
        <v>0</v>
      </c>
      <c r="BP73" s="195">
        <f>IFERROR(('B4'!AA126/$E$7),0)</f>
        <v>0</v>
      </c>
      <c r="BQ73" s="195">
        <f>IFERROR(('B4'!AB126/$E$7),0)</f>
        <v>0</v>
      </c>
      <c r="BR73" s="172">
        <f t="shared" si="82"/>
        <v>0</v>
      </c>
      <c r="BT73" s="181" t="s">
        <v>78</v>
      </c>
      <c r="BU73" s="142"/>
      <c r="BV73" s="137">
        <f>IFERROR(('B5'!S126/$E$7),0)</f>
        <v>0</v>
      </c>
      <c r="BW73" s="194">
        <f>IFERROR(('B5'!T126/$E$7),0)</f>
        <v>0</v>
      </c>
      <c r="BX73" s="194">
        <f>IFERROR(('B5'!U126/$E$7),0)</f>
        <v>0</v>
      </c>
      <c r="BY73" s="194">
        <f>IFERROR(('B5'!V126/$E$7),0)</f>
        <v>0</v>
      </c>
      <c r="BZ73" s="194">
        <f>IFERROR(('B5'!W126/$E$7),0)</f>
        <v>0</v>
      </c>
      <c r="CA73" s="194">
        <f>IFERROR(('B5'!X126/$E$7),0)</f>
        <v>0</v>
      </c>
      <c r="CB73" s="195">
        <f>IFERROR(('B5'!Y126/$E$7),0)</f>
        <v>0</v>
      </c>
      <c r="CC73" s="194">
        <f>IFERROR(('B5'!Z126/$E$7),0)</f>
        <v>0</v>
      </c>
      <c r="CD73" s="195">
        <f>IFERROR(('B5'!AA126/$E$7),0)</f>
        <v>0</v>
      </c>
      <c r="CE73" s="195">
        <f>IFERROR(('B5'!AB126/$E$7),0)</f>
        <v>0</v>
      </c>
      <c r="CF73" s="172">
        <f t="shared" si="83"/>
        <v>0</v>
      </c>
    </row>
    <row r="74" spans="2:84">
      <c r="B74" s="182" t="s">
        <v>0</v>
      </c>
      <c r="C74" s="110"/>
      <c r="D74" s="21">
        <f>IFERROR(Total!D67/$E$7,0)</f>
        <v>0</v>
      </c>
      <c r="E74" s="189">
        <f>IFERROR(Total!E67/$E$7,0)</f>
        <v>0</v>
      </c>
      <c r="F74" s="189">
        <f>IFERROR(Total!F67/$E$7,0)</f>
        <v>0</v>
      </c>
      <c r="G74" s="189">
        <f>IFERROR(Total!G67/$E$7,0)</f>
        <v>0</v>
      </c>
      <c r="H74" s="189">
        <f>IFERROR(Total!H67/$E$7,0)</f>
        <v>0</v>
      </c>
      <c r="I74" s="189">
        <f>IFERROR(Total!I67/$E$7,0)</f>
        <v>0</v>
      </c>
      <c r="J74" s="190">
        <f>IFERROR(Total!J67/$E$7,0)</f>
        <v>0</v>
      </c>
      <c r="K74" s="189">
        <f>IFERROR(Total!K67/$E$7,0)</f>
        <v>0</v>
      </c>
      <c r="L74" s="190">
        <f>IFERROR(Total!L67/$E$7,0)</f>
        <v>0</v>
      </c>
      <c r="M74" s="190">
        <f>IFERROR(Total!M67/$E$7,0)</f>
        <v>0</v>
      </c>
      <c r="N74" s="172">
        <f t="shared" si="78"/>
        <v>0</v>
      </c>
      <c r="P74" s="182" t="s">
        <v>0</v>
      </c>
      <c r="Q74" s="110"/>
      <c r="R74" s="21">
        <f>IFERROR(('B1'!S127/$E$7),0)</f>
        <v>0</v>
      </c>
      <c r="S74" s="189">
        <f>IFERROR(('B1'!T127/$E$7),0)</f>
        <v>0</v>
      </c>
      <c r="T74" s="189">
        <f>IFERROR(('B1'!U127/$E$7),0)</f>
        <v>0</v>
      </c>
      <c r="U74" s="189">
        <f>IFERROR(('B1'!V127/$E$7),0)</f>
        <v>0</v>
      </c>
      <c r="V74" s="189">
        <f>IFERROR(('B1'!W127/$E$7),0)</f>
        <v>0</v>
      </c>
      <c r="W74" s="189">
        <f>IFERROR(('B1'!X127/$E$7),0)</f>
        <v>0</v>
      </c>
      <c r="X74" s="190">
        <f>IFERROR(('B1'!Y127/$E$7),0)</f>
        <v>0</v>
      </c>
      <c r="Y74" s="189">
        <f>IFERROR(('B1'!Z127/$E$7),0)</f>
        <v>0</v>
      </c>
      <c r="Z74" s="190">
        <f>IFERROR(('B1'!AA127/$E$7),0)</f>
        <v>0</v>
      </c>
      <c r="AA74" s="190">
        <f>IFERROR(('B1'!AB127/$E$7),0)</f>
        <v>0</v>
      </c>
      <c r="AB74" s="172">
        <f t="shared" si="79"/>
        <v>0</v>
      </c>
      <c r="AD74" s="182" t="s">
        <v>0</v>
      </c>
      <c r="AE74" s="110"/>
      <c r="AF74" s="21">
        <f>IFERROR(('B2'!S127/$E$7),0)</f>
        <v>0</v>
      </c>
      <c r="AG74" s="189">
        <f>IFERROR(('B2'!T127/$E$7),0)</f>
        <v>0</v>
      </c>
      <c r="AH74" s="189">
        <f>IFERROR(('B2'!U127/$E$7),0)</f>
        <v>0</v>
      </c>
      <c r="AI74" s="189">
        <f>IFERROR(('B2'!V127/$E$7),0)</f>
        <v>0</v>
      </c>
      <c r="AJ74" s="189">
        <f>IFERROR(('B2'!W127/$E$7),0)</f>
        <v>0</v>
      </c>
      <c r="AK74" s="189">
        <f>IFERROR(('B2'!X127/$E$7),0)</f>
        <v>0</v>
      </c>
      <c r="AL74" s="190">
        <f>IFERROR(('B2'!Y127/$E$7),0)</f>
        <v>0</v>
      </c>
      <c r="AM74" s="189">
        <f>IFERROR(('B2'!Z127/$E$7),0)</f>
        <v>0</v>
      </c>
      <c r="AN74" s="190">
        <f>IFERROR(('B2'!AA127/$E$7),0)</f>
        <v>0</v>
      </c>
      <c r="AO74" s="190">
        <f>IFERROR(('B2'!AB127/$E$7),0)</f>
        <v>0</v>
      </c>
      <c r="AP74" s="172">
        <f t="shared" si="80"/>
        <v>0</v>
      </c>
      <c r="AR74" s="182" t="s">
        <v>0</v>
      </c>
      <c r="AS74" s="110"/>
      <c r="AT74" s="21">
        <f>IFERROR(('B3'!S127/$E$7),0)</f>
        <v>0</v>
      </c>
      <c r="AU74" s="189">
        <f>IFERROR(('B3'!T127/$E$7),0)</f>
        <v>0</v>
      </c>
      <c r="AV74" s="189">
        <f>IFERROR(('B3'!U127/$E$7),0)</f>
        <v>0</v>
      </c>
      <c r="AW74" s="189">
        <f>IFERROR(('B3'!V127/$E$7),0)</f>
        <v>0</v>
      </c>
      <c r="AX74" s="189">
        <f>IFERROR(('B3'!W127/$E$7),0)</f>
        <v>0</v>
      </c>
      <c r="AY74" s="189">
        <f>IFERROR(('B3'!X127/$E$7),0)</f>
        <v>0</v>
      </c>
      <c r="AZ74" s="190">
        <f>IFERROR(('B3'!Y127/$E$7),0)</f>
        <v>0</v>
      </c>
      <c r="BA74" s="189">
        <f>IFERROR(('B3'!Z127/$E$7),0)</f>
        <v>0</v>
      </c>
      <c r="BB74" s="189">
        <f>IFERROR(('B3'!AA127/$E$7),0)</f>
        <v>0</v>
      </c>
      <c r="BC74" s="189">
        <f>IFERROR(('B3'!AB127/$E$7),0)</f>
        <v>0</v>
      </c>
      <c r="BD74" s="172">
        <f t="shared" si="81"/>
        <v>0</v>
      </c>
      <c r="BF74" s="182" t="s">
        <v>0</v>
      </c>
      <c r="BG74" s="110"/>
      <c r="BH74" s="21">
        <f>IFERROR(('B4'!S127/$E$7),0)</f>
        <v>0</v>
      </c>
      <c r="BI74" s="189">
        <f>IFERROR(('B4'!T127/$E$7),0)</f>
        <v>0</v>
      </c>
      <c r="BJ74" s="189">
        <f>IFERROR(('B4'!U127/$E$7),0)</f>
        <v>0</v>
      </c>
      <c r="BK74" s="189">
        <f>IFERROR(('B4'!V127/$E$7),0)</f>
        <v>0</v>
      </c>
      <c r="BL74" s="189">
        <f>IFERROR(('B4'!W127/$E$7),0)</f>
        <v>0</v>
      </c>
      <c r="BM74" s="189">
        <f>IFERROR(('B4'!X127/$E$7),0)</f>
        <v>0</v>
      </c>
      <c r="BN74" s="190">
        <f>IFERROR(('B4'!Y127/$E$7),0)</f>
        <v>0</v>
      </c>
      <c r="BO74" s="189">
        <f>IFERROR(('B4'!Z127/$E$7),0)</f>
        <v>0</v>
      </c>
      <c r="BP74" s="190">
        <f>IFERROR(('B4'!AA127/$E$7),0)</f>
        <v>0</v>
      </c>
      <c r="BQ74" s="190">
        <f>IFERROR(('B4'!AB127/$E$7),0)</f>
        <v>0</v>
      </c>
      <c r="BR74" s="172">
        <f t="shared" si="82"/>
        <v>0</v>
      </c>
      <c r="BT74" s="182" t="s">
        <v>0</v>
      </c>
      <c r="BU74" s="110"/>
      <c r="BV74" s="21">
        <f>IFERROR(('B5'!S127/$E$7),0)</f>
        <v>0</v>
      </c>
      <c r="BW74" s="189">
        <f>IFERROR(('B5'!T127/$E$7),0)</f>
        <v>0</v>
      </c>
      <c r="BX74" s="189">
        <f>IFERROR(('B5'!U127/$E$7),0)</f>
        <v>0</v>
      </c>
      <c r="BY74" s="189">
        <f>IFERROR(('B5'!V127/$E$7),0)</f>
        <v>0</v>
      </c>
      <c r="BZ74" s="189">
        <f>IFERROR(('B5'!W127/$E$7),0)</f>
        <v>0</v>
      </c>
      <c r="CA74" s="189">
        <f>IFERROR(('B5'!X127/$E$7),0)</f>
        <v>0</v>
      </c>
      <c r="CB74" s="190">
        <f>IFERROR(('B5'!Y127/$E$7),0)</f>
        <v>0</v>
      </c>
      <c r="CC74" s="189">
        <f>IFERROR(('B5'!Z127/$E$7),0)</f>
        <v>0</v>
      </c>
      <c r="CD74" s="190">
        <f>IFERROR(('B5'!AA127/$E$7),0)</f>
        <v>0</v>
      </c>
      <c r="CE74" s="190">
        <f>IFERROR(('B5'!AB127/$E$7),0)</f>
        <v>0</v>
      </c>
      <c r="CF74" s="172">
        <f t="shared" si="83"/>
        <v>0</v>
      </c>
    </row>
    <row r="75" spans="2:84">
      <c r="B75" s="183" t="s">
        <v>103</v>
      </c>
      <c r="C75" s="110"/>
      <c r="D75" s="21">
        <f>IFERROR(Total!D68/$E$7,0)</f>
        <v>0</v>
      </c>
      <c r="E75" s="21">
        <f>IFERROR(Total!E68/$E$7,0)</f>
        <v>0</v>
      </c>
      <c r="F75" s="21">
        <f>IFERROR(Total!F68/$E$7,0)</f>
        <v>0</v>
      </c>
      <c r="G75" s="21">
        <f>IFERROR(Total!G68/$E$7,0)</f>
        <v>0</v>
      </c>
      <c r="H75" s="21">
        <f>IFERROR(Total!H68/$E$7,0)</f>
        <v>0</v>
      </c>
      <c r="I75" s="21">
        <f>IFERROR(Total!I68/$E$7,0)</f>
        <v>0</v>
      </c>
      <c r="J75" s="110">
        <f>IFERROR(Total!J68/$E$7,0)</f>
        <v>0</v>
      </c>
      <c r="K75" s="21">
        <f>IFERROR(Total!K68/$E$7,0)</f>
        <v>0</v>
      </c>
      <c r="L75" s="110">
        <f>IFERROR(Total!L68/$E$7,0)</f>
        <v>0</v>
      </c>
      <c r="M75" s="110">
        <f>IFERROR(Total!M68/$E$7,0)</f>
        <v>0</v>
      </c>
      <c r="N75" s="172">
        <f t="shared" si="78"/>
        <v>0</v>
      </c>
      <c r="P75" s="183" t="s">
        <v>96</v>
      </c>
      <c r="Q75" s="110"/>
      <c r="R75" s="21">
        <f>IFERROR(('B1'!S128/$E$7),0)</f>
        <v>0</v>
      </c>
      <c r="S75" s="21">
        <f>IFERROR(('B1'!T128/$E$7),0)</f>
        <v>0</v>
      </c>
      <c r="T75" s="21">
        <f>IFERROR(('B1'!U128/$E$7),0)</f>
        <v>0</v>
      </c>
      <c r="U75" s="21">
        <f>IFERROR(('B1'!V128/$E$7),0)</f>
        <v>0</v>
      </c>
      <c r="V75" s="21">
        <f>IFERROR(('B1'!W128/$E$7),0)</f>
        <v>0</v>
      </c>
      <c r="W75" s="21">
        <f>IFERROR(('B1'!X128/$E$7),0)</f>
        <v>0</v>
      </c>
      <c r="X75" s="110">
        <f>IFERROR(('B1'!Y128/$E$7),0)</f>
        <v>0</v>
      </c>
      <c r="Y75" s="21">
        <f>IFERROR(('B1'!Z128/$E$7),0)</f>
        <v>0</v>
      </c>
      <c r="Z75" s="110">
        <f>IFERROR(('B1'!AA128/$E$7),0)</f>
        <v>0</v>
      </c>
      <c r="AA75" s="110">
        <f>IFERROR(('B1'!AB128/$E$7),0)</f>
        <v>0</v>
      </c>
      <c r="AB75" s="172">
        <f t="shared" si="79"/>
        <v>0</v>
      </c>
      <c r="AD75" s="183" t="s">
        <v>96</v>
      </c>
      <c r="AE75" s="110"/>
      <c r="AF75" s="21">
        <f>IFERROR(('B2'!S128/$E$7),0)</f>
        <v>0</v>
      </c>
      <c r="AG75" s="21">
        <f>IFERROR(('B2'!T128/$E$7),0)</f>
        <v>0</v>
      </c>
      <c r="AH75" s="21">
        <f>IFERROR(('B2'!U128/$E$7),0)</f>
        <v>0</v>
      </c>
      <c r="AI75" s="21">
        <f>IFERROR(('B2'!V128/$E$7),0)</f>
        <v>0</v>
      </c>
      <c r="AJ75" s="21">
        <f>IFERROR(('B2'!W128/$E$7),0)</f>
        <v>0</v>
      </c>
      <c r="AK75" s="21">
        <f>IFERROR(('B2'!X128/$E$7),0)</f>
        <v>0</v>
      </c>
      <c r="AL75" s="110">
        <f>IFERROR(('B2'!Y128/$E$7),0)</f>
        <v>0</v>
      </c>
      <c r="AM75" s="21">
        <f>IFERROR(('B2'!Z128/$E$7),0)</f>
        <v>0</v>
      </c>
      <c r="AN75" s="110">
        <f>IFERROR(('B2'!AA128/$E$7),0)</f>
        <v>0</v>
      </c>
      <c r="AO75" s="110">
        <f>IFERROR(('B2'!AB128/$E$7),0)</f>
        <v>0</v>
      </c>
      <c r="AP75" s="172">
        <f t="shared" si="80"/>
        <v>0</v>
      </c>
      <c r="AR75" s="183" t="s">
        <v>96</v>
      </c>
      <c r="AS75" s="110"/>
      <c r="AT75" s="21">
        <f>IFERROR(('B3'!S128/$E$7),0)</f>
        <v>0</v>
      </c>
      <c r="AU75" s="21">
        <f>IFERROR(('B3'!T128/$E$7),0)</f>
        <v>0</v>
      </c>
      <c r="AV75" s="21">
        <f>IFERROR(('B3'!U128/$E$7),0)</f>
        <v>0</v>
      </c>
      <c r="AW75" s="21">
        <f>IFERROR(('B3'!V128/$E$7),0)</f>
        <v>0</v>
      </c>
      <c r="AX75" s="21">
        <f>IFERROR(('B3'!W128/$E$7),0)</f>
        <v>0</v>
      </c>
      <c r="AY75" s="21">
        <f>IFERROR(('B3'!X128/$E$7),0)</f>
        <v>0</v>
      </c>
      <c r="AZ75" s="110">
        <f>IFERROR(('B3'!Y128/$E$7),0)</f>
        <v>0</v>
      </c>
      <c r="BA75" s="21">
        <f>IFERROR(('B3'!Z128/$E$7),0)</f>
        <v>0</v>
      </c>
      <c r="BB75" s="21">
        <f>IFERROR(('B3'!AA128/$E$7),0)</f>
        <v>0</v>
      </c>
      <c r="BC75" s="21">
        <f>IFERROR(('B3'!AB128/$E$7),0)</f>
        <v>0</v>
      </c>
      <c r="BD75" s="172">
        <f t="shared" si="81"/>
        <v>0</v>
      </c>
      <c r="BF75" s="183" t="s">
        <v>96</v>
      </c>
      <c r="BG75" s="110"/>
      <c r="BH75" s="21">
        <f>IFERROR(('B4'!S128/$E$7),0)</f>
        <v>0</v>
      </c>
      <c r="BI75" s="21">
        <f>IFERROR(('B4'!T128/$E$7),0)</f>
        <v>0</v>
      </c>
      <c r="BJ75" s="21">
        <f>IFERROR(('B4'!U128/$E$7),0)</f>
        <v>0</v>
      </c>
      <c r="BK75" s="21">
        <f>IFERROR(('B4'!V128/$E$7),0)</f>
        <v>0</v>
      </c>
      <c r="BL75" s="21">
        <f>IFERROR(('B4'!W128/$E$7),0)</f>
        <v>0</v>
      </c>
      <c r="BM75" s="21">
        <f>IFERROR(('B4'!X128/$E$7),0)</f>
        <v>0</v>
      </c>
      <c r="BN75" s="110">
        <f>IFERROR(('B4'!Y128/$E$7),0)</f>
        <v>0</v>
      </c>
      <c r="BO75" s="21">
        <f>IFERROR(('B4'!Z128/$E$7),0)</f>
        <v>0</v>
      </c>
      <c r="BP75" s="110">
        <f>IFERROR(('B4'!AA128/$E$7),0)</f>
        <v>0</v>
      </c>
      <c r="BQ75" s="110">
        <f>IFERROR(('B4'!AB128/$E$7),0)</f>
        <v>0</v>
      </c>
      <c r="BR75" s="172">
        <f t="shared" si="82"/>
        <v>0</v>
      </c>
      <c r="BT75" s="183" t="s">
        <v>96</v>
      </c>
      <c r="BU75" s="110"/>
      <c r="BV75" s="21">
        <f>IFERROR(('B5'!S128/$E$7),0)</f>
        <v>0</v>
      </c>
      <c r="BW75" s="21">
        <f>IFERROR(('B5'!T128/$E$7),0)</f>
        <v>0</v>
      </c>
      <c r="BX75" s="21">
        <f>IFERROR(('B5'!U128/$E$7),0)</f>
        <v>0</v>
      </c>
      <c r="BY75" s="21">
        <f>IFERROR(('B5'!V128/$E$7),0)</f>
        <v>0</v>
      </c>
      <c r="BZ75" s="21">
        <f>IFERROR(('B5'!W128/$E$7),0)</f>
        <v>0</v>
      </c>
      <c r="CA75" s="21">
        <f>IFERROR(('B5'!X128/$E$7),0)</f>
        <v>0</v>
      </c>
      <c r="CB75" s="110">
        <f>IFERROR(('B5'!Y128/$E$7),0)</f>
        <v>0</v>
      </c>
      <c r="CC75" s="21">
        <f>IFERROR(('B5'!Z128/$E$7),0)</f>
        <v>0</v>
      </c>
      <c r="CD75" s="110">
        <f>IFERROR(('B5'!AA128/$E$7),0)</f>
        <v>0</v>
      </c>
      <c r="CE75" s="110">
        <f>IFERROR(('B5'!AB128/$E$7),0)</f>
        <v>0</v>
      </c>
      <c r="CF75" s="172">
        <f t="shared" si="83"/>
        <v>0</v>
      </c>
    </row>
    <row r="76" spans="2:84">
      <c r="B76" s="183" t="s">
        <v>108</v>
      </c>
      <c r="C76" s="110"/>
      <c r="D76" s="21">
        <f>IFERROR(Total!D69/$E$7,0)</f>
        <v>0</v>
      </c>
      <c r="E76" s="21">
        <f>IFERROR(Total!E69/$E$7,0)</f>
        <v>0</v>
      </c>
      <c r="F76" s="21">
        <f>IFERROR(Total!F69/$E$7,0)</f>
        <v>0</v>
      </c>
      <c r="G76" s="21">
        <f>IFERROR(Total!G69/$E$7,0)</f>
        <v>0</v>
      </c>
      <c r="H76" s="21">
        <f>IFERROR(Total!H69/$E$7,0)</f>
        <v>0</v>
      </c>
      <c r="I76" s="21">
        <f>IFERROR(Total!I69/$E$7,0)</f>
        <v>0</v>
      </c>
      <c r="J76" s="21">
        <f>IFERROR(Total!J69/$E$7,0)</f>
        <v>0</v>
      </c>
      <c r="K76" s="21">
        <f>IFERROR(Total!K69/$E$7,0)</f>
        <v>0</v>
      </c>
      <c r="L76" s="110">
        <f>IFERROR(Total!L69/$E$7,0)</f>
        <v>0</v>
      </c>
      <c r="M76" s="110">
        <f>IFERROR(Total!M69/$E$7,0)</f>
        <v>0</v>
      </c>
      <c r="N76" s="172">
        <f t="shared" si="78"/>
        <v>0</v>
      </c>
      <c r="P76" s="183" t="s">
        <v>108</v>
      </c>
      <c r="Q76" s="110"/>
      <c r="R76" s="21">
        <f>IFERROR(('B1'!S129/$E$7),0)</f>
        <v>0</v>
      </c>
      <c r="S76" s="21">
        <f>IFERROR(('B1'!T129/$E$7),0)</f>
        <v>0</v>
      </c>
      <c r="T76" s="21">
        <f>IFERROR(('B1'!U129/$E$7),0)</f>
        <v>0</v>
      </c>
      <c r="U76" s="21">
        <f>IFERROR(('B1'!V129/$E$7),0)</f>
        <v>0</v>
      </c>
      <c r="V76" s="21">
        <f>IFERROR(('B1'!W129/$E$7),0)</f>
        <v>0</v>
      </c>
      <c r="W76" s="21">
        <f>IFERROR(('B1'!X129/$E$7),0)</f>
        <v>0</v>
      </c>
      <c r="X76" s="21">
        <f>IFERROR(('B1'!Y129/$E$7),0)</f>
        <v>0</v>
      </c>
      <c r="Y76" s="21">
        <f>IFERROR(('B1'!Z129/$E$7),0)</f>
        <v>0</v>
      </c>
      <c r="Z76" s="110">
        <f>IFERROR(('B1'!AA129/$E$7),0)</f>
        <v>0</v>
      </c>
      <c r="AA76" s="110">
        <f>IFERROR(('B1'!AB129/$E$7),0)</f>
        <v>0</v>
      </c>
      <c r="AB76" s="172">
        <f t="shared" si="79"/>
        <v>0</v>
      </c>
      <c r="AD76" s="183" t="s">
        <v>108</v>
      </c>
      <c r="AE76" s="110"/>
      <c r="AF76" s="21">
        <f>IFERROR(('B2'!S129/$E$7),0)</f>
        <v>0</v>
      </c>
      <c r="AG76" s="21">
        <f>IFERROR(('B2'!T129/$E$7),0)</f>
        <v>0</v>
      </c>
      <c r="AH76" s="21">
        <f>IFERROR(('B2'!U129/$E$7),0)</f>
        <v>0</v>
      </c>
      <c r="AI76" s="21">
        <f>IFERROR(('B2'!V129/$E$7),0)</f>
        <v>0</v>
      </c>
      <c r="AJ76" s="21">
        <f>IFERROR(('B2'!W129/$E$7),0)</f>
        <v>0</v>
      </c>
      <c r="AK76" s="21">
        <f>IFERROR(('B2'!X129/$E$7),0)</f>
        <v>0</v>
      </c>
      <c r="AL76" s="21">
        <f>IFERROR(('B2'!Y129/$E$7),0)</f>
        <v>0</v>
      </c>
      <c r="AM76" s="21">
        <f>IFERROR(('B2'!Z129/$E$7),0)</f>
        <v>0</v>
      </c>
      <c r="AN76" s="110">
        <f>IFERROR(('B2'!AA129/$E$7),0)</f>
        <v>0</v>
      </c>
      <c r="AO76" s="110">
        <f>IFERROR(('B2'!AB129/$E$7),0)</f>
        <v>0</v>
      </c>
      <c r="AP76" s="172">
        <f t="shared" si="80"/>
        <v>0</v>
      </c>
      <c r="AR76" s="183" t="s">
        <v>108</v>
      </c>
      <c r="AS76" s="110"/>
      <c r="AT76" s="21">
        <f>IFERROR(('B3'!S129/$E$7),0)</f>
        <v>0</v>
      </c>
      <c r="AU76" s="21">
        <f>IFERROR(('B3'!T129/$E$7),0)</f>
        <v>0</v>
      </c>
      <c r="AV76" s="21">
        <f>IFERROR(('B3'!U129/$E$7),0)</f>
        <v>0</v>
      </c>
      <c r="AW76" s="21">
        <f>IFERROR(('B3'!V129/$E$7),0)</f>
        <v>0</v>
      </c>
      <c r="AX76" s="21">
        <f>IFERROR(('B3'!W129/$E$7),0)</f>
        <v>0</v>
      </c>
      <c r="AY76" s="21">
        <f>IFERROR(('B3'!X129/$E$7),0)</f>
        <v>0</v>
      </c>
      <c r="AZ76" s="21">
        <f>IFERROR(('B3'!Y129/$E$7),0)</f>
        <v>0</v>
      </c>
      <c r="BA76" s="21">
        <f>IFERROR(('B3'!Z129/$E$7),0)</f>
        <v>0</v>
      </c>
      <c r="BB76" s="21">
        <f>IFERROR(('B3'!AA129/$E$7),0)</f>
        <v>0</v>
      </c>
      <c r="BC76" s="21">
        <f>IFERROR(('B3'!AB129/$E$7),0)</f>
        <v>0</v>
      </c>
      <c r="BD76" s="172">
        <f t="shared" si="81"/>
        <v>0</v>
      </c>
      <c r="BF76" s="183" t="s">
        <v>108</v>
      </c>
      <c r="BG76" s="110"/>
      <c r="BH76" s="21">
        <f>IFERROR(('B4'!S129/$E$7),0)</f>
        <v>0</v>
      </c>
      <c r="BI76" s="21">
        <f>IFERROR(('B4'!T129/$E$7),0)</f>
        <v>0</v>
      </c>
      <c r="BJ76" s="21">
        <f>IFERROR(('B4'!U129/$E$7),0)</f>
        <v>0</v>
      </c>
      <c r="BK76" s="21">
        <f>IFERROR(('B4'!V129/$E$7),0)</f>
        <v>0</v>
      </c>
      <c r="BL76" s="21">
        <f>IFERROR(('B4'!W129/$E$7),0)</f>
        <v>0</v>
      </c>
      <c r="BM76" s="21">
        <f>IFERROR(('B4'!X129/$E$7),0)</f>
        <v>0</v>
      </c>
      <c r="BN76" s="21">
        <f>IFERROR(('B4'!Y129/$E$7),0)</f>
        <v>0</v>
      </c>
      <c r="BO76" s="21">
        <f>IFERROR(('B4'!Z129/$E$7),0)</f>
        <v>0</v>
      </c>
      <c r="BP76" s="110">
        <f>IFERROR(('B4'!AA129/$E$7),0)</f>
        <v>0</v>
      </c>
      <c r="BQ76" s="110">
        <f>IFERROR(('B4'!AB129/$E$7),0)</f>
        <v>0</v>
      </c>
      <c r="BR76" s="172">
        <f t="shared" si="82"/>
        <v>0</v>
      </c>
      <c r="BT76" s="183" t="s">
        <v>108</v>
      </c>
      <c r="BU76" s="110"/>
      <c r="BV76" s="21">
        <f>IFERROR(('B5'!S129/$E$7),0)</f>
        <v>0</v>
      </c>
      <c r="BW76" s="21">
        <f>IFERROR(('B5'!T129/$E$7),0)</f>
        <v>0</v>
      </c>
      <c r="BX76" s="21">
        <f>IFERROR(('B5'!U129/$E$7),0)</f>
        <v>0</v>
      </c>
      <c r="BY76" s="21">
        <f>IFERROR(('B5'!V129/$E$7),0)</f>
        <v>0</v>
      </c>
      <c r="BZ76" s="21">
        <f>IFERROR(('B5'!W129/$E$7),0)</f>
        <v>0</v>
      </c>
      <c r="CA76" s="21">
        <f>IFERROR(('B5'!X129/$E$7),0)</f>
        <v>0</v>
      </c>
      <c r="CB76" s="21">
        <f>IFERROR(('B5'!Y129/$E$7),0)</f>
        <v>0</v>
      </c>
      <c r="CC76" s="21">
        <f>IFERROR(('B5'!Z129/$E$7),0)</f>
        <v>0</v>
      </c>
      <c r="CD76" s="110">
        <f>IFERROR(('B5'!AA129/$E$7),0)</f>
        <v>0</v>
      </c>
      <c r="CE76" s="110">
        <f>IFERROR(('B5'!AB129/$E$7),0)</f>
        <v>0</v>
      </c>
      <c r="CF76" s="172">
        <f t="shared" si="83"/>
        <v>0</v>
      </c>
    </row>
    <row r="77" spans="2:84">
      <c r="B77" s="182" t="s">
        <v>531</v>
      </c>
      <c r="C77" s="110"/>
      <c r="D77" s="21">
        <f>IFERROR(Total!D70/$E$7,0)</f>
        <v>0</v>
      </c>
      <c r="E77" s="21">
        <f>IFERROR(Total!E70/$E$7,0)</f>
        <v>0</v>
      </c>
      <c r="F77" s="21">
        <f>IFERROR(Total!F70/$E$7,0)</f>
        <v>0</v>
      </c>
      <c r="G77" s="21">
        <f>IFERROR(Total!G70/$E$7,0)</f>
        <v>0</v>
      </c>
      <c r="H77" s="21">
        <f>IFERROR(Total!H70/$E$7,0)</f>
        <v>0</v>
      </c>
      <c r="I77" s="21">
        <f>IFERROR(Total!I70/$E$7,0)</f>
        <v>0</v>
      </c>
      <c r="J77" s="21">
        <f>IFERROR(Total!J70/$E$7,0)</f>
        <v>0</v>
      </c>
      <c r="K77" s="21">
        <f>IFERROR(Total!K70/$E$7,0)</f>
        <v>0</v>
      </c>
      <c r="L77" s="110">
        <f>IFERROR(Total!L70/$E$7,0)</f>
        <v>0</v>
      </c>
      <c r="M77" s="110">
        <f>IFERROR(Total!M70/$E$7,0)</f>
        <v>0</v>
      </c>
      <c r="N77" s="172">
        <f t="shared" si="78"/>
        <v>0</v>
      </c>
      <c r="P77" s="182" t="s">
        <v>531</v>
      </c>
      <c r="Q77" s="110"/>
      <c r="R77" s="21">
        <f>IFERROR(('B1'!S130/$E$7),0)</f>
        <v>0</v>
      </c>
      <c r="S77" s="21">
        <f>IFERROR(('B1'!T130/$E$7),0)</f>
        <v>0</v>
      </c>
      <c r="T77" s="21">
        <f>IFERROR(('B1'!U130/$E$7),0)</f>
        <v>0</v>
      </c>
      <c r="U77" s="21">
        <f>IFERROR(('B1'!V130/$E$7),0)</f>
        <v>0</v>
      </c>
      <c r="V77" s="21">
        <f>IFERROR(('B1'!W130/$E$7),0)</f>
        <v>0</v>
      </c>
      <c r="W77" s="21">
        <f>IFERROR(('B1'!X130/$E$7),0)</f>
        <v>0</v>
      </c>
      <c r="X77" s="21">
        <f>IFERROR(('B1'!Y130/$E$7),0)</f>
        <v>0</v>
      </c>
      <c r="Y77" s="21">
        <f>IFERROR(('B1'!Z130/$E$7),0)</f>
        <v>0</v>
      </c>
      <c r="Z77" s="110">
        <f>IFERROR(('B1'!AA130/$E$7),0)</f>
        <v>0</v>
      </c>
      <c r="AA77" s="110">
        <f>IFERROR(('B1'!AB130/$E$7),0)</f>
        <v>0</v>
      </c>
      <c r="AB77" s="172">
        <f t="shared" si="79"/>
        <v>0</v>
      </c>
      <c r="AD77" s="182" t="s">
        <v>531</v>
      </c>
      <c r="AE77" s="110"/>
      <c r="AF77" s="21">
        <f>IFERROR(('B2'!S130/$E$7),0)</f>
        <v>0</v>
      </c>
      <c r="AG77" s="21">
        <f>IFERROR(('B2'!T130/$E$7),0)</f>
        <v>0</v>
      </c>
      <c r="AH77" s="21">
        <f>IFERROR(('B2'!U130/$E$7),0)</f>
        <v>0</v>
      </c>
      <c r="AI77" s="21">
        <f>IFERROR(('B2'!V130/$E$7),0)</f>
        <v>0</v>
      </c>
      <c r="AJ77" s="21">
        <f>IFERROR(('B2'!W130/$E$7),0)</f>
        <v>0</v>
      </c>
      <c r="AK77" s="21">
        <f>IFERROR(('B2'!X130/$E$7),0)</f>
        <v>0</v>
      </c>
      <c r="AL77" s="21">
        <f>IFERROR(('B2'!Y130/$E$7),0)</f>
        <v>0</v>
      </c>
      <c r="AM77" s="21">
        <f>IFERROR(('B2'!Z130/$E$7),0)</f>
        <v>0</v>
      </c>
      <c r="AN77" s="110">
        <f>IFERROR(('B2'!AA130/$E$7),0)</f>
        <v>0</v>
      </c>
      <c r="AO77" s="110">
        <f>IFERROR(('B2'!AB130/$E$7),0)</f>
        <v>0</v>
      </c>
      <c r="AP77" s="172">
        <f t="shared" si="80"/>
        <v>0</v>
      </c>
      <c r="AR77" s="182" t="s">
        <v>531</v>
      </c>
      <c r="AS77" s="110"/>
      <c r="AT77" s="21">
        <f>IFERROR(('B3'!S130/$E$7),0)</f>
        <v>0</v>
      </c>
      <c r="AU77" s="21">
        <f>IFERROR(('B3'!T130/$E$7),0)</f>
        <v>0</v>
      </c>
      <c r="AV77" s="21">
        <f>IFERROR(('B3'!U130/$E$7),0)</f>
        <v>0</v>
      </c>
      <c r="AW77" s="21">
        <f>IFERROR(('B3'!V130/$E$7),0)</f>
        <v>0</v>
      </c>
      <c r="AX77" s="21">
        <f>IFERROR(('B3'!W130/$E$7),0)</f>
        <v>0</v>
      </c>
      <c r="AY77" s="21">
        <f>IFERROR(('B3'!X130/$E$7),0)</f>
        <v>0</v>
      </c>
      <c r="AZ77" s="21">
        <f>IFERROR(('B3'!Y130/$E$7),0)</f>
        <v>0</v>
      </c>
      <c r="BA77" s="21">
        <f>IFERROR(('B3'!Z130/$E$7),0)</f>
        <v>0</v>
      </c>
      <c r="BB77" s="21">
        <f>IFERROR(('B3'!AA130/$E$7),0)</f>
        <v>0</v>
      </c>
      <c r="BC77" s="21">
        <f>IFERROR(('B3'!AB130/$E$7),0)</f>
        <v>0</v>
      </c>
      <c r="BD77" s="172">
        <f t="shared" si="81"/>
        <v>0</v>
      </c>
      <c r="BF77" s="182" t="s">
        <v>531</v>
      </c>
      <c r="BG77" s="110"/>
      <c r="BH77" s="21">
        <f>IFERROR(('B4'!S130/$E$7),0)</f>
        <v>0</v>
      </c>
      <c r="BI77" s="21">
        <f>IFERROR(('B4'!T130/$E$7),0)</f>
        <v>0</v>
      </c>
      <c r="BJ77" s="21">
        <f>IFERROR(('B4'!U130/$E$7),0)</f>
        <v>0</v>
      </c>
      <c r="BK77" s="21">
        <f>IFERROR(('B4'!V130/$E$7),0)</f>
        <v>0</v>
      </c>
      <c r="BL77" s="21">
        <f>IFERROR(('B4'!W130/$E$7),0)</f>
        <v>0</v>
      </c>
      <c r="BM77" s="21">
        <f>IFERROR(('B4'!X130/$E$7),0)</f>
        <v>0</v>
      </c>
      <c r="BN77" s="21">
        <f>IFERROR(('B4'!Y130/$E$7),0)</f>
        <v>0</v>
      </c>
      <c r="BO77" s="21">
        <f>IFERROR(('B4'!Z130/$E$7),0)</f>
        <v>0</v>
      </c>
      <c r="BP77" s="110">
        <f>IFERROR(('B4'!AA130/$E$7),0)</f>
        <v>0</v>
      </c>
      <c r="BQ77" s="110">
        <f>IFERROR(('B4'!AB130/$E$7),0)</f>
        <v>0</v>
      </c>
      <c r="BR77" s="172">
        <f t="shared" si="82"/>
        <v>0</v>
      </c>
      <c r="BT77" s="182" t="s">
        <v>531</v>
      </c>
      <c r="BU77" s="110"/>
      <c r="BV77" s="21">
        <f>IFERROR(('B5'!S130/$E$7),0)</f>
        <v>0</v>
      </c>
      <c r="BW77" s="21">
        <f>IFERROR(('B5'!T130/$E$7),0)</f>
        <v>0</v>
      </c>
      <c r="BX77" s="21">
        <f>IFERROR(('B5'!U130/$E$7),0)</f>
        <v>0</v>
      </c>
      <c r="BY77" s="21">
        <f>IFERROR(('B5'!V130/$E$7),0)</f>
        <v>0</v>
      </c>
      <c r="BZ77" s="21">
        <f>IFERROR(('B5'!W130/$E$7),0)</f>
        <v>0</v>
      </c>
      <c r="CA77" s="21">
        <f>IFERROR(('B5'!X130/$E$7),0)</f>
        <v>0</v>
      </c>
      <c r="CB77" s="21">
        <f>IFERROR(('B5'!Y130/$E$7),0)</f>
        <v>0</v>
      </c>
      <c r="CC77" s="21">
        <f>IFERROR(('B5'!Z130/$E$7),0)</f>
        <v>0</v>
      </c>
      <c r="CD77" s="110">
        <f>IFERROR(('B5'!AA130/$E$7),0)</f>
        <v>0</v>
      </c>
      <c r="CE77" s="110">
        <f>IFERROR(('B5'!AB130/$E$7),0)</f>
        <v>0</v>
      </c>
      <c r="CF77" s="172">
        <f t="shared" si="83"/>
        <v>0</v>
      </c>
    </row>
    <row r="78" spans="2:84" ht="14.5" thickBot="1">
      <c r="B78" s="184" t="s">
        <v>101</v>
      </c>
      <c r="C78" s="185"/>
      <c r="D78" s="143">
        <f>+SUM(D73:D77)</f>
        <v>0</v>
      </c>
      <c r="E78" s="143">
        <f t="shared" ref="E78:K78" si="84">+SUM(E73:E77)</f>
        <v>0</v>
      </c>
      <c r="F78" s="143">
        <f t="shared" si="84"/>
        <v>0</v>
      </c>
      <c r="G78" s="143">
        <f t="shared" si="84"/>
        <v>0</v>
      </c>
      <c r="H78" s="143">
        <f t="shared" si="84"/>
        <v>0</v>
      </c>
      <c r="I78" s="143">
        <f t="shared" si="84"/>
        <v>0</v>
      </c>
      <c r="J78" s="143">
        <f t="shared" si="84"/>
        <v>0</v>
      </c>
      <c r="K78" s="143">
        <f t="shared" si="84"/>
        <v>0</v>
      </c>
      <c r="L78" s="185">
        <f>+SUM(L73:L77)</f>
        <v>0</v>
      </c>
      <c r="M78" s="185">
        <f>+SUM(M73:M77)</f>
        <v>0</v>
      </c>
      <c r="N78" s="173">
        <f t="shared" si="78"/>
        <v>0</v>
      </c>
      <c r="P78" s="184" t="s">
        <v>101</v>
      </c>
      <c r="Q78" s="185"/>
      <c r="R78" s="143">
        <f>+SUM(R73:R77)</f>
        <v>0</v>
      </c>
      <c r="S78" s="143">
        <f t="shared" ref="S78:Y78" si="85">+SUM(S73:S77)</f>
        <v>0</v>
      </c>
      <c r="T78" s="143">
        <f t="shared" si="85"/>
        <v>0</v>
      </c>
      <c r="U78" s="143">
        <f t="shared" si="85"/>
        <v>0</v>
      </c>
      <c r="V78" s="143">
        <f t="shared" si="85"/>
        <v>0</v>
      </c>
      <c r="W78" s="143">
        <f t="shared" si="85"/>
        <v>0</v>
      </c>
      <c r="X78" s="143">
        <f t="shared" si="85"/>
        <v>0</v>
      </c>
      <c r="Y78" s="143">
        <f t="shared" si="85"/>
        <v>0</v>
      </c>
      <c r="Z78" s="185">
        <f>+SUM(Z73:Z77)</f>
        <v>0</v>
      </c>
      <c r="AA78" s="185">
        <f>+SUM(AA73:AA77)</f>
        <v>0</v>
      </c>
      <c r="AB78" s="173">
        <f t="shared" si="79"/>
        <v>0</v>
      </c>
      <c r="AD78" s="184" t="s">
        <v>101</v>
      </c>
      <c r="AE78" s="185"/>
      <c r="AF78" s="143">
        <f>+SUM(AF73:AF77)</f>
        <v>0</v>
      </c>
      <c r="AG78" s="143">
        <f t="shared" ref="AG78:AM78" si="86">+SUM(AG73:AG77)</f>
        <v>0</v>
      </c>
      <c r="AH78" s="143">
        <f t="shared" si="86"/>
        <v>0</v>
      </c>
      <c r="AI78" s="143">
        <f t="shared" si="86"/>
        <v>0</v>
      </c>
      <c r="AJ78" s="143">
        <f t="shared" si="86"/>
        <v>0</v>
      </c>
      <c r="AK78" s="143">
        <f t="shared" si="86"/>
        <v>0</v>
      </c>
      <c r="AL78" s="143">
        <f t="shared" si="86"/>
        <v>0</v>
      </c>
      <c r="AM78" s="143">
        <f t="shared" si="86"/>
        <v>0</v>
      </c>
      <c r="AN78" s="185">
        <f>+SUM(AN73:AN77)</f>
        <v>0</v>
      </c>
      <c r="AO78" s="185">
        <f>+SUM(AO73:AO77)</f>
        <v>0</v>
      </c>
      <c r="AP78" s="173">
        <f t="shared" si="80"/>
        <v>0</v>
      </c>
      <c r="AR78" s="184" t="s">
        <v>101</v>
      </c>
      <c r="AS78" s="185"/>
      <c r="AT78" s="143">
        <f>+SUM(AT73:AT77)</f>
        <v>0</v>
      </c>
      <c r="AU78" s="143">
        <f t="shared" ref="AU78:BA78" si="87">+SUM(AU73:AU77)</f>
        <v>0</v>
      </c>
      <c r="AV78" s="143">
        <f t="shared" si="87"/>
        <v>0</v>
      </c>
      <c r="AW78" s="143">
        <f t="shared" si="87"/>
        <v>0</v>
      </c>
      <c r="AX78" s="143">
        <f t="shared" si="87"/>
        <v>0</v>
      </c>
      <c r="AY78" s="143">
        <f t="shared" si="87"/>
        <v>0</v>
      </c>
      <c r="AZ78" s="143">
        <f t="shared" si="87"/>
        <v>0</v>
      </c>
      <c r="BA78" s="143">
        <f t="shared" si="87"/>
        <v>0</v>
      </c>
      <c r="BB78" s="185">
        <f>+SUM(BB73:BB77)</f>
        <v>0</v>
      </c>
      <c r="BC78" s="185">
        <f>+SUM(BC73:BC77)</f>
        <v>0</v>
      </c>
      <c r="BD78" s="173">
        <f t="shared" si="81"/>
        <v>0</v>
      </c>
      <c r="BF78" s="184" t="s">
        <v>101</v>
      </c>
      <c r="BG78" s="185"/>
      <c r="BH78" s="143">
        <f>+SUM(BH73:BH77)</f>
        <v>0</v>
      </c>
      <c r="BI78" s="143">
        <f t="shared" ref="BI78:BO78" si="88">+SUM(BI73:BI77)</f>
        <v>0</v>
      </c>
      <c r="BJ78" s="143">
        <f t="shared" si="88"/>
        <v>0</v>
      </c>
      <c r="BK78" s="143">
        <f t="shared" si="88"/>
        <v>0</v>
      </c>
      <c r="BL78" s="143">
        <f t="shared" si="88"/>
        <v>0</v>
      </c>
      <c r="BM78" s="143">
        <f t="shared" si="88"/>
        <v>0</v>
      </c>
      <c r="BN78" s="143">
        <f t="shared" si="88"/>
        <v>0</v>
      </c>
      <c r="BO78" s="143">
        <f t="shared" si="88"/>
        <v>0</v>
      </c>
      <c r="BP78" s="185">
        <f>+SUM(BP73:BP77)</f>
        <v>0</v>
      </c>
      <c r="BQ78" s="185">
        <f>+SUM(BQ73:BQ77)</f>
        <v>0</v>
      </c>
      <c r="BR78" s="173">
        <f t="shared" si="82"/>
        <v>0</v>
      </c>
      <c r="BT78" s="184" t="s">
        <v>101</v>
      </c>
      <c r="BU78" s="185"/>
      <c r="BV78" s="143">
        <f>+SUM(BV73:BV77)</f>
        <v>0</v>
      </c>
      <c r="BW78" s="143">
        <f t="shared" ref="BW78:CC78" si="89">+SUM(BW73:BW77)</f>
        <v>0</v>
      </c>
      <c r="BX78" s="143">
        <f t="shared" si="89"/>
        <v>0</v>
      </c>
      <c r="BY78" s="143">
        <f t="shared" si="89"/>
        <v>0</v>
      </c>
      <c r="BZ78" s="143">
        <f t="shared" si="89"/>
        <v>0</v>
      </c>
      <c r="CA78" s="143">
        <f t="shared" si="89"/>
        <v>0</v>
      </c>
      <c r="CB78" s="143">
        <f t="shared" si="89"/>
        <v>0</v>
      </c>
      <c r="CC78" s="143">
        <f t="shared" si="89"/>
        <v>0</v>
      </c>
      <c r="CD78" s="185">
        <f>+SUM(CD73:CD77)</f>
        <v>0</v>
      </c>
      <c r="CE78" s="185">
        <f>+SUM(CE73:CE77)</f>
        <v>0</v>
      </c>
      <c r="CF78" s="173">
        <f t="shared" si="83"/>
        <v>0</v>
      </c>
    </row>
  </sheetData>
  <sheetProtection algorithmName="SHA-512" hashValue="XIA5OfSdb+AHAJDbIAB2974FmVW+6tfPgOri4iYS9IohX44SAclSSQppilYd2NfsRxAVW2jjl4WbVYO/9TDmqg==" saltValue="fh01PAMH9QUCQXzY6N9GoA==" spinCount="100000" sheet="1" objects="1" scenarios="1"/>
  <mergeCells count="6">
    <mergeCell ref="BT9:CF9"/>
    <mergeCell ref="B9:N9"/>
    <mergeCell ref="P9:AB9"/>
    <mergeCell ref="AD9:AP9"/>
    <mergeCell ref="AR9:BD9"/>
    <mergeCell ref="BF9:BR9"/>
  </mergeCells>
  <dataValidations count="1">
    <dataValidation type="decimal" operator="greaterThan" allowBlank="1" showInputMessage="1" showErrorMessage="1" sqref="E6" xr:uid="{2C0246B0-433B-43D1-AB7B-934901B30F2B}">
      <formula1>0</formula1>
    </dataValidation>
  </dataValidations>
  <pageMargins left="0.70866141732283472" right="0.70866141732283472" top="0.74803149606299213" bottom="0.74803149606299213" header="0.31496062992125984" footer="0.31496062992125984"/>
  <pageSetup paperSize="9" scale="43" fitToWidth="5" orientation="portrait" r:id="rId1"/>
  <colBreaks count="5" manualBreakCount="5">
    <brk id="15" max="1048575" man="1"/>
    <brk id="29" max="1048575" man="1"/>
    <brk id="43" max="1048575" man="1"/>
    <brk id="57" max="1048575" man="1"/>
    <brk id="71"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DB6DB02A-0F79-4023-BC25-723B5544766A}">
          <x14:formula1>
            <xm:f>Currency!$A$2:$A$31</xm:f>
          </x14:formula1>
          <xm:sqref>D5</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0BB8F-9484-498B-8D19-9FA3FE6C750C}">
  <sheetPr codeName="Ark8"/>
  <dimension ref="A1:BI8"/>
  <sheetViews>
    <sheetView topLeftCell="AM1" workbookViewId="0">
      <selection activeCell="BF2" sqref="BF2"/>
    </sheetView>
  </sheetViews>
  <sheetFormatPr defaultRowHeight="14"/>
  <cols>
    <col min="1" max="1" width="14.58203125" customWidth="1"/>
    <col min="4" max="4" width="23.25" customWidth="1"/>
    <col min="5" max="5" width="15.58203125" customWidth="1"/>
    <col min="6" max="6" width="16.25" bestFit="1" customWidth="1"/>
    <col min="8" max="8" width="14.08203125" bestFit="1" customWidth="1"/>
    <col min="12" max="15" width="10.08203125" bestFit="1" customWidth="1"/>
    <col min="17" max="17" width="9.33203125" bestFit="1" customWidth="1"/>
    <col min="18" max="18" width="14.08203125" bestFit="1" customWidth="1"/>
    <col min="36" max="36" width="9.5" customWidth="1"/>
    <col min="38" max="38" width="9" customWidth="1"/>
    <col min="39" max="43" width="9.33203125" bestFit="1" customWidth="1"/>
    <col min="52" max="53" width="9.33203125" bestFit="1" customWidth="1"/>
    <col min="61" max="61" width="28.75" bestFit="1" customWidth="1"/>
  </cols>
  <sheetData>
    <row r="1" spans="1:61" ht="101.5">
      <c r="A1" s="210" t="s">
        <v>156</v>
      </c>
      <c r="B1" s="210" t="s">
        <v>593</v>
      </c>
      <c r="C1" s="210" t="s">
        <v>124</v>
      </c>
      <c r="D1" s="210" t="s">
        <v>127</v>
      </c>
      <c r="E1" s="400" t="s">
        <v>1906</v>
      </c>
      <c r="F1" s="210" t="s">
        <v>594</v>
      </c>
      <c r="G1" s="210" t="s">
        <v>595</v>
      </c>
      <c r="H1" s="210" t="s">
        <v>150</v>
      </c>
      <c r="I1" s="210" t="s">
        <v>596</v>
      </c>
      <c r="J1" s="210" t="s">
        <v>597</v>
      </c>
      <c r="K1" s="210" t="s">
        <v>145</v>
      </c>
      <c r="L1" s="210" t="s">
        <v>598</v>
      </c>
      <c r="M1" s="210" t="s">
        <v>599</v>
      </c>
      <c r="N1" s="210" t="s">
        <v>130</v>
      </c>
      <c r="O1" s="210" t="s">
        <v>147</v>
      </c>
      <c r="P1" s="210" t="s">
        <v>600</v>
      </c>
      <c r="Q1" s="210" t="s">
        <v>601</v>
      </c>
      <c r="R1" s="210" t="str">
        <f>"Applied amount to the dept.,
incl. overhead, "&amp;Total!D5</f>
        <v>Applied amount to the dept.,
incl. overhead, 2026</v>
      </c>
      <c r="S1" s="210" t="str">
        <f>"Applied amount to the dept.,
incl. overhead, "&amp;Total!E5</f>
        <v>Applied amount to the dept.,
incl. overhead, 2027</v>
      </c>
      <c r="T1" s="210" t="str">
        <f>"Applied amount to the dept.,
incl. overhead, "&amp;Total!F5</f>
        <v>Applied amount to the dept.,
incl. overhead, 2028</v>
      </c>
      <c r="U1" s="210" t="str">
        <f>"Applied amount to the dept.,
incl. overhead, "&amp;Total!G5</f>
        <v>Applied amount to the dept.,
incl. overhead, 2029</v>
      </c>
      <c r="V1" s="210" t="str">
        <f>"Applied amount to the dept.,
incl. overhead, "&amp;Total!H5</f>
        <v>Applied amount to the dept.,
incl. overhead, 2030</v>
      </c>
      <c r="W1" s="210" t="str">
        <f>"Applied amount to the dept.,
incl. overhead, "&amp;Total!I5</f>
        <v>Applied amount to the dept.,
incl. overhead, 2031</v>
      </c>
      <c r="X1" s="210" t="str">
        <f>"Applied amount to the dept.,
incl. overhead, "&amp;Total!J5</f>
        <v>Applied amount to the dept.,
incl. overhead, 2032</v>
      </c>
      <c r="Y1" s="210" t="str">
        <f>"Applied amount to the dept.,
incl. overhead, "&amp;Total!K5</f>
        <v>Applied amount to the dept.,
incl. overhead, 2033</v>
      </c>
      <c r="Z1" s="210" t="str">
        <f>"Applied amount to the dept.,
incl. overhead, "&amp;Total!L5</f>
        <v>Applied amount to the dept.,
incl. overhead, 2034</v>
      </c>
      <c r="AA1" s="210" t="str">
        <f>"Applied amount to the dept.,
incl. overhead, "&amp;Total!M5</f>
        <v>Applied amount to the dept.,
incl. overhead, 2035</v>
      </c>
      <c r="AB1" s="210" t="str">
        <f>"Applied coverage
of fixed costs "&amp;Total!D5</f>
        <v>Applied coverage
of fixed costs 2026</v>
      </c>
      <c r="AC1" s="210" t="str">
        <f>"Applied coverage
of fixed costs "&amp;Total!E5</f>
        <v>Applied coverage
of fixed costs 2027</v>
      </c>
      <c r="AD1" s="210" t="str">
        <f>"Applied coverage
of fixed costs "&amp;Total!F5</f>
        <v>Applied coverage
of fixed costs 2028</v>
      </c>
      <c r="AE1" s="210" t="str">
        <f>"Applied coverage
of fixed costs "&amp;Total!G5</f>
        <v>Applied coverage
of fixed costs 2029</v>
      </c>
      <c r="AF1" s="210" t="str">
        <f>"Applied coverage
of fixed costs "&amp;Total!H5</f>
        <v>Applied coverage
of fixed costs 2030</v>
      </c>
      <c r="AG1" s="210" t="str">
        <f>"Applied coverage
of fixed costs "&amp;Total!I5</f>
        <v>Applied coverage
of fixed costs 2031</v>
      </c>
      <c r="AH1" s="210" t="str">
        <f>"Applied coverage
of fixed costs "&amp;Total!J5</f>
        <v>Applied coverage
of fixed costs 2032</v>
      </c>
      <c r="AI1" s="210" t="str">
        <f>"Applied coverage
of fixed costs "&amp;Total!K5</f>
        <v>Applied coverage
of fixed costs 2033</v>
      </c>
      <c r="AJ1" s="210" t="str">
        <f>"Applied coverage
of fixed costs "&amp;Total!L5</f>
        <v>Applied coverage
of fixed costs 2034</v>
      </c>
      <c r="AK1" s="210" t="str">
        <f>"Applied coverage
of fixed costs "&amp;Total!M5</f>
        <v>Applied coverage
of fixed costs 2035</v>
      </c>
      <c r="AL1" s="210" t="str">
        <f>"Co-financing from dept., "&amp;Total!D5</f>
        <v>Co-financing from dept., 2026</v>
      </c>
      <c r="AM1" s="210" t="str">
        <f>"Co-financing from dept., "&amp;Total!E5</f>
        <v>Co-financing from dept., 2027</v>
      </c>
      <c r="AN1" s="210" t="str">
        <f>"Co-financing from dept., "&amp;Total!F5</f>
        <v>Co-financing from dept., 2028</v>
      </c>
      <c r="AO1" s="210" t="str">
        <f>"Co-financing from dept., "&amp;Total!G5</f>
        <v>Co-financing from dept., 2029</v>
      </c>
      <c r="AP1" s="210" t="str">
        <f>"Co-financing from dept., "&amp;Total!H5</f>
        <v>Co-financing from dept., 2030</v>
      </c>
      <c r="AQ1" s="210" t="str">
        <f>"Co-financing from dept., "&amp;Total!I5</f>
        <v>Co-financing from dept., 2031</v>
      </c>
      <c r="AR1" s="210" t="str">
        <f>"Co-financing from dept., "&amp;Total!J5</f>
        <v>Co-financing from dept., 2032</v>
      </c>
      <c r="AS1" s="210" t="str">
        <f>"Co-financing from dept., "&amp;Total!K5</f>
        <v>Co-financing from dept., 2033</v>
      </c>
      <c r="AT1" s="210" t="str">
        <f>"Co-financing from dept., "&amp;Total!L5</f>
        <v>Co-financing from dept., 2034</v>
      </c>
      <c r="AU1" s="210" t="str">
        <f>"Co-financing from dept., "&amp;Total!M5</f>
        <v>Co-financing from dept., 2035</v>
      </c>
      <c r="AV1" s="210" t="s">
        <v>1977</v>
      </c>
      <c r="AW1" s="210" t="s">
        <v>1978</v>
      </c>
      <c r="AX1" s="210" t="s">
        <v>1979</v>
      </c>
      <c r="AY1" s="210" t="s">
        <v>1980</v>
      </c>
      <c r="AZ1" s="210" t="s">
        <v>1981</v>
      </c>
      <c r="BA1" s="210" t="s">
        <v>1982</v>
      </c>
      <c r="BB1" s="210" t="s">
        <v>1983</v>
      </c>
      <c r="BC1" s="210" t="s">
        <v>1986</v>
      </c>
      <c r="BD1" s="210" t="s">
        <v>1985</v>
      </c>
      <c r="BE1" s="210" t="s">
        <v>1984</v>
      </c>
      <c r="BF1" s="210" t="s">
        <v>602</v>
      </c>
      <c r="BG1" s="210" t="s">
        <v>149</v>
      </c>
      <c r="BH1" s="210" t="s">
        <v>603</v>
      </c>
      <c r="BI1" s="210" t="s">
        <v>148</v>
      </c>
    </row>
    <row r="2" spans="1:61">
      <c r="A2" t="e">
        <f>IF('Cover letter'!I5 &lt;&gt; 0,
VLOOKUP('Cover letter'!E5,Lister!A4:B16,2,FALSE),
VLOOKUP('Cover letter ECE_MPE'!E5,Lister!A3:B16,2,FALSE)
)</f>
        <v>#N/A</v>
      </c>
      <c r="B2" t="str">
        <f>LOWER(IF(ISBLANK('Cover letter'!I5),
        IF(ISBLANK('Cover letter ECE_MPE'!I5),
            "",
            IF(NOT(ISNUMBER(FIND("au",LOWER('Cover letter ECE_MPE'!I5)))),
                "au"&amp;'Cover letter ECE_MPE'!I5,
                'Cover letter ECE_MPE'!I5)),
        IF(NOT(ISNUMBER(FIND("au",LOWER('Cover letter'!I5)))),
            "au"&amp;'Cover letter'!I5,
            'Cover letter'!I5)))</f>
        <v/>
      </c>
      <c r="C2">
        <f>IF(ISBLANK('Cover letter'!I5),'Cover letter ECE_MPE'!G5,'Cover letter'!G5)</f>
        <v>0</v>
      </c>
      <c r="D2" t="str">
        <f>IF(ISBLANK('Cover letter'!$I$5),'Cover letter ECE_MPE'!K8,'Cover letter'!K8)</f>
        <v/>
      </c>
      <c r="E2" t="e">
        <f>_xlfn.XLOOKUP(F2,GrantSourceCategory!B:B,GrantSourceCategory!A:A)</f>
        <v>#N/A</v>
      </c>
      <c r="F2">
        <f>IF(ISBLANK('Cover letter'!$I$5),
_xlfn.XLOOKUP('Cover letter ECE_MPE'!C7,Instrument!C:C,Instrument!A:A),
_xlfn.XLOOKUP('Cover letter'!C7,Instrument!C:C,Instrument!A:A))</f>
        <v>0</v>
      </c>
      <c r="G2">
        <f>IF(ISBLANK('Cover letter'!$I$5),'Cover letter ECE_MPE'!C6,'Cover letter'!C6)</f>
        <v>0</v>
      </c>
      <c r="H2">
        <f>IF(ISBLANK('Cover letter'!$I$5),_xlfn.XLOOKUP('Cover letter ECE_MPE'!H35,Economists!B:B,Economists!A:A),_xlfn.XLOOKUP('Cover letter'!H33,Economists!B:B,Economists!A:A))</f>
        <v>0</v>
      </c>
      <c r="I2" t="str">
        <f>IF('B1'!C12="","TFV","IV")</f>
        <v>TFV</v>
      </c>
      <c r="J2">
        <f>IF(ISBLANK('Cover letter'!$I$5),'Cover letter ECE_MPE'!C9,'Cover letter'!C9)</f>
        <v>0</v>
      </c>
      <c r="K2" t="s">
        <v>146</v>
      </c>
      <c r="L2" s="96">
        <f>IF(ISBLANK('Cover letter'!$I$5),'Cover letter ECE_MPE'!C13,'Cover letter'!C13)</f>
        <v>0</v>
      </c>
      <c r="M2" s="96">
        <f>IF(ISBLANK('Cover letter'!$I$5),'Cover letter ECE_MPE'!F13,'Cover letter'!F13)</f>
        <v>0</v>
      </c>
      <c r="N2" s="96">
        <f>IF(ISBLANK('Cover letter'!$I$5),'Cover letter ECE_MPE'!C12,'Cover letter'!C12)</f>
        <v>0</v>
      </c>
      <c r="O2" s="96">
        <f>IF(ISBLANK('Cover letter'!$I$5),'Cover letter ECE_MPE'!F12,'Cover letter'!F12)</f>
        <v>0</v>
      </c>
      <c r="P2" s="402">
        <f>ROUND(IF(ISBLANK('Cover letter'!$I$5),'Cover letter ECE_MPE'!D20,'Cover letter'!D20),0)</f>
        <v>0</v>
      </c>
      <c r="Q2" s="402">
        <f>ROUND(IF(ISBLANK('Cover letter'!$I$5),'Cover letter ECE_MPE'!D22,'Cover letter'!D22),0)</f>
        <v>0</v>
      </c>
      <c r="R2" s="401" t="str">
        <f>IF(
ROUND(
IF('Cover letter'!E5='B1'!C2,'B1'!S89,0)+
IF('Cover letter'!E5='B2'!C2,'B2'!S89,0)+
IF('Cover letter'!E5='B3'!C2,'B3'!S89,0)+
IF('Cover letter'!E5='B4'!C2,'B4'!S89,0)+
IF('Cover letter'!E5='B5'!C2,'B5'!S89,0),0)
= 0, "",
ROUND(
IF('Cover letter'!E5='B1'!C2,'B1'!S89,0)+
IF('Cover letter'!E5='B2'!C2,'B2'!S89,0)+
IF('Cover letter'!E5='B3'!C2,'B3'!S89,0)+
IF('Cover letter'!E5='B4'!C2,'B4'!S89,0)+
IF('Cover letter'!E5='B5'!C2,'B5'!S89,0),0))</f>
        <v/>
      </c>
      <c r="S2" s="399" t="str">
        <f>IF(
ROUND(
IF('Cover letter'!E5='B1'!C2,'B1'!T89,0)+
IF('Cover letter'!E5='B2'!C2,'B2'!T89,0)+
IF('Cover letter'!E5='B3'!C2,'B3'!T89,0)+
IF('Cover letter'!E5='B4'!C2,'B4'!T89,0)+
IF('Cover letter'!E5='B5'!C2,'B5'!T89,0),0)
= 0, "",
ROUND(
IF('Cover letter'!E5='B1'!C2,'B1'!T89,0)+
IF('Cover letter'!E5='B2'!C2,'B2'!T89,0)+
IF('Cover letter'!E5='B3'!C2,'B3'!T89,0)+
IF('Cover letter'!E5='B4'!C2,'B4'!T89,0)+
IF('Cover letter'!E5='B5'!C2,'B5'!T89,0),0))</f>
        <v/>
      </c>
      <c r="T2" s="399" t="str">
        <f>IF(
ROUND(
IF('Cover letter'!E5='B1'!C2,'B1'!U89,0)+
IF('Cover letter'!E5='B2'!C2,'B2'!U89,0)+
IF('Cover letter'!E5='B3'!C2,'B3'!U89,0)+
IF('Cover letter'!E5='B4'!C2,'B4'!U89,0)+
IF('Cover letter'!E5='B5'!C2,'B5'!U89,0),0)
= 0, "",
ROUND(
IF('Cover letter'!E5='B1'!C2,'B1'!U89,0)+
IF('Cover letter'!E5='B2'!C2,'B2'!U89,0)+
IF('Cover letter'!E5='B3'!C2,'B3'!U89,0)+
IF('Cover letter'!E5='B4'!C2,'B4'!U89,0)+
IF('Cover letter'!E5='B5'!C2,'B5'!U89,0),0))</f>
        <v/>
      </c>
      <c r="U2" s="399" t="str">
        <f>IF(
ROUND(
IF('Cover letter'!E5='B1'!C2,'B1'!V89,0)+
IF('Cover letter'!E5='B2'!C2,'B2'!V89,0)+
IF('Cover letter'!E5='B3'!C2,'B3'!V89,0)+
IF('Cover letter'!E5='B4'!C2,'B4'!V89,0)+
IF('Cover letter'!E5='B5'!C2,'B5'!V89,0),0)
= 0, "",
ROUND(
IF('Cover letter'!E5='B1'!C2,'B1'!V89,0)+
IF('Cover letter'!E5='B2'!C2,'B2'!V89,0)+
IF('Cover letter'!E5='B3'!C2,'B3'!V89,0)+
IF('Cover letter'!E5='B4'!C2,'B4'!V89,0)+
IF('Cover letter'!E5='B5'!C2,'B5'!V89,0),0))</f>
        <v/>
      </c>
      <c r="V2" s="399" t="str">
        <f>IF(
ROUND(
IF('Cover letter'!E5='B1'!C2,'B1'!W89,0)+
IF('Cover letter'!E5='B2'!C2,'B2'!W89,0)+
IF('Cover letter'!E5='B3'!C2,'B3'!W89,0)+
IF('Cover letter'!E5='B4'!C2,'B4'!W89,0)+
IF('Cover letter'!E5='B5'!C2,'B5'!W89,0),0)
= 0, "",
ROUND(
IF('Cover letter'!E5='B1'!C2,'B1'!W89,0)+
IF('Cover letter'!E5='B2'!C2,'B2'!W89,0)+
IF('Cover letter'!E5='B3'!C2,'B3'!W89,0)+
IF('Cover letter'!E5='B4'!C2,'B4'!W89,0)+
IF('Cover letter'!E5='B5'!C2,'B5'!W89,0),0))</f>
        <v/>
      </c>
      <c r="W2" s="399" t="str">
        <f>IF(
ROUND(
IF('Cover letter'!E5='B1'!C2,'B1'!X89,0) +
IF('Cover letter'!E5='B2'!C2,'B2'!X89,0) +
IF('Cover letter'!E5='B3'!C2,'B3'!X89,0) +
IF('Cover letter'!E5='B4'!C2,'B4'!X89,0) +
IF('Cover letter'!E5='B5'!C2,'B5'!X89,0),0)
= 0, "",
ROUND(
IF('Cover letter'!E5='B1'!C2,'B1'!X89,0) +
IF('Cover letter'!E5='B2'!C2,'B2'!X89,0) +
IF('Cover letter'!E5='B3'!C2,'B3'!X89,0) +
IF('Cover letter'!E5='B4'!C2,'B4'!X89,0) +
IF('Cover letter'!E5='B5'!C2,'B5'!X89,0),0))</f>
        <v/>
      </c>
      <c r="X2" s="401" t="str">
        <f>IF(
ROUND(
IF('Cover letter'!E5='B1'!C2,'B1'!Y89,0) +
IF('Cover letter'!E5='B2'!C2,'B2'!Y89,0) +
IF('Cover letter'!E5='B3'!C2,'B3'!Y89,0) +
IF('Cover letter'!E5='B4'!C2,'B4'!Y89,0) +
IF('Cover letter'!E5='B5'!C2,'B5'!Y89,0),0)
= 0, "",
ROUND(
IF('Cover letter'!E5='B1'!C2,'B1'!Y89,0) +
IF('Cover letter'!E5='B2'!C2,'B2'!Y89,0) +
IF('Cover letter'!E5='B3'!C2,'B3'!Y89,0) +
IF('Cover letter'!E5='B4'!C2,'B4'!Y89,0) +
IF('Cover letter'!E5='B5'!C2,'B5'!Y89,0),0))</f>
        <v/>
      </c>
      <c r="Y2" s="401" t="str">
        <f>IF(
ROUND(
IF('Cover letter'!E5='B1'!C2,'B1'!Z89,0) +
IF('Cover letter'!E5='B2'!C2,'B2'!Z89,0) +
IF('Cover letter'!E5='B3'!C2,'B3'!Z89,0) +
IF('Cover letter'!E5='B4'!C2,'B4'!Z89,0) +
IF('Cover letter'!E5='B5'!C2,'B5'!Z89,0),0)
= 0, "",
ROUND(
IF('Cover letter'!E5='B1'!C2,'B1'!Z89,0) +
IF('Cover letter'!E5='B2'!C2,'B2'!Z89,0) +
IF('Cover letter'!E5='B3'!C2,'B3'!Z89,0) +
IF('Cover letter'!E5='B4'!C2,'B4'!Z89,0) +
IF('Cover letter'!E5='B5'!C2,'B5'!Z89,0),0))</f>
        <v/>
      </c>
      <c r="Z2" s="399" t="str">
        <f>IF(
ROUND(
IF('Cover letter'!E5='B1'!C2,'B1'!AA89,0) +
IF('Cover letter'!E5='B2'!C2,'B2'!AA89,0) +
IF('Cover letter'!E5='B3'!C2,'B3'!AA89,0) +
IF('Cover letter'!E5='B4'!C2,'B4'!AA89,0) +
IF('Cover letter'!E5='B5'!C2,'B5'!AA89,0),0)
= 0, "",
ROUND(
IF('Cover letter'!E5='B1'!C2,'B1'!AA89,0) +
IF('Cover letter'!E5='B2'!C2,'B2'!AA89,0) +
IF('Cover letter'!E5='B3'!C2,'B3'!AA89,0) +
IF('Cover letter'!E5='B4'!C2,'B4'!AA89,0) +
IF('Cover letter'!E5='B5'!C2,'B5'!AA89,0),0))</f>
        <v/>
      </c>
      <c r="AA2" s="399" t="str">
        <f>IF(
ROUND(
IF('Cover letter'!E5='B1'!C2,'B1'!AB89,0) +
IF('Cover letter'!E5='B2'!C2,'B2'!AB89,0) +
IF('Cover letter'!E5='B3'!C2,'B3'!AB89,0) +
IF('Cover letter'!E5='B4'!C2,'B4'!AB89,0) +
IF('Cover letter'!E5='B5'!C2,'B5'!AB89,0),0)
= 0, "",
ROUND(
IF('Cover letter'!E5='B1'!C2,'B1'!AB89,0) +
IF('Cover letter'!E5='B2'!C2,'B2'!AB89,0) +
IF('Cover letter'!E5='B3'!C2,'B3'!AB89,0) +
IF('Cover letter'!E5='B4'!C2,'B4'!AB89,0) +
IF('Cover letter'!E5='B5'!C2,'B5'!AB89,0),0))</f>
        <v/>
      </c>
      <c r="AB2" s="399" t="str">
        <f>IF(
ROUND(
IF('Cover letter'!E5='B1'!C2,'B1'!S112,0)+
IF('Cover letter'!E5='B2'!C2,'B2'!S112,0)+
IF('Cover letter'!E5='B3'!C2,'B3'!S112,0)+
IF('Cover letter'!E5='B4'!C2,'B4'!S112,0)+
IF('Cover letter'!E5='B5'!C2,'B5'!S112,0),0)
= 0, "",
ROUND(
IF('Cover letter'!E5='B1'!C2,'B1'!S112,0)+
IF('Cover letter'!E5='B2'!C2,'B2'!S112,0)+
IF('Cover letter'!E5='B3'!C2,'B3'!S112,0)+
IF('Cover letter'!E5='B4'!C2,'B4'!S112,0)+
IF('Cover letter'!E5='B5'!C2,'B5'!S112,0),0))</f>
        <v/>
      </c>
      <c r="AC2" s="399" t="str">
        <f>IF(
ROUND(
IF('Cover letter'!E5='B1'!C2,'B1'!T112,0)+
IF('Cover letter'!E5='B2'!C2,'B2'!T112,0)+
IF('Cover letter'!E5='B3'!C2,'B3'!T112,0)+
IF('Cover letter'!E5='B4'!C2,'B4'!T112,0)+
IF('Cover letter'!E5='B5'!C2,'B5'!T112,0),0)
= 0, "",
ROUND(
IF('Cover letter'!E5='B1'!C2,'B1'!T112,0)+
IF('Cover letter'!E5='B2'!C2,'B2'!T112,0)+
IF('Cover letter'!E5='B3'!C2,'B3'!T112,0)+
IF('Cover letter'!E5='B4'!C2,'B4'!T112,0)+
IF('Cover letter'!E5='B5'!C2,'B5'!T112,0),0))</f>
        <v/>
      </c>
      <c r="AD2" s="399" t="str">
        <f>IF(
ROUND(
IF('Cover letter'!E5='B1'!C2,'B1'!U112,0)+
IF('Cover letter'!E5='B2'!C2,'B2'!U112,0)+
IF('Cover letter'!E5='B3'!C2,'B3'!U112,0)+
IF('Cover letter'!E5='B4'!C2,'B4'!U112,0)+
IF('Cover letter'!E5='B5'!C2,'B5'!U112,0),0)
= 0, "",
ROUND(
IF('Cover letter'!E5='B1'!C2,'B1'!U112,0)+
IF('Cover letter'!E5='B2'!C2,'B2'!U112,0)+
IF('Cover letter'!E5='B3'!C2,'B3'!U112,0)+
IF('Cover letter'!E5='B4'!C2,'B4'!U112,0)+
IF('Cover letter'!E5='B5'!C2,'B5'!U112,0),0))</f>
        <v/>
      </c>
      <c r="AE2" s="399" t="str">
        <f>IF(
ROUND(
IF('Cover letter'!E5='B1'!C2,'B1'!V112,0)+
IF('Cover letter'!E5='B2'!C2,'B2'!V112,0)+
IF('Cover letter'!E5='B3'!C2,'B3'!V112,0)+
IF('Cover letter'!E5='B4'!C2,'B4'!V112,0)+
IF('Cover letter'!E5='B5'!C2,'B5'!V112,0),0)
= 0, "",
ROUND(
IF('Cover letter'!E5='B1'!C2,'B1'!V112,0)+
IF('Cover letter'!E5='B2'!C2,'B2'!V112,0)+
IF('Cover letter'!E5='B3'!C2,'B3'!V112,0)+
IF('Cover letter'!E5='B4'!C2,'B4'!V112,0)+
IF('Cover letter'!E5='B5'!C2,'B5'!V112,0),0))</f>
        <v/>
      </c>
      <c r="AF2" s="399" t="str">
        <f>IF(
ROUND(
IF('Cover letter'!E5='B1'!C2,'B1'!W112,0)+
IF('Cover letter'!E5='B2'!C2,'B2'!W112,0)+
IF('Cover letter'!E5='B3'!C2,'B3'!W112,0)+
IF('Cover letter'!E5='B4'!C2,'B4'!W112,0)+
IF('Cover letter'!E5='B5'!C2,'B5'!W112,0),0)
= 0, "",
ROUND(
IF('Cover letter'!E5='B1'!C2,'B1'!W112,0)+
IF('Cover letter'!E5='B2'!C2,'B2'!W112,0)+
IF('Cover letter'!E5='B3'!C2,'B3'!W112,0)+
IF('Cover letter'!E5='B4'!C2,'B4'!W112,0)+
IF('Cover letter'!E5='B5'!C2,'B5'!W112,0),0))</f>
        <v/>
      </c>
      <c r="AG2" s="399" t="str">
        <f>IF(
ROUND(
IF('Cover letter'!E5='B1'!C2,'B1'!X112,0)+
IF('Cover letter'!E5='B2'!C2,'B2'!X112,0)+
IF('Cover letter'!E5='B3'!C2,'B3'!X112,0)+
IF('Cover letter'!E5='B4'!C2,'B4'!X112,0)+
IF('Cover letter'!E5='B5'!C2,'B5'!X112,0),0)
= 0, "",
ROUND(
IF('Cover letter'!E5='B1'!C2,'B1'!X112,0)+
IF('Cover letter'!E5='B2'!C2,'B2'!X112,0)+
IF('Cover letter'!E5='B3'!C2,'B3'!X112,0)+
IF('Cover letter'!E5='B4'!C2,'B4'!X112,0)+
IF('Cover letter'!E5='B5'!C2,'B5'!X112,0),0))</f>
        <v/>
      </c>
      <c r="AH2" s="399" t="str">
        <f>IF(
ROUND(
IF('Cover letter'!E5='B1'!C2,'B1'!Y112,0)+
IF('Cover letter'!E5='B2'!C2,'B2'!Y112,0)+
IF('Cover letter'!E5='B3'!C2,'B3'!Y112,0)+
IF('Cover letter'!E5='B4'!C2,'B4'!Y112,0)+
IF('Cover letter'!E5='B5'!C2,'B5'!Y112,0),0)
= 0, "",
ROUND(
IF('Cover letter'!E5='B1'!C2,'B1'!Y112,0)+
IF('Cover letter'!E5='B2'!C2,'B2'!Y112,0)+
IF('Cover letter'!E5='B3'!C2,'B3'!Y112,0)+
IF('Cover letter'!E5='B4'!C2,'B4'!Y112,0)+
IF('Cover letter'!E5='B5'!C2,'B5'!Y112,0),0))</f>
        <v/>
      </c>
      <c r="AI2" s="399" t="str">
        <f>IF(
ROUND(
IF('Cover letter'!E5='B1'!C2,'B1'!Z112,0)+
IF('Cover letter'!E5='B2'!C2,'B2'!Z112,0)+
IF('Cover letter'!E5='B3'!C2,'B3'!Z112,0)+
IF('Cover letter'!E5='B4'!C2,'B4'!Z112,0)+
IF('Cover letter'!E5='B5'!C2,'B5'!Z112,0),0)
= 0, "",
ROUND(
IF('Cover letter'!E5='B1'!C2,'B1'!Z112,0)+
IF('Cover letter'!E5='B2'!C2,'B2'!Z112,0)+
IF('Cover letter'!E5='B3'!C2,'B3'!Z112,0)+
IF('Cover letter'!E5='B4'!C2,'B4'!Z112,0)+
IF('Cover letter'!E5='B5'!C2,'B5'!Z112,0),0))</f>
        <v/>
      </c>
      <c r="AJ2" s="399" t="str">
        <f>IF(
ROUND(
IF('Cover letter'!E5='B1'!C2,'B1'!AA112,0)+
IF('Cover letter'!E5='B2'!C2,'B2'!AA112,0)+
IF('Cover letter'!E5='B3'!C2,'B3'!AA112,0)+
IF('Cover letter'!E5='B4'!C2,'B4'!AA112,0)+
IF('Cover letter'!E5='B5'!C2,'B5'!AA112,0),0)
= 0, "",
ROUND(
IF('Cover letter'!E5='B1'!C2,'B1'!AA112,0)+
IF('Cover letter'!E5='B2'!C2,'B2'!AA112,0)+
IF('Cover letter'!E5='B3'!C2,'B3'!AA112,0)+
IF('Cover letter'!E5='B4'!C2,'B4'!AA112,0)+
IF('Cover letter'!E5='B5'!C2,'B5'!AA112,0),0))</f>
        <v/>
      </c>
      <c r="AK2" s="399" t="str">
        <f>IF(
ROUND(
IF('Cover letter'!E5='B1'!C2,'B1'!AB112,0)+
IF('Cover letter'!E5='B2'!C2,'B2'!AB112,0)+
IF('Cover letter'!E5='B3'!C2,'B3'!AB112,0)+
IF('Cover letter'!E5='B4'!C2,'B4'!AB112,0)+
IF('Cover letter'!E5='B5'!C2,'B5'!AB112,0),0)
= 0, "",
ROUND(
IF('Cover letter'!E5='B1'!C2,'B1'!AB112,0)+
IF('Cover letter'!E5='B2'!C2,'B2'!AB112,0)+
IF('Cover letter'!E5='B3'!C2,'B3'!AB112,0)+
IF('Cover letter'!E5='B4'!C2,'B4'!AB112,0)+
IF('Cover letter'!E5='B5'!C2,'B5'!AB112,0),0))</f>
        <v/>
      </c>
      <c r="AL2" s="399" t="str">
        <f>IF(ROUND(IF('Cover letter'!E5='B1'!C2,'B1'!S126,0)+IF('Cover letter'!E5='B2'!C2,'B2'!S126,0)+IF('Cover letter'!E5='B3'!C2,'B3'!S126,0)+IF('Cover letter'!E5='B4'!C2,'B4'!S126,0)+IF('Cover letter'!E5='B5'!C2,'B5'!S126,0),0)=0, "",
ROUND(IF('Cover letter'!E5='B1'!C2,'B1'!S126,0)+IF('Cover letter'!E5='B2'!C2,'B2'!S126,0)+IF('Cover letter'!E5='B3'!C2,'B3'!S126,0)+IF('Cover letter'!E5='B4'!C2,'B4'!S126,0)+IF('Cover letter'!E5='B5'!C2,'B5'!S126,0),0))</f>
        <v/>
      </c>
      <c r="AM2" s="399" t="str">
        <f>IF(ROUND(IF('Cover letter'!E5='B1'!C2,'B1'!T126,0)+IF('Cover letter'!E5='B2'!C2,'B2'!T126,0)+IF('Cover letter'!E5='B3'!C2,'B3'!T126,0)+IF('Cover letter'!E5='B4'!C2,'B4'!T126,0)+IF('Cover letter'!E5='B5'!C2,'B5'!T126,0),0)=0, "",
ROUND(IF('Cover letter'!E5='B1'!C2,'B1'!T126,0)+IF('Cover letter'!E5='B2'!C2,'B2'!T126,0)+IF('Cover letter'!E5='B3'!C2,'B3'!T126,0)+IF('Cover letter'!E5='B4'!C2,'B4'!T126,0)+IF('Cover letter'!E5='B5'!C2,'B5'!T126,0),0))</f>
        <v/>
      </c>
      <c r="AN2" s="399" t="str">
        <f>IF(ROUND(IF('Cover letter'!E5='B1'!C2,'B1'!U126,0)+IF('Cover letter'!E5='B2'!C2,'B2'!U126,0)+IF('Cover letter'!E5='B3'!C2,'B3'!U126,0)+IF('Cover letter'!E5='B4'!C2,'B4'!U126,0)+IF('Cover letter'!E5='B5'!C2,'B5'!U126,0),0)=0, "",
ROUND(IF('Cover letter'!E5='B1'!C2,'B1'!U126,0)+IF('Cover letter'!E5='B2'!C2,'B2'!U126,0)+IF('Cover letter'!E5='B3'!C2,'B3'!U126,0)+IF('Cover letter'!E5='B4'!C2,'B4'!U126,0)+IF('Cover letter'!E5='B5'!C2,'B5'!U126,0),0))</f>
        <v/>
      </c>
      <c r="AO2" s="399" t="str">
        <f>IF(ROUND(IF('Cover letter'!E5='B1'!C2,'B1'!V126,0)+IF('Cover letter'!E5='B2'!C2,'B2'!V126,0)+IF('Cover letter'!E5='B3'!C2,'B3'!V126,0)+IF('Cover letter'!E5='B4'!C2,'B4'!V126,0)+IF('Cover letter'!E5='B5'!C2,'B5'!V126,0),0)=0, "",
ROUND(IF('Cover letter'!E5='B1'!C2,'B1'!V126,0)+IF('Cover letter'!E5='B2'!C2,'B2'!V126,0)+IF('Cover letter'!E5='B3'!C2,'B3'!V126,0)+IF('Cover letter'!E5='B4'!C2,'B4'!V126,0)+IF('Cover letter'!E5='B5'!C2,'B5'!V126,0),0))</f>
        <v/>
      </c>
      <c r="AP2" s="399" t="str">
        <f>IF(ROUND(IF('Cover letter'!E5='B1'!C2,'B1'!W126,0)+IF('Cover letter'!E5='B2'!C2,'B2'!W126,0)+IF('Cover letter'!E5='B3'!C2,'B3'!W126,0)+IF('Cover letter'!E5='B4'!C2,'B4'!W126,0)+IF('Cover letter'!E5='B5'!C2,'B5'!W126,0),0)=0, "",
ROUND(IF('Cover letter'!E5='B1'!C2,'B1'!W126,0)+IF('Cover letter'!E5='B2'!C2,'B2'!W126,0)+IF('Cover letter'!E5='B3'!C2,'B3'!W126,0)+IF('Cover letter'!E5='B4'!C2,'B4'!W126,0)+IF('Cover letter'!E5='B5'!C2,'B5'!W126,0),0))</f>
        <v/>
      </c>
      <c r="AQ2" s="399" t="str">
        <f>IF(ROUND(IF('Cover letter'!E5='B1'!C2,'B1'!X126,0)+IF('Cover letter'!E5='B2'!C2,'B2'!X126,0)+IF('Cover letter'!E5='B3'!C2,'B3'!X126,0)+IF('Cover letter'!E5='B4'!C2,'B4'!X126,0)+IF('Cover letter'!E5='B5'!C2,'B5'!X126,0),0)=0, "",
ROUND(IF('Cover letter'!E5='B1'!C2,'B1'!X126,0)+IF('Cover letter'!E5='B2'!C2,'B2'!X126,0)+IF('Cover letter'!E5='B3'!C2,'B3'!X126,0)+IF('Cover letter'!E5='B4'!C2,'B4'!X126,0)+IF('Cover letter'!E5='B5'!C2,'B5'!X126,0),0))</f>
        <v/>
      </c>
      <c r="AR2" s="399" t="str">
        <f>IF(ROUND(IF('Cover letter'!E5='B1'!C2,'B1'!Y126,0)+IF('Cover letter'!E5='B2'!C2,'B2'!Y126,0)+IF('Cover letter'!E5='B3'!C2,'B3'!Y126,0)+IF('Cover letter'!E5='B4'!C2,'B4'!Y126,0)+IF('Cover letter'!E5='B5'!C2,'B5'!Y126,0),0)=0,"",
ROUND(IF('Cover letter'!E5='B1'!C2,'B1'!Y126,0)+IF('Cover letter'!E5='B2'!C2,'B2'!Y126,0)+IF('Cover letter'!E5='B3'!C2,'B3'!Y126,0)+IF('Cover letter'!E5='B4'!C2,'B4'!Y126,0)+IF('Cover letter'!E5='B5'!C2,'B5'!Y126,0),0))</f>
        <v/>
      </c>
      <c r="AS2" s="399" t="str">
        <f>IF(ROUND(IF('Cover letter'!E5='B1'!C2,'B1'!Z126,0)+IF('Cover letter'!E5='B2'!C2,'B2'!Z126,0)+IF('Cover letter'!E5='B3'!C2,'B3'!Z126,0)+IF('Cover letter'!E5='B4'!C2,'B4'!Z126,0)+IF('Cover letter'!E5='B5'!C2,'B5'!Z126,0),0)=0,"",
ROUND(IF('Cover letter'!E5='B1'!C2,'B1'!Z126,0)+IF('Cover letter'!E5='B2'!C2,'B2'!Z126,0)+IF('Cover letter'!E5='B3'!C2,'B3'!Z126,0)+IF('Cover letter'!E5='B4'!C2,'B4'!Z126,0)+IF('Cover letter'!E5='B5'!C2,'B5'!Z126,0),0))</f>
        <v/>
      </c>
      <c r="AT2" s="399" t="str">
        <f>IF(ROUND(IF('Cover letter'!E5='B1'!C2,'B1'!AA126,0)+IF('Cover letter'!E5='B2'!C2,'B2'!AA126,0)+IF('Cover letter'!E5='B3'!C2,'B3'!AA126,0)+IF('Cover letter'!E5='B4'!C2,'B4'!AA126,0)+IF('Cover letter'!E5='B5'!C2,'B5'!AA126,0),0)=0,"",
ROUND(IF('Cover letter'!E5='B1'!C2,'B1'!AA126,0)+IF('Cover letter'!E5='B2'!C2,'B2'!AA126,0)+IF('Cover letter'!E5='B3'!C2,'B3'!AA126,0)+IF('Cover letter'!E5='B4'!C2,'B4'!AA126,0)+IF('Cover letter'!E5='B5'!C2,'B5'!AA126,0),0))</f>
        <v/>
      </c>
      <c r="AU2" s="399" t="str">
        <f>IF(ROUND(IF('Cover letter'!E5='B1'!C2, 'B1'!AB126, 0)+IF('Cover letter'!E5='B2'!C2, 'B2'!AB126, 0)+IF('Cover letter'!E5='B3'!C2, 'B3'!AB126, 0)+IF('Cover letter'!E5='B4'!C2, 'B4'!AB126, 0)+IF('Cover letter'!E5='B5'!C2, 'B5'!AB126, 0),
    0)=0,
    "",
    ROUND(IF('Cover letter'!E5='B1'!C2, 'B1'!AB126, 0)+IF('Cover letter'!E5='B2'!C2, 'B2'!AB126, 0)+IF('Cover letter'!E5='B3'!C2, 'B3'!AB126, 0)+IF('Cover letter'!E5='B4'!C2, 'B4'!AB126, 0)+IF('Cover letter'!E5='B5'!C2, 'B5'!AB126, 0),
    0))</f>
        <v/>
      </c>
      <c r="AV2" s="399" t="str">
        <f>IF(ROUND(IF('Cover letter'!E5='B1'!C2, 'B1'!S70+'B1'!S71, 0)+IF('Cover letter'!E5='B2'!C2, 'B2'!S70+'B2'!S71, 0)+IF('Cover letter'!E5='B3'!C2, 'B3'!S70+'B3'!S71, 0)+IF('Cover letter'!E5='B4'!C2, 'B4'!S70+'B4'!S71, 0)+IF('Cover letter'!E5='B5'!C2, 'B5'!S70+'B5'!S71, 0),
    0)=0,
    "",
    ROUND(IF('Cover letter'!E5='B1'!C2, 'B1'!S70+'B1'!S71, 0)+IF('Cover letter'!E5='B2'!C2, 'B2'!S70+'B2'!S71, 0)+IF('Cover letter'!E5='B3'!C2, 'B3'!S70+'B3'!S71, 0)+IF('Cover letter'!E5='B4'!C2, 'B4'!S70+'B4'!S71, 0)+IF('Cover letter'!E5='B5'!C2, 'B5'!S70+'B5'!S71, 0),
    0))</f>
        <v/>
      </c>
      <c r="AW2" s="399" t="str">
        <f>IF(ROUND(IF('Cover letter'!E5='B1'!C2, 'B1'!T70+'B1'!T71, 0)+IF('Cover letter'!E5='B2'!C2, 'B2'!T70+'B2'!T71, 0)+IF('Cover letter'!E5='B3'!C2, 'B3'!T70+'B3'!T71, 0)+IF('Cover letter'!E5='B4'!C2, 'B4'!T70+'B4'!T71, 0)+IF('Cover letter'!E5='B5'!C2, 'B5'!T70+'B5'!T71, 0),
    0)=0,
    "",
    ROUND(IF('Cover letter'!E5='B1'!C2, 'B1'!T70+'B1'!T71, 0)+IF('Cover letter'!E5='B2'!C2, 'B2'!T70+'B2'!T71, 0)+IF('Cover letter'!E5='B3'!C2, 'B3'!T70+'B3'!T71, 0)+IF('Cover letter'!E5='B4'!C2, 'B4'!T70+'B4'!T71, 0)+IF('Cover letter'!E5='B5'!C2, 'B5'!T70+'B5'!T71, 0),
    0))</f>
        <v/>
      </c>
      <c r="AX2" s="399" t="str">
        <f>IF(ROUND(IF('Cover letter'!E5='B1'!C2, 'B1'!U70+'B1'!U71, 0)+IF('Cover letter'!E5='B2'!C2, 'B2'!U70+'B2'!U71, 0)+IF('Cover letter'!E5='B3'!C2, 'B3'!U70+'B3'!U71, 0)+IF('Cover letter'!E5='B4'!C2, 'B4'!U70+'B4'!U71, 0)+IF('Cover letter'!E5='B5'!C2, 'B5'!U70+'B5'!U71, 0),
    0)=0,
    "",
    ROUND(IF('Cover letter'!E5='B1'!C2, 'B1'!U70+'B1'!U71, 0)+IF('Cover letter'!E5='B2'!C2, 'B2'!U70+'B2'!U71, 0)+IF('Cover letter'!E5='B3'!C2, 'B3'!U70+'B3'!U71, 0)+IF('Cover letter'!E5='B4'!C2, 'B4'!U70+'B4'!U71, 0)+IF('Cover letter'!E5='B5'!C2, 'B5'!U70+'B5'!U71, 0),
    0))</f>
        <v/>
      </c>
      <c r="AY2" s="399" t="str">
        <f>IF(ROUND(IF('Cover letter'!E5='B1'!C2, 'B1'!V70+'B1'!V71, 0)+IF('Cover letter'!E5='B2'!C2, 'B2'!V70+'B2'!V71, 0)+IF('Cover letter'!E5='B3'!C2, 'B3'!V70+'B3'!V71, 0)+IF('Cover letter'!E5='B4'!C2, 'B4'!V70+'B4'!V71, 0)+IF('Cover letter'!E5='B5'!C2, 'B5'!V70+'B5'!V71, 0),
    0)=0,
    "",
    ROUND(IF('Cover letter'!E5='B1'!C2, 'B1'!V70+'B1'!V71, 0)+IF('Cover letter'!E5='B2'!C2, 'B2'!V70+'B2'!V71, 0)+IF('Cover letter'!E5='B3'!C2, 'B3'!V70+'B3'!V71, 0)+IF('Cover letter'!E5='B4'!C2, 'B4'!V70+'B4'!V71, 0)+IF('Cover letter'!E5='B5'!C2, 'B5'!V70+'B5'!V71, 0),
    0))</f>
        <v/>
      </c>
      <c r="AZ2" s="399" t="str">
        <f>IF(ROUND(IF('Cover letter'!E5='B1'!C2, 'B1'!W70+'B1'!W71, 0)+IF('Cover letter'!E5='B2'!C2, 'B2'!W70+'B2'!W71, 0)+IF('Cover letter'!E5='B3'!C2, 'B3'!W70+'B3'!W71, 0)+IF('Cover letter'!E5='B4'!C2, 'B4'!W70+'B4'!W71, 0)+IF('Cover letter'!E5='B5'!C2, 'B5'!W70+'B5'!W71, 0),
    0)=0,
    "",
    ROUND(IF('Cover letter'!E5='B1'!C2, 'B1'!W70+'B1'!W71, 0)+IF('Cover letter'!E5='B2'!C2, 'B2'!W70+'B2'!W71, 0)+IF('Cover letter'!E5='B3'!C2, 'B3'!W70+'B3'!W71, 0)+IF('Cover letter'!E5='B4'!C2, 'B4'!W70+'B4'!W71, 0)+IF('Cover letter'!E5='B5'!C2, 'B5'!W70+'B5'!W71, 0),
    0))</f>
        <v/>
      </c>
      <c r="BA2" s="399" t="str">
        <f>IF(ROUND(IF('Cover letter'!E5='B1'!C2, 'B1'!X70+'B1'!X71, 0)+IF('Cover letter'!E5='B2'!C2, 'B2'!X70+'B2'!X71, 0)+IF('Cover letter'!E5='B3'!C2, 'B3'!X70+'B3'!X71, 0)+IF('Cover letter'!E5='B4'!C2, 'B4'!X70+'B4'!X71, 0)+IF('Cover letter'!E5='B5'!C2, 'B5'!X70+'B5'!X71, 0),
    0)=0,
    "",
    ROUND(IF('Cover letter'!E5='B1'!C2, 'B1'!X70+'B1'!X71, 0)+IF('Cover letter'!E5='B2'!C2, 'B2'!X70+'B2'!X71, 0)+IF('Cover letter'!E5='B3'!C2, 'B3'!X70+'B3'!X71, 0)+IF('Cover letter'!E5='B4'!C2, 'B4'!X70+'B4'!X71, 0)+IF('Cover letter'!E5='B5'!C2, 'B5'!X70+'B5'!X71, 0),
    0))</f>
        <v/>
      </c>
      <c r="BB2" s="399" t="str">
        <f>IF(ROUND(IF('Cover letter'!E5='B1'!C2, 'B1'!Y70+'B1'!Y71, 0)+IF('Cover letter'!E5='B2'!C2, 'B2'!Y70+'B2'!Y71, 0)+IF('Cover letter'!E5='B3'!C2, 'B3'!Y70+'B3'!Y71, 0)+IF('Cover letter'!E5='B4'!C2, 'B4'!Y70+'B4'!Y71, 0)+IF('Cover letter'!E5='B5'!C2, 'B5'!Y70+'B5'!Y71, 0),
    0)=0,
    "",
    ROUND(IF('Cover letter'!E5='B1'!C2, 'B1'!Y70+'B1'!Y71, 0)+IF('Cover letter'!E5='B2'!C2, 'B2'!Y70+'B2'!Y71, 0)+IF('Cover letter'!E5='B3'!C2, 'B3'!Y70+'B3'!Y71, 0)+IF('Cover letter'!E5='B4'!C2, 'B4'!Y70+'B4'!Y71, 0)+IF('Cover letter'!E5='B5'!C2, 'B5'!Y70+'B5'!Y71, 0),
    0))</f>
        <v/>
      </c>
      <c r="BC2" s="399" t="str">
        <f>IF(ROUND(IF('Cover letter'!E5='B1'!C2, 'B1'!Z70+'B1'!Z71, 0)+IF('Cover letter'!E5='B2'!C2, 'B2'!Z70+'B2'!Z71, 0)+IF('Cover letter'!E5='B3'!C2, 'B3'!Z70+'B3'!Z71, 0)+IF('Cover letter'!E5='B4'!C2, 'B4'!Z70+'B4'!Z71, 0)+IF('Cover letter'!E5='B5'!C2, 'B5'!Z70+'B5'!Z71, 0),
    0)=0,
    "",
    ROUND(IF('Cover letter'!E5='B1'!C2, 'B1'!Z70+'B1'!Z71, 0)+IF('Cover letter'!E5='B2'!C2, 'B2'!Z70+'B2'!Z71, 0)+IF('Cover letter'!E5='B3'!C2, 'B3'!Z70+'B3'!Z71, 0)+IF('Cover letter'!E5='B4'!C2, 'B4'!Z70+'B4'!Z71, 0)+IF('Cover letter'!E5='B5'!C2, 'B5'!Z70+'B5'!Z71, 0),
    0))</f>
        <v/>
      </c>
      <c r="BD2" s="399" t="str">
        <f>IF(ROUND(IF('Cover letter'!E5='B1'!C2, 'B1'!AB70+'B1'!AB71, 0)+IF('Cover letter'!E5='B2'!C2, 'B2'!AB70+'B2'!AB71, 0)+IF('Cover letter'!E5='B3'!C2, 'B3'!AB70+'B3'!AB71, 0)+IF('Cover letter'!E5='B4'!C2, 'B4'!AB70+'B4'!AB71, 0)+IF('Cover letter'!E5='B5'!C2, 'B5'!AB70+'B5'!AB71, 0),
    0)=0,
    "",
    ROUND(IF('Cover letter'!E5='B1'!C2, 'B1'!AB70+'B1'!AB71, 0)+IF('Cover letter'!E5='B2'!C2, 'B2'!AB70+'B2'!AB71, 0)+IF('Cover letter'!E5='B3'!C2, 'B3'!AB70+'B3'!AB71, 0)+IF('Cover letter'!E5='B4'!C2, 'B4'!AB70+'B4'!AB71, 0)+IF('Cover letter'!E5='B5'!C2, 'B5'!AB70+'B5'!AB71, 0),
    0))</f>
        <v/>
      </c>
      <c r="BE2" s="399" t="str">
        <f>IF(ROUND(IF('Cover letter'!E5='B1'!C2, 'B1'!AB70+'B1'!AB71, 0)+IF('Cover letter'!E5='B2'!C2, 'B2'!AB70+'B2'!AB71, 0)+IF('Cover letter'!E5='B3'!C2, 'B3'!AB70+'B3'!AB71, 0)+IF('Cover letter'!E5='B4'!C2, 'B4'!AB70+'B4'!AB71, 0)+IF('Cover letter'!E5='B5'!C2, 'B5'!AB70+'B5'!AB71, 0),
    0)=0,
    "",
    ROUND(IF('Cover letter'!E5='B1'!C2, 'B1'!AB70+'B1'!AB71, 0)+IF('Cover letter'!E5='B2'!C2, 'B2'!AB70+'B2'!AB71, 0)+IF('Cover letter'!E5='B3'!C2, 'B3'!AB70+'B3'!AB71, 0)+IF('Cover letter'!E5='B4'!C2, 'B4'!AB70+'B4'!AB71, 0)+IF('Cover letter'!E5='B5'!C2, 'B5'!AB70+'B5'!AB71, 0),
    0))</f>
        <v/>
      </c>
      <c r="BF2" t="str">
        <f xml:space="preserve">
IF(
  IF('B1'!C6="","",'B1'!C6) = 0,
  "",
  IF('B1'!C6="","",'B1'!C6))</f>
        <v/>
      </c>
      <c r="BH2" t="s">
        <v>605</v>
      </c>
      <c r="BI2" s="385" t="str">
        <f>IF(
    ISBLANK('Cover letter'!$I$5),
    IF(
        AND(ISBLANK('Cover letter ECE_MPE'!D19), ISBLANK('Cover letter ECE_MPE'!D41)),
        "",
        IF(
            ISBLANK('Cover letter ECE_MPE'!D19),
            'Cover letter ECE_MPE'!D41,
            IF(
                ISBLANK('Cover letter ECE_MPE'!D41),
                'Cover letter ECE_MPE'!D19,
                'Cover letter ECE_MPE'!D19 &amp; ", WZ number: " &amp; 'Cover letter ECE_MPE'!D41
            )
        )
    ),
    IF(
        AND(ISBLANK('Cover letter'!D19), ISBLANK('Cover letter'!D41)),
        "",
        IF(
            ISBLANK('Cover letter'!D19),
            'Cover letter'!D41,
            IF(
                ISBLANK('Cover letter'!D41),
                'Cover letter'!D19,
                'Cover letter'!D19 &amp; ",  WZ number: " &amp; 'Cover letter'!D41
            )
        )
    )
)</f>
        <v/>
      </c>
    </row>
    <row r="5" spans="1:61">
      <c r="A5" s="1"/>
    </row>
    <row r="6" spans="1:61">
      <c r="A6" s="211"/>
    </row>
    <row r="7" spans="1:61">
      <c r="A7" s="211"/>
    </row>
    <row r="8" spans="1:61">
      <c r="A8" s="211"/>
    </row>
  </sheetData>
  <sheetProtection algorithmName="SHA-512" hashValue="69CP+oZ4V71w+ss8u/YF7djTLUSmAGDUKAheWSxZCe8MG+z971mrKHFEyT0Y9TjdL1ee/Xrxv6ZvGpMfSKVUPQ==" saltValue="75faH+R7h/X5iUuYr1Anbg==" spinCount="100000"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9B114-4CB5-4E4B-97ED-B6D18D9C0A75}">
  <sheetPr codeName="Ark20"/>
  <dimension ref="B1:D15"/>
  <sheetViews>
    <sheetView workbookViewId="0">
      <selection activeCell="B1" sqref="B1"/>
    </sheetView>
  </sheetViews>
  <sheetFormatPr defaultRowHeight="14"/>
  <cols>
    <col min="2" max="2" width="36" customWidth="1"/>
    <col min="3" max="3" width="10.75" customWidth="1"/>
  </cols>
  <sheetData>
    <row r="1" spans="2:4" ht="23">
      <c r="B1" s="252" t="s">
        <v>730</v>
      </c>
    </row>
    <row r="2" spans="2:4" ht="23">
      <c r="B2" s="252"/>
    </row>
    <row r="3" spans="2:4">
      <c r="B3" s="105" t="s">
        <v>722</v>
      </c>
      <c r="C3" s="105">
        <f>+'B1'!C14</f>
        <v>0</v>
      </c>
      <c r="D3" t="str">
        <f>+'B1'!D14</f>
        <v>If yes, provide a brief explanation of why 
AU has a monopoly on the activity. EBIT is changed to 0%</v>
      </c>
    </row>
    <row r="4" spans="2:4">
      <c r="B4" s="105" t="s">
        <v>720</v>
      </c>
      <c r="C4" s="105">
        <f>+'B1'!C6</f>
        <v>0</v>
      </c>
    </row>
    <row r="5" spans="2:4">
      <c r="B5" s="105" t="s">
        <v>1964</v>
      </c>
      <c r="C5" s="105">
        <f>+'B1'!C7</f>
        <v>0</v>
      </c>
    </row>
    <row r="6" spans="2:4">
      <c r="B6" s="105" t="s">
        <v>721</v>
      </c>
      <c r="C6" s="105">
        <f>+'B1'!C13</f>
        <v>0</v>
      </c>
    </row>
    <row r="8" spans="2:4">
      <c r="B8" s="105" t="s">
        <v>723</v>
      </c>
      <c r="C8" s="251">
        <f>+'B1'!AE40+'B1'!AE56+'B2'!AE40+'B2'!AE56+'B3'!AE40+'B3'!AE56+'B4'!AE40+'B4'!AE56+'B5'!AE40+'B5'!AE56</f>
        <v>0</v>
      </c>
    </row>
    <row r="9" spans="2:4">
      <c r="B9" s="105" t="s">
        <v>724</v>
      </c>
      <c r="C9" s="251">
        <f>+Total!N8</f>
        <v>0</v>
      </c>
    </row>
    <row r="10" spans="2:4">
      <c r="B10" s="105" t="s">
        <v>725</v>
      </c>
      <c r="C10" s="251">
        <f>+Total!N11+Total!N12+Total!N13</f>
        <v>0</v>
      </c>
    </row>
    <row r="11" spans="2:4">
      <c r="B11" s="105" t="s">
        <v>726</v>
      </c>
      <c r="C11" s="251">
        <f>+Total!N9</f>
        <v>0</v>
      </c>
    </row>
    <row r="12" spans="2:4">
      <c r="B12" s="105" t="s">
        <v>531</v>
      </c>
      <c r="C12" s="251">
        <f>+Total!N14</f>
        <v>0</v>
      </c>
    </row>
    <row r="13" spans="2:4">
      <c r="B13" s="105" t="s">
        <v>727</v>
      </c>
      <c r="C13" s="293"/>
      <c r="D13" s="1"/>
    </row>
    <row r="14" spans="2:4">
      <c r="B14" s="105" t="s">
        <v>728</v>
      </c>
      <c r="C14" s="251">
        <f>C13-(C9+C10+C11+C12)</f>
        <v>0</v>
      </c>
    </row>
    <row r="15" spans="2:4">
      <c r="B15" s="105" t="s">
        <v>729</v>
      </c>
      <c r="C15" s="293"/>
      <c r="D15" s="1"/>
    </row>
  </sheetData>
  <sheetProtection algorithmName="SHA-512" hashValue="alpEFl9Orz724KUSdTWSPoHN0dgGuE/wD9OblDy8clfIUTqmQH8GtSPUcDf6af7Nm8LVhQxBPp18AwE1DZrS+g==" saltValue="E34+qCFnV0k0rJmUBc7+WA==" spinCount="100000" sheet="1" objects="1" scenarios="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F7B4C-8E05-4F33-8A25-08C1E85CB97C}">
  <dimension ref="A2:G69"/>
  <sheetViews>
    <sheetView workbookViewId="0">
      <selection activeCell="C21" sqref="C21"/>
    </sheetView>
  </sheetViews>
  <sheetFormatPr defaultColWidth="9" defaultRowHeight="14"/>
  <cols>
    <col min="1" max="1" width="23.25" style="265" customWidth="1"/>
    <col min="2" max="2" width="26.08203125" style="265" customWidth="1"/>
    <col min="3" max="3" width="21" style="265" customWidth="1"/>
    <col min="4" max="4" width="27.58203125" style="265" customWidth="1"/>
    <col min="5" max="6" width="9" style="265"/>
    <col min="7" max="7" width="0" style="265" hidden="1" customWidth="1"/>
    <col min="8" max="16384" width="9" style="265"/>
  </cols>
  <sheetData>
    <row r="2" spans="1:7" ht="14.5">
      <c r="A2" s="266" t="s">
        <v>1064</v>
      </c>
    </row>
    <row r="3" spans="1:7">
      <c r="A3" s="267" t="s">
        <v>126</v>
      </c>
      <c r="B3" s="268" t="s">
        <v>127</v>
      </c>
      <c r="C3" s="268" t="s">
        <v>1065</v>
      </c>
      <c r="D3" s="269" t="s">
        <v>1066</v>
      </c>
    </row>
    <row r="4" spans="1:7">
      <c r="A4" s="270"/>
      <c r="B4" s="271"/>
      <c r="C4" s="271"/>
      <c r="D4" s="272"/>
      <c r="G4" s="273" t="s">
        <v>119</v>
      </c>
    </row>
    <row r="5" spans="1:7">
      <c r="A5" s="434" t="s">
        <v>1969</v>
      </c>
      <c r="G5" s="273" t="s">
        <v>120</v>
      </c>
    </row>
    <row r="6" spans="1:7" ht="14.5" thickBot="1">
      <c r="A6" s="273"/>
    </row>
    <row r="7" spans="1:7" ht="19.5" thickBot="1">
      <c r="B7" s="274" t="str">
        <f>HYPERLINK("mailto:" &amp; A10 &amp; "?subject=New grant source or instrument&amp;body=" &amp; B10, "Submit")</f>
        <v>Submit</v>
      </c>
    </row>
    <row r="8" spans="1:7" ht="14.5">
      <c r="B8" s="266" t="s">
        <v>1067</v>
      </c>
    </row>
    <row r="9" spans="1:7" ht="14.5">
      <c r="B9" s="266" t="s">
        <v>1068</v>
      </c>
    </row>
    <row r="10" spans="1:7" hidden="1">
      <c r="A10" s="275" t="s">
        <v>1069</v>
      </c>
      <c r="B10" s="265" t="str">
        <f>_xlfn.CONCAT("Please add this grant source or instrument: ","Grant source: ",A4," | Instrument: ",B4," | Overhead %: ",C4," | Project supplement: ",D4)</f>
        <v xml:space="preserve">Please add this grant source or instrument: Grant source:  | Instrument:  | Overhead %:  | Project supplement: </v>
      </c>
    </row>
    <row r="64" spans="1:2">
      <c r="A64" s="430" t="s">
        <v>1965</v>
      </c>
      <c r="B64" s="430" t="str">
        <f>IF(ISBLANK('Cover letter'!$I$5),
'Cover letter ECE_MPE'!D3,
'Cover letter'!D3)</f>
        <v>❌ ReAp fields are missing data – Please fill in the yellow cells</v>
      </c>
    </row>
    <row r="65" spans="1:3" ht="28">
      <c r="A65" s="431" t="s">
        <v>1966</v>
      </c>
      <c r="B65" s="430" t="str">
        <f>IF(ISNUMBER(FIND("missing",B64)),"Ja","Nej")</f>
        <v>Ja</v>
      </c>
    </row>
    <row r="66" spans="1:3">
      <c r="A66" s="432" t="s">
        <v>1967</v>
      </c>
      <c r="B66" s="433"/>
      <c r="C66" s="273" t="s">
        <v>1968</v>
      </c>
    </row>
    <row r="68" spans="1:3">
      <c r="A68" s="438" t="s">
        <v>1976</v>
      </c>
    </row>
    <row r="69" spans="1:3">
      <c r="A69" s="439">
        <f>IF(ISBLANK('Cover letter'!$I$5),
'Cover letter ECE_MPE'!E5,
'Cover letter'!E5)</f>
        <v>0</v>
      </c>
    </row>
  </sheetData>
  <dataValidations count="1">
    <dataValidation type="list" allowBlank="1" showInputMessage="1" showErrorMessage="1" sqref="D4" xr:uid="{C9B49895-D4A2-4255-A230-0B5F8140A0EA}">
      <formula1>$G$4:$G$5</formula1>
    </dataValidation>
  </dataValidations>
  <hyperlinks>
    <hyperlink ref="A10" r:id="rId1" xr:uid="{9F484E4A-4382-4558-8347-EFEF89679A9D}"/>
  </hyperlinks>
  <pageMargins left="0.7" right="0.7" top="0.75" bottom="0.75" header="0.3" footer="0.3"/>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1B78F-A249-41BA-BBDB-7549D5A73A07}">
  <dimension ref="A2:D31"/>
  <sheetViews>
    <sheetView topLeftCell="A17" workbookViewId="0">
      <selection activeCell="C31" sqref="C31"/>
    </sheetView>
  </sheetViews>
  <sheetFormatPr defaultRowHeight="14"/>
  <cols>
    <col min="1" max="1" width="10.08203125" bestFit="1" customWidth="1"/>
    <col min="3" max="3" width="74.58203125" customWidth="1"/>
    <col min="4" max="4" width="10.08203125" bestFit="1" customWidth="1"/>
  </cols>
  <sheetData>
    <row r="2" spans="1:4">
      <c r="A2" s="2" t="s">
        <v>1252</v>
      </c>
      <c r="B2" s="2" t="s">
        <v>1250</v>
      </c>
      <c r="C2" s="2" t="s">
        <v>1251</v>
      </c>
      <c r="D2" s="2" t="s">
        <v>1286</v>
      </c>
    </row>
    <row r="3" spans="1:4" ht="28">
      <c r="A3" s="1" t="s">
        <v>1253</v>
      </c>
      <c r="B3" s="1" t="s">
        <v>1254</v>
      </c>
      <c r="C3" s="338" t="s">
        <v>1255</v>
      </c>
      <c r="D3" t="s">
        <v>1287</v>
      </c>
    </row>
    <row r="4" spans="1:4" ht="28">
      <c r="A4" t="s">
        <v>1258</v>
      </c>
      <c r="B4" t="s">
        <v>1259</v>
      </c>
      <c r="C4" s="385" t="s">
        <v>1260</v>
      </c>
      <c r="D4" t="s">
        <v>1287</v>
      </c>
    </row>
    <row r="5" spans="1:4" ht="42">
      <c r="A5" s="1" t="s">
        <v>1261</v>
      </c>
      <c r="B5" s="1" t="s">
        <v>1262</v>
      </c>
      <c r="C5" s="338" t="s">
        <v>1263</v>
      </c>
      <c r="D5" t="s">
        <v>1287</v>
      </c>
    </row>
    <row r="6" spans="1:4">
      <c r="A6" s="1" t="s">
        <v>1274</v>
      </c>
      <c r="B6" s="1" t="s">
        <v>1276</v>
      </c>
      <c r="C6" s="338" t="s">
        <v>1275</v>
      </c>
      <c r="D6" t="s">
        <v>1287</v>
      </c>
    </row>
    <row r="7" spans="1:4" ht="70">
      <c r="A7" s="1" t="s">
        <v>1277</v>
      </c>
      <c r="B7" s="1" t="s">
        <v>1278</v>
      </c>
      <c r="C7" s="338" t="s">
        <v>1285</v>
      </c>
      <c r="D7" t="s">
        <v>1287</v>
      </c>
    </row>
    <row r="8" spans="1:4" ht="42">
      <c r="A8" s="1" t="s">
        <v>1309</v>
      </c>
      <c r="B8" s="1" t="s">
        <v>1310</v>
      </c>
      <c r="C8" s="338" t="s">
        <v>1316</v>
      </c>
      <c r="D8" s="1" t="s">
        <v>1287</v>
      </c>
    </row>
    <row r="9" spans="1:4" ht="42">
      <c r="A9" s="1" t="s">
        <v>1317</v>
      </c>
      <c r="B9" t="s">
        <v>1318</v>
      </c>
      <c r="C9" s="338" t="s">
        <v>1319</v>
      </c>
      <c r="D9" s="1" t="s">
        <v>1287</v>
      </c>
    </row>
    <row r="10" spans="1:4">
      <c r="A10" s="1" t="s">
        <v>1333</v>
      </c>
      <c r="B10" t="s">
        <v>1334</v>
      </c>
      <c r="C10" s="338" t="s">
        <v>1335</v>
      </c>
      <c r="D10" s="1" t="s">
        <v>1287</v>
      </c>
    </row>
    <row r="11" spans="1:4" ht="28">
      <c r="A11" s="1" t="s">
        <v>1344</v>
      </c>
      <c r="B11" t="s">
        <v>1345</v>
      </c>
      <c r="C11" s="338" t="s">
        <v>1346</v>
      </c>
      <c r="D11" s="1" t="s">
        <v>1287</v>
      </c>
    </row>
    <row r="12" spans="1:4" ht="42">
      <c r="A12" s="1" t="s">
        <v>1349</v>
      </c>
      <c r="B12" t="s">
        <v>1350</v>
      </c>
      <c r="C12" s="338" t="s">
        <v>1353</v>
      </c>
      <c r="D12" s="1" t="s">
        <v>1287</v>
      </c>
    </row>
    <row r="13" spans="1:4" ht="42">
      <c r="A13" s="1" t="s">
        <v>1354</v>
      </c>
      <c r="B13" t="s">
        <v>1355</v>
      </c>
      <c r="C13" s="385" t="s">
        <v>1356</v>
      </c>
      <c r="D13" s="1" t="s">
        <v>1287</v>
      </c>
    </row>
    <row r="14" spans="1:4" ht="28">
      <c r="A14" s="1" t="s">
        <v>1357</v>
      </c>
      <c r="B14" t="s">
        <v>1358</v>
      </c>
      <c r="C14" s="385" t="s">
        <v>1359</v>
      </c>
      <c r="D14" s="1" t="s">
        <v>1287</v>
      </c>
    </row>
    <row r="15" spans="1:4">
      <c r="A15" s="1" t="s">
        <v>1361</v>
      </c>
      <c r="B15" t="s">
        <v>1362</v>
      </c>
      <c r="C15" s="385" t="s">
        <v>1363</v>
      </c>
      <c r="D15" s="1" t="s">
        <v>1287</v>
      </c>
    </row>
    <row r="16" spans="1:4">
      <c r="A16" s="1" t="s">
        <v>1364</v>
      </c>
      <c r="B16" s="1" t="s">
        <v>1365</v>
      </c>
      <c r="C16" s="385" t="s">
        <v>1366</v>
      </c>
      <c r="D16" s="1" t="s">
        <v>1287</v>
      </c>
    </row>
    <row r="17" spans="1:4">
      <c r="A17" s="1" t="s">
        <v>1373</v>
      </c>
      <c r="B17" s="1" t="s">
        <v>1374</v>
      </c>
      <c r="C17" s="385" t="s">
        <v>1375</v>
      </c>
      <c r="D17" s="1" t="s">
        <v>1287</v>
      </c>
    </row>
    <row r="18" spans="1:4" ht="42">
      <c r="A18" s="1" t="s">
        <v>1376</v>
      </c>
      <c r="B18" s="1" t="s">
        <v>1377</v>
      </c>
      <c r="C18" s="338" t="s">
        <v>1378</v>
      </c>
      <c r="D18" s="1" t="s">
        <v>1287</v>
      </c>
    </row>
    <row r="19" spans="1:4" ht="70">
      <c r="A19" s="1" t="s">
        <v>1407</v>
      </c>
      <c r="B19" s="1" t="s">
        <v>1408</v>
      </c>
      <c r="C19" s="338" t="s">
        <v>1409</v>
      </c>
      <c r="D19" s="1" t="s">
        <v>1287</v>
      </c>
    </row>
    <row r="20" spans="1:4">
      <c r="A20" s="1" t="s">
        <v>1412</v>
      </c>
      <c r="B20" s="1" t="s">
        <v>1413</v>
      </c>
      <c r="C20" s="338" t="s">
        <v>1414</v>
      </c>
      <c r="D20" s="1" t="s">
        <v>1287</v>
      </c>
    </row>
    <row r="21" spans="1:4">
      <c r="A21" s="1" t="s">
        <v>1415</v>
      </c>
      <c r="B21" s="1" t="s">
        <v>1416</v>
      </c>
      <c r="C21" s="338" t="s">
        <v>1417</v>
      </c>
      <c r="D21" s="1" t="s">
        <v>1287</v>
      </c>
    </row>
    <row r="22" spans="1:4">
      <c r="A22" s="1" t="s">
        <v>1609</v>
      </c>
      <c r="B22" s="1" t="s">
        <v>1610</v>
      </c>
      <c r="C22" s="338" t="s">
        <v>1611</v>
      </c>
      <c r="D22" s="1" t="s">
        <v>1287</v>
      </c>
    </row>
    <row r="23" spans="1:4">
      <c r="A23" s="1" t="s">
        <v>1618</v>
      </c>
      <c r="B23" s="1" t="s">
        <v>1619</v>
      </c>
      <c r="C23" s="338" t="s">
        <v>1620</v>
      </c>
      <c r="D23" s="1" t="s">
        <v>1287</v>
      </c>
    </row>
    <row r="24" spans="1:4">
      <c r="A24" s="1" t="s">
        <v>1898</v>
      </c>
      <c r="B24" s="1" t="s">
        <v>1899</v>
      </c>
      <c r="C24" s="338" t="s">
        <v>1900</v>
      </c>
      <c r="D24" s="1" t="s">
        <v>1287</v>
      </c>
    </row>
    <row r="25" spans="1:4" ht="28">
      <c r="A25" s="1" t="s">
        <v>1916</v>
      </c>
      <c r="B25" s="1" t="s">
        <v>1917</v>
      </c>
      <c r="C25" s="338" t="s">
        <v>1918</v>
      </c>
      <c r="D25" s="1" t="s">
        <v>1287</v>
      </c>
    </row>
    <row r="26" spans="1:4" ht="42">
      <c r="A26" s="96">
        <v>45992</v>
      </c>
      <c r="B26" s="1" t="s">
        <v>1956</v>
      </c>
      <c r="C26" s="338" t="s">
        <v>1958</v>
      </c>
      <c r="D26" s="1" t="s">
        <v>1957</v>
      </c>
    </row>
    <row r="27" spans="1:4" ht="42">
      <c r="A27" s="96">
        <v>46029</v>
      </c>
      <c r="B27" s="1" t="s">
        <v>1962</v>
      </c>
      <c r="C27" s="385" t="s">
        <v>1963</v>
      </c>
      <c r="D27" s="1" t="s">
        <v>1957</v>
      </c>
    </row>
    <row r="28" spans="1:4" ht="28">
      <c r="A28" s="96">
        <v>46065</v>
      </c>
      <c r="B28" s="1" t="s">
        <v>1970</v>
      </c>
      <c r="C28" s="385" t="s">
        <v>1971</v>
      </c>
      <c r="D28" s="1" t="s">
        <v>1957</v>
      </c>
    </row>
    <row r="29" spans="1:4">
      <c r="A29" s="96">
        <v>46070</v>
      </c>
      <c r="B29" s="1" t="s">
        <v>1970</v>
      </c>
      <c r="C29" s="385" t="s">
        <v>1974</v>
      </c>
      <c r="D29" s="1" t="s">
        <v>1957</v>
      </c>
    </row>
    <row r="30" spans="1:4" ht="56">
      <c r="A30" s="96">
        <v>46251</v>
      </c>
      <c r="B30" s="1" t="s">
        <v>2141</v>
      </c>
      <c r="C30" s="385" t="s">
        <v>2142</v>
      </c>
      <c r="D30" s="1" t="s">
        <v>1957</v>
      </c>
    </row>
    <row r="31" spans="1:4" ht="42">
      <c r="A31" s="96">
        <v>46269</v>
      </c>
      <c r="B31" s="1" t="s">
        <v>2144</v>
      </c>
      <c r="C31" s="385" t="s">
        <v>2145</v>
      </c>
      <c r="D31" s="1" t="s">
        <v>1957</v>
      </c>
    </row>
  </sheetData>
  <sheetProtection algorithmName="SHA-512" hashValue="wwuLHyRVZ/e2Lg7+YlajriY93AIg+wtPmP94e9ekA8MheaenHbr50d2RtUpePaIJcRR2WiF3dvgEhiOFIWKtuA==" saltValue="ChI9KKgJwavUvdE1OPlE5Q==" spinCount="100000" sheet="1" objects="1" scenarios="1"/>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8980254456FE842B4FA4CE3949EAAEA" ma:contentTypeVersion="7" ma:contentTypeDescription="Create a new document." ma:contentTypeScope="" ma:versionID="55101ff269b01c843a3924d8894a7840">
  <xsd:schema xmlns:xsd="http://www.w3.org/2001/XMLSchema" xmlns:xs="http://www.w3.org/2001/XMLSchema" xmlns:p="http://schemas.microsoft.com/office/2006/metadata/properties" xmlns:ns2="df81d7e1-b828-441e-ab30-cc500924dba3" targetNamespace="http://schemas.microsoft.com/office/2006/metadata/properties" ma:root="true" ma:fieldsID="d2b0f83c78b9f8dd2055a69492168ab0" ns2:_="">
    <xsd:import namespace="df81d7e1-b828-441e-ab30-cc500924dba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81d7e1-b828-441e-ab30-cc500924db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scriptIds xmlns="http://schemas.microsoft.com/office/extensibility/maker/v1.0" id="script-ids-node-id">
  <scriptId id="ms-officescript%3A%2F%2Fonedrive_business_itemlink%2F01YOSVPD5VEKK5POHZJJE25XPSD7W6FFUD:ms-officescript%3A%2F%2Fonedrive_business_sharinglink%2Fu!aHR0cHM6Ly9hYXJodXN1bml2ZXJzaXRldC1teS5zaGFyZXBvaW50LmNvbS86dTovZy9wZXJzb25hbC9hdTUwNTk4NV91bmlfYXVfZGsvSVFDMUlwWFh1UGxLU2E3ZDhoX3Q0cGFEQWVaNVhXRnJJTndQdWQ2QWlCMkVWbVE"/>
</scriptId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LongProperties xmlns="http://schemas.microsoft.com/office/2006/metadata/longProperties"/>
</file>

<file path=customXml/item6.xml>��
</file>

<file path=customXml/itemProps1.xml><?xml version="1.0" encoding="utf-8"?>
<ds:datastoreItem xmlns:ds="http://schemas.openxmlformats.org/officeDocument/2006/customXml" ds:itemID="{224FDAAB-F013-40F5-8AA5-4753D8B0F617}">
  <ds:schemaRefs>
    <ds:schemaRef ds:uri="http://schemas.microsoft.com/office/2006/metadata/properties"/>
    <ds:schemaRef ds:uri="http://purl.org/dc/dcmitype/"/>
    <ds:schemaRef ds:uri="http://schemas.microsoft.com/office/2006/documentManagement/types"/>
    <ds:schemaRef ds:uri="http://schemas.microsoft.com/sharepoint/v3/fields"/>
    <ds:schemaRef ds:uri="http://schemas.openxmlformats.org/package/2006/metadata/core-properties"/>
    <ds:schemaRef ds:uri="http://purl.org/dc/elements/1.1/"/>
    <ds:schemaRef ds:uri="ebaa4770-eb55-4624-8d0d-b31ef785d284"/>
    <ds:schemaRef ds:uri="http://www.w3.org/XML/1998/namespace"/>
    <ds:schemaRef ds:uri="http://purl.org/dc/terms/"/>
    <ds:schemaRef ds:uri="http://schemas.microsoft.com/office/infopath/2007/PartnerControls"/>
    <ds:schemaRef ds:uri="31192e01-de24-4c0c-ac9b-04ee30332ee0"/>
  </ds:schemaRefs>
</ds:datastoreItem>
</file>

<file path=customXml/itemProps2.xml><?xml version="1.0" encoding="utf-8"?>
<ds:datastoreItem xmlns:ds="http://schemas.openxmlformats.org/officeDocument/2006/customXml" ds:itemID="{CB125882-1E35-48C5-B131-E3EE803E1564}"/>
</file>

<file path=customXml/itemProps3.xml><?xml version="1.0" encoding="utf-8"?>
<ds:datastoreItem xmlns:ds="http://schemas.openxmlformats.org/officeDocument/2006/customXml" ds:itemID="{CA602E33-F818-4E4F-8B6B-0ECAC609AB93}">
  <ds:schemaRefs>
    <ds:schemaRef ds:uri="http://schemas.microsoft.com/office/extensibility/maker/v1.0"/>
  </ds:schemaRefs>
</ds:datastoreItem>
</file>

<file path=customXml/itemProps4.xml><?xml version="1.0" encoding="utf-8"?>
<ds:datastoreItem xmlns:ds="http://schemas.openxmlformats.org/officeDocument/2006/customXml" ds:itemID="{FCC865CA-0194-49EC-B2DA-9368559A271B}">
  <ds:schemaRefs>
    <ds:schemaRef ds:uri="http://schemas.microsoft.com/sharepoint/v3/contenttype/forms"/>
  </ds:schemaRefs>
</ds:datastoreItem>
</file>

<file path=customXml/itemProps5.xml><?xml version="1.0" encoding="utf-8"?>
<ds:datastoreItem xmlns:ds="http://schemas.openxmlformats.org/officeDocument/2006/customXml" ds:itemID="{8F356FBA-E4B5-4B18-94EF-FFC993A75025}">
  <ds:schemaRefs>
    <ds:schemaRef ds:uri="http://schemas.microsoft.com/office/2006/metadata/longProperties"/>
  </ds:schemaRefs>
</ds:datastoreItem>
</file>

<file path=customXml/itemProps6.xml><?xml version="1.0" encoding="utf-8"?>
<ds:datastoreItem xmlns:ds="http://schemas.openxmlformats.org/officeDocument/2006/customXml" ds:itemID="{77246784-3CE8-4737-8884-9E065A4E6D59}">
  <ds:schemaRefs>
    <ds:schemaRef ds:uri="http://schemas.microsoft.com/DataMashup"/>
  </ds:schemaRefs>
</ds:datastoreItem>
</file>

<file path=docMetadata/LabelInfo.xml><?xml version="1.0" encoding="utf-8"?>
<clbl:labelList xmlns:clbl="http://schemas.microsoft.com/office/2020/mipLabelMetadata">
  <clbl:label id="{61fd1d36-fecb-47ca-b7d7-d0df0370a198}" enabled="0" method="" siteId="{61fd1d36-fecb-47ca-b7d7-d0df0370a19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10</vt:i4>
      </vt:variant>
    </vt:vector>
  </HeadingPairs>
  <TitlesOfParts>
    <vt:vector size="34" baseType="lpstr">
      <vt:lpstr>Takstblad</vt:lpstr>
      <vt:lpstr>GrantSource</vt:lpstr>
      <vt:lpstr>Instrument</vt:lpstr>
      <vt:lpstr>Section Cover letter ING</vt:lpstr>
      <vt:lpstr>Section Cover letter</vt:lpstr>
      <vt:lpstr>Economists</vt:lpstr>
      <vt:lpstr>Lister</vt:lpstr>
      <vt:lpstr>Guide</vt:lpstr>
      <vt:lpstr>Cover letter ECE_MPE</vt:lpstr>
      <vt:lpstr>Cover letter</vt:lpstr>
      <vt:lpstr>Currency</vt:lpstr>
      <vt:lpstr>GrantSourceCategory</vt:lpstr>
      <vt:lpstr>My Notes</vt:lpstr>
      <vt:lpstr>B1</vt:lpstr>
      <vt:lpstr>B2</vt:lpstr>
      <vt:lpstr>B3</vt:lpstr>
      <vt:lpstr>B4</vt:lpstr>
      <vt:lpstr>B5</vt:lpstr>
      <vt:lpstr>Total</vt:lpstr>
      <vt:lpstr>Total Other Currency</vt:lpstr>
      <vt:lpstr>ReAp</vt:lpstr>
      <vt:lpstr>PE</vt:lpstr>
      <vt:lpstr>Add new grant source</vt:lpstr>
      <vt:lpstr>Version control</vt:lpstr>
      <vt:lpstr>'B1'!Print_Area</vt:lpstr>
      <vt:lpstr>'B2'!Print_Area</vt:lpstr>
      <vt:lpstr>'B3'!Print_Area</vt:lpstr>
      <vt:lpstr>'B4'!Print_Area</vt:lpstr>
      <vt:lpstr>'B5'!Print_Area</vt:lpstr>
      <vt:lpstr>takstblad</vt:lpstr>
      <vt:lpstr>TAP</vt:lpstr>
      <vt:lpstr>'Cover letter'!Text3</vt:lpstr>
      <vt:lpstr>'Cover letter ECE_MPE'!Text3</vt:lpstr>
      <vt:lpstr>VIP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Ansøgning til TF med 44 overhead</dc:title>
  <dc:creator>HSS, ØC ST Foulum</dc:creator>
  <cp:lastModifiedBy>Nat-Tech Økonomi Servicekonto</cp:lastModifiedBy>
  <cp:lastPrinted>2025-01-14T09:51:32Z</cp:lastPrinted>
  <dcterms:created xsi:type="dcterms:W3CDTF">2006-02-24T12:58:02Z</dcterms:created>
  <dcterms:modified xsi:type="dcterms:W3CDTF">2026-09-23T22:31:04Z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Dokument</vt:lpwstr>
  </property>
  <property fmtid="{D5CDD505-2E9C-101B-9397-08002B2CF9AE}" pid="3" name="ContentTypeId">
    <vt:lpwstr>0x010100F8980254456FE842B4FA4CE3949EAAEA</vt:lpwstr>
  </property>
</Properties>
</file>